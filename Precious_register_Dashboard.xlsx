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/>
  <xr:revisionPtr revIDLastSave="0" documentId="8_{BA730F9F-05A7-4F2E-AFB4-46957E48DC6F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FY Summary 2026-27" sheetId="1" r:id="rId1"/>
    <sheet name="PIVOT" sheetId="2" r:id="rId2"/>
    <sheet name="Data" sheetId="3" r:id="rId3"/>
    <sheet name="Jan 2026" sheetId="4" r:id="rId4"/>
    <sheet name="Feb 2026" sheetId="5" r:id="rId5"/>
    <sheet name="Mar 2026" sheetId="6" r:id="rId6"/>
    <sheet name="Apr 2026" sheetId="7" r:id="rId7"/>
    <sheet name="May 2026" sheetId="8" r:id="rId8"/>
    <sheet name="Jun 2026" sheetId="9" r:id="rId9"/>
  </sheets>
  <definedNames>
    <definedName name="Slicer_Month">#N/A</definedName>
    <definedName name="Slicer_Product">#N/A</definedName>
  </definedNames>
  <calcPr calcId="191028" iterateDelta="1E-4"/>
  <pivotCaches>
    <pivotCache cacheId="510" r:id="rId10"/>
    <pivotCache cacheId="511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2" l="1"/>
  <c r="D8" i="2"/>
  <c r="A8" i="2"/>
  <c r="FN11" i="2"/>
  <c r="G8" i="2" s="1"/>
  <c r="FN27" i="2"/>
  <c r="J8" i="2" s="1"/>
  <c r="F366" i="9"/>
  <c r="E366" i="9"/>
  <c r="F354" i="9"/>
  <c r="E354" i="9"/>
  <c r="F342" i="9"/>
  <c r="E342" i="9"/>
  <c r="F330" i="9"/>
  <c r="E330" i="9"/>
  <c r="F318" i="9"/>
  <c r="E318" i="9"/>
  <c r="F306" i="9"/>
  <c r="E306" i="9"/>
  <c r="F294" i="9"/>
  <c r="E294" i="9"/>
  <c r="F282" i="9"/>
  <c r="E282" i="9"/>
  <c r="F270" i="9"/>
  <c r="E270" i="9"/>
  <c r="F258" i="9"/>
  <c r="E258" i="9"/>
  <c r="F246" i="9"/>
  <c r="E246" i="9"/>
  <c r="F234" i="9"/>
  <c r="E234" i="9"/>
  <c r="F222" i="9"/>
  <c r="E222" i="9"/>
  <c r="F210" i="9"/>
  <c r="E210" i="9"/>
  <c r="F198" i="9"/>
  <c r="E198" i="9"/>
  <c r="F186" i="9"/>
  <c r="E186" i="9"/>
  <c r="F174" i="9"/>
  <c r="E174" i="9"/>
  <c r="F162" i="9"/>
  <c r="E162" i="9"/>
  <c r="F150" i="9"/>
  <c r="E150" i="9"/>
  <c r="F138" i="9"/>
  <c r="E138" i="9"/>
  <c r="F126" i="9"/>
  <c r="E126" i="9"/>
  <c r="F114" i="9"/>
  <c r="E114" i="9"/>
  <c r="F102" i="9"/>
  <c r="E102" i="9"/>
  <c r="F90" i="9"/>
  <c r="E90" i="9"/>
  <c r="F78" i="9"/>
  <c r="E78" i="9"/>
  <c r="F66" i="9"/>
  <c r="E66" i="9"/>
  <c r="F54" i="9"/>
  <c r="E54" i="9"/>
  <c r="F42" i="9"/>
  <c r="E42" i="9"/>
  <c r="F30" i="9"/>
  <c r="E30" i="9"/>
  <c r="F18" i="9"/>
  <c r="F367" i="9" s="1"/>
  <c r="E18" i="9"/>
  <c r="E367" i="9" s="1"/>
  <c r="F378" i="8"/>
  <c r="E378" i="8"/>
  <c r="F366" i="8"/>
  <c r="E366" i="8"/>
  <c r="F354" i="8"/>
  <c r="E354" i="8"/>
  <c r="F342" i="8"/>
  <c r="E342" i="8"/>
  <c r="F330" i="8"/>
  <c r="E330" i="8"/>
  <c r="F318" i="8"/>
  <c r="E318" i="8"/>
  <c r="F306" i="8"/>
  <c r="E306" i="8"/>
  <c r="F294" i="8"/>
  <c r="E294" i="8"/>
  <c r="F282" i="8"/>
  <c r="E282" i="8"/>
  <c r="F270" i="8"/>
  <c r="E270" i="8"/>
  <c r="F258" i="8"/>
  <c r="E258" i="8"/>
  <c r="F246" i="8"/>
  <c r="E246" i="8"/>
  <c r="F234" i="8"/>
  <c r="E234" i="8"/>
  <c r="F222" i="8"/>
  <c r="E222" i="8"/>
  <c r="F210" i="8"/>
  <c r="E210" i="8"/>
  <c r="F198" i="8"/>
  <c r="E198" i="8"/>
  <c r="F186" i="8"/>
  <c r="E186" i="8"/>
  <c r="F174" i="8"/>
  <c r="E174" i="8"/>
  <c r="F162" i="8"/>
  <c r="E162" i="8"/>
  <c r="F150" i="8"/>
  <c r="E150" i="8"/>
  <c r="F138" i="8"/>
  <c r="E138" i="8"/>
  <c r="F126" i="8"/>
  <c r="E126" i="8"/>
  <c r="F114" i="8"/>
  <c r="E114" i="8"/>
  <c r="F102" i="8"/>
  <c r="E102" i="8"/>
  <c r="F90" i="8"/>
  <c r="E90" i="8"/>
  <c r="F78" i="8"/>
  <c r="E78" i="8"/>
  <c r="F66" i="8"/>
  <c r="E66" i="8"/>
  <c r="F54" i="8"/>
  <c r="E54" i="8"/>
  <c r="F42" i="8"/>
  <c r="E42" i="8"/>
  <c r="F30" i="8"/>
  <c r="E30" i="8"/>
  <c r="F18" i="8"/>
  <c r="F379" i="8" s="1"/>
  <c r="E18" i="8"/>
  <c r="E379" i="8" s="1"/>
  <c r="F366" i="7"/>
  <c r="E366" i="7"/>
  <c r="F354" i="7"/>
  <c r="E354" i="7"/>
  <c r="F342" i="7"/>
  <c r="E342" i="7"/>
  <c r="F330" i="7"/>
  <c r="E330" i="7"/>
  <c r="F318" i="7"/>
  <c r="E318" i="7"/>
  <c r="F306" i="7"/>
  <c r="E306" i="7"/>
  <c r="F294" i="7"/>
  <c r="E294" i="7"/>
  <c r="F282" i="7"/>
  <c r="E282" i="7"/>
  <c r="F270" i="7"/>
  <c r="E270" i="7"/>
  <c r="F258" i="7"/>
  <c r="E258" i="7"/>
  <c r="F246" i="7"/>
  <c r="E246" i="7"/>
  <c r="F234" i="7"/>
  <c r="E234" i="7"/>
  <c r="F222" i="7"/>
  <c r="E222" i="7"/>
  <c r="F210" i="7"/>
  <c r="E210" i="7"/>
  <c r="F198" i="7"/>
  <c r="E198" i="7"/>
  <c r="F186" i="7"/>
  <c r="E186" i="7"/>
  <c r="F174" i="7"/>
  <c r="E174" i="7"/>
  <c r="F162" i="7"/>
  <c r="E162" i="7"/>
  <c r="F150" i="7"/>
  <c r="E150" i="7"/>
  <c r="F138" i="7"/>
  <c r="E138" i="7"/>
  <c r="F126" i="7"/>
  <c r="E126" i="7"/>
  <c r="F114" i="7"/>
  <c r="E114" i="7"/>
  <c r="F102" i="7"/>
  <c r="E102" i="7"/>
  <c r="F90" i="7"/>
  <c r="E90" i="7"/>
  <c r="F78" i="7"/>
  <c r="E78" i="7"/>
  <c r="F66" i="7"/>
  <c r="E66" i="7"/>
  <c r="F54" i="7"/>
  <c r="E54" i="7"/>
  <c r="F42" i="7"/>
  <c r="E42" i="7"/>
  <c r="F30" i="7"/>
  <c r="E30" i="7"/>
  <c r="F18" i="7"/>
  <c r="F367" i="7" s="1"/>
  <c r="E18" i="7"/>
  <c r="E367" i="7" s="1"/>
  <c r="F378" i="6"/>
  <c r="E378" i="6"/>
  <c r="F366" i="6"/>
  <c r="E366" i="6"/>
  <c r="F354" i="6"/>
  <c r="E354" i="6"/>
  <c r="F342" i="6"/>
  <c r="E342" i="6"/>
  <c r="F330" i="6"/>
  <c r="E330" i="6"/>
  <c r="F318" i="6"/>
  <c r="E318" i="6"/>
  <c r="F306" i="6"/>
  <c r="E306" i="6"/>
  <c r="F294" i="6"/>
  <c r="E294" i="6"/>
  <c r="F282" i="6"/>
  <c r="E282" i="6"/>
  <c r="F270" i="6"/>
  <c r="E270" i="6"/>
  <c r="F258" i="6"/>
  <c r="E258" i="6"/>
  <c r="F246" i="6"/>
  <c r="E246" i="6"/>
  <c r="F234" i="6"/>
  <c r="E234" i="6"/>
  <c r="F222" i="6"/>
  <c r="E222" i="6"/>
  <c r="F210" i="6"/>
  <c r="E210" i="6"/>
  <c r="F198" i="6"/>
  <c r="E198" i="6"/>
  <c r="F186" i="6"/>
  <c r="E186" i="6"/>
  <c r="F174" i="6"/>
  <c r="E174" i="6"/>
  <c r="F162" i="6"/>
  <c r="E162" i="6"/>
  <c r="F150" i="6"/>
  <c r="E150" i="6"/>
  <c r="F138" i="6"/>
  <c r="E138" i="6"/>
  <c r="F126" i="6"/>
  <c r="E126" i="6"/>
  <c r="F114" i="6"/>
  <c r="E114" i="6"/>
  <c r="F102" i="6"/>
  <c r="E102" i="6"/>
  <c r="F90" i="6"/>
  <c r="E90" i="6"/>
  <c r="F78" i="6"/>
  <c r="E78" i="6"/>
  <c r="F66" i="6"/>
  <c r="E66" i="6"/>
  <c r="F54" i="6"/>
  <c r="E54" i="6"/>
  <c r="F42" i="6"/>
  <c r="E42" i="6"/>
  <c r="F30" i="6"/>
  <c r="E30" i="6"/>
  <c r="F18" i="6"/>
  <c r="F379" i="6" s="1"/>
  <c r="E18" i="6"/>
  <c r="E379" i="6" s="1"/>
  <c r="F342" i="5"/>
  <c r="E342" i="5"/>
  <c r="F330" i="5"/>
  <c r="E330" i="5"/>
  <c r="F318" i="5"/>
  <c r="E318" i="5"/>
  <c r="F306" i="5"/>
  <c r="E306" i="5"/>
  <c r="F294" i="5"/>
  <c r="E294" i="5"/>
  <c r="F282" i="5"/>
  <c r="E282" i="5"/>
  <c r="F270" i="5"/>
  <c r="E270" i="5"/>
  <c r="F258" i="5"/>
  <c r="E258" i="5"/>
  <c r="F246" i="5"/>
  <c r="E246" i="5"/>
  <c r="F234" i="5"/>
  <c r="E234" i="5"/>
  <c r="F222" i="5"/>
  <c r="E222" i="5"/>
  <c r="F210" i="5"/>
  <c r="E210" i="5"/>
  <c r="F198" i="5"/>
  <c r="E198" i="5"/>
  <c r="F186" i="5"/>
  <c r="E186" i="5"/>
  <c r="F174" i="5"/>
  <c r="E174" i="5"/>
  <c r="F162" i="5"/>
  <c r="E162" i="5"/>
  <c r="F150" i="5"/>
  <c r="E150" i="5"/>
  <c r="F138" i="5"/>
  <c r="E138" i="5"/>
  <c r="F126" i="5"/>
  <c r="E126" i="5"/>
  <c r="F114" i="5"/>
  <c r="E114" i="5"/>
  <c r="F102" i="5"/>
  <c r="E102" i="5"/>
  <c r="F90" i="5"/>
  <c r="E90" i="5"/>
  <c r="F78" i="5"/>
  <c r="E78" i="5"/>
  <c r="F66" i="5"/>
  <c r="E66" i="5"/>
  <c r="F54" i="5"/>
  <c r="E54" i="5"/>
  <c r="F42" i="5"/>
  <c r="E42" i="5"/>
  <c r="F30" i="5"/>
  <c r="E30" i="5"/>
  <c r="F18" i="5"/>
  <c r="F343" i="5" s="1"/>
  <c r="E18" i="5"/>
  <c r="E343" i="5" s="1"/>
  <c r="D379" i="4"/>
  <c r="F378" i="4"/>
  <c r="E378" i="4"/>
  <c r="F366" i="4"/>
  <c r="E366" i="4"/>
  <c r="F354" i="4"/>
  <c r="E354" i="4"/>
  <c r="F342" i="4"/>
  <c r="E342" i="4"/>
  <c r="F330" i="4"/>
  <c r="E330" i="4"/>
  <c r="F318" i="4"/>
  <c r="E318" i="4"/>
  <c r="F306" i="4"/>
  <c r="E306" i="4"/>
  <c r="F294" i="4"/>
  <c r="E294" i="4"/>
  <c r="F282" i="4"/>
  <c r="E282" i="4"/>
  <c r="F270" i="4"/>
  <c r="E270" i="4"/>
  <c r="F258" i="4"/>
  <c r="E258" i="4"/>
  <c r="F246" i="4"/>
  <c r="E246" i="4"/>
  <c r="F234" i="4"/>
  <c r="E234" i="4"/>
  <c r="F222" i="4"/>
  <c r="E222" i="4"/>
  <c r="F210" i="4"/>
  <c r="E210" i="4"/>
  <c r="F198" i="4"/>
  <c r="E198" i="4"/>
  <c r="F186" i="4"/>
  <c r="E186" i="4"/>
  <c r="F174" i="4"/>
  <c r="E174" i="4"/>
  <c r="F162" i="4"/>
  <c r="E162" i="4"/>
  <c r="F150" i="4"/>
  <c r="E150" i="4"/>
  <c r="F138" i="4"/>
  <c r="E138" i="4"/>
  <c r="F126" i="4"/>
  <c r="E126" i="4"/>
  <c r="F114" i="4"/>
  <c r="E114" i="4"/>
  <c r="F102" i="4"/>
  <c r="E102" i="4"/>
  <c r="F90" i="4"/>
  <c r="E90" i="4"/>
  <c r="F78" i="4"/>
  <c r="E78" i="4"/>
  <c r="F66" i="4"/>
  <c r="E66" i="4"/>
  <c r="F54" i="4"/>
  <c r="E54" i="4"/>
  <c r="F42" i="4"/>
  <c r="E42" i="4"/>
  <c r="F30" i="4"/>
  <c r="E30" i="4"/>
  <c r="F18" i="4"/>
  <c r="F379" i="4" s="1"/>
  <c r="E18" i="4"/>
  <c r="E379" i="4" s="1"/>
  <c r="D18" i="4"/>
  <c r="G17" i="4"/>
  <c r="D29" i="4" s="1"/>
  <c r="G29" i="4" s="1"/>
  <c r="D41" i="4" s="1"/>
  <c r="G41" i="4" s="1"/>
  <c r="D53" i="4" s="1"/>
  <c r="G53" i="4" s="1"/>
  <c r="D65" i="4" s="1"/>
  <c r="G65" i="4" s="1"/>
  <c r="D77" i="4" s="1"/>
  <c r="G77" i="4" s="1"/>
  <c r="D89" i="4" s="1"/>
  <c r="G89" i="4" s="1"/>
  <c r="D101" i="4" s="1"/>
  <c r="G101" i="4" s="1"/>
  <c r="D113" i="4" s="1"/>
  <c r="G113" i="4" s="1"/>
  <c r="D125" i="4" s="1"/>
  <c r="G125" i="4" s="1"/>
  <c r="D137" i="4" s="1"/>
  <c r="G137" i="4" s="1"/>
  <c r="D149" i="4" s="1"/>
  <c r="G149" i="4" s="1"/>
  <c r="D161" i="4" s="1"/>
  <c r="G161" i="4" s="1"/>
  <c r="D173" i="4" s="1"/>
  <c r="G173" i="4" s="1"/>
  <c r="D185" i="4" s="1"/>
  <c r="G185" i="4" s="1"/>
  <c r="D197" i="4" s="1"/>
  <c r="G197" i="4" s="1"/>
  <c r="D209" i="4" s="1"/>
  <c r="G209" i="4" s="1"/>
  <c r="D221" i="4" s="1"/>
  <c r="G221" i="4" s="1"/>
  <c r="D233" i="4" s="1"/>
  <c r="G233" i="4" s="1"/>
  <c r="D245" i="4" s="1"/>
  <c r="G245" i="4" s="1"/>
  <c r="D257" i="4" s="1"/>
  <c r="G257" i="4" s="1"/>
  <c r="D269" i="4" s="1"/>
  <c r="G269" i="4" s="1"/>
  <c r="D281" i="4" s="1"/>
  <c r="G281" i="4" s="1"/>
  <c r="D293" i="4" s="1"/>
  <c r="G293" i="4" s="1"/>
  <c r="D305" i="4" s="1"/>
  <c r="G305" i="4" s="1"/>
  <c r="D317" i="4" s="1"/>
  <c r="G317" i="4" s="1"/>
  <c r="D329" i="4" s="1"/>
  <c r="G329" i="4" s="1"/>
  <c r="D341" i="4" s="1"/>
  <c r="G341" i="4" s="1"/>
  <c r="D353" i="4" s="1"/>
  <c r="G353" i="4" s="1"/>
  <c r="D365" i="4" s="1"/>
  <c r="G365" i="4" s="1"/>
  <c r="D377" i="4" s="1"/>
  <c r="G377" i="4" s="1"/>
  <c r="D17" i="5" s="1"/>
  <c r="G17" i="5" s="1"/>
  <c r="D29" i="5" s="1"/>
  <c r="G29" i="5" s="1"/>
  <c r="D41" i="5" s="1"/>
  <c r="G41" i="5" s="1"/>
  <c r="D53" i="5" s="1"/>
  <c r="G53" i="5" s="1"/>
  <c r="D65" i="5" s="1"/>
  <c r="G65" i="5" s="1"/>
  <c r="D77" i="5" s="1"/>
  <c r="G77" i="5" s="1"/>
  <c r="D89" i="5" s="1"/>
  <c r="G89" i="5" s="1"/>
  <c r="D101" i="5" s="1"/>
  <c r="G101" i="5" s="1"/>
  <c r="D113" i="5" s="1"/>
  <c r="G113" i="5" s="1"/>
  <c r="D125" i="5" s="1"/>
  <c r="G125" i="5" s="1"/>
  <c r="D137" i="5" s="1"/>
  <c r="G137" i="5" s="1"/>
  <c r="D149" i="5" s="1"/>
  <c r="G149" i="5" s="1"/>
  <c r="D161" i="5" s="1"/>
  <c r="G161" i="5" s="1"/>
  <c r="D173" i="5" s="1"/>
  <c r="G173" i="5" s="1"/>
  <c r="D185" i="5" s="1"/>
  <c r="G185" i="5" s="1"/>
  <c r="D197" i="5" s="1"/>
  <c r="G197" i="5" s="1"/>
  <c r="D209" i="5" s="1"/>
  <c r="G209" i="5" s="1"/>
  <c r="D221" i="5" s="1"/>
  <c r="G221" i="5" s="1"/>
  <c r="D233" i="5" s="1"/>
  <c r="G233" i="5" s="1"/>
  <c r="D245" i="5" s="1"/>
  <c r="G245" i="5" s="1"/>
  <c r="D257" i="5" s="1"/>
  <c r="G257" i="5" s="1"/>
  <c r="D269" i="5" s="1"/>
  <c r="G269" i="5" s="1"/>
  <c r="D281" i="5" s="1"/>
  <c r="G281" i="5" s="1"/>
  <c r="D293" i="5" s="1"/>
  <c r="G293" i="5" s="1"/>
  <c r="D305" i="5" s="1"/>
  <c r="G305" i="5" s="1"/>
  <c r="D317" i="5" s="1"/>
  <c r="G317" i="5" s="1"/>
  <c r="D329" i="5" s="1"/>
  <c r="G329" i="5" s="1"/>
  <c r="D341" i="5" s="1"/>
  <c r="G341" i="5" s="1"/>
  <c r="D17" i="6" s="1"/>
  <c r="G17" i="6" s="1"/>
  <c r="D29" i="6" s="1"/>
  <c r="G29" i="6" s="1"/>
  <c r="D41" i="6" s="1"/>
  <c r="G41" i="6" s="1"/>
  <c r="D53" i="6" s="1"/>
  <c r="G53" i="6" s="1"/>
  <c r="D65" i="6" s="1"/>
  <c r="G65" i="6" s="1"/>
  <c r="D77" i="6" s="1"/>
  <c r="G77" i="6" s="1"/>
  <c r="D89" i="6" s="1"/>
  <c r="G89" i="6" s="1"/>
  <c r="D101" i="6" s="1"/>
  <c r="G101" i="6" s="1"/>
  <c r="D113" i="6" s="1"/>
  <c r="G113" i="6" s="1"/>
  <c r="D125" i="6" s="1"/>
  <c r="G125" i="6" s="1"/>
  <c r="D137" i="6" s="1"/>
  <c r="G137" i="6" s="1"/>
  <c r="D149" i="6" s="1"/>
  <c r="G149" i="6" s="1"/>
  <c r="D161" i="6" s="1"/>
  <c r="G161" i="6" s="1"/>
  <c r="D173" i="6" s="1"/>
  <c r="G173" i="6" s="1"/>
  <c r="D185" i="6" s="1"/>
  <c r="G185" i="6" s="1"/>
  <c r="D197" i="6" s="1"/>
  <c r="G197" i="6" s="1"/>
  <c r="D209" i="6" s="1"/>
  <c r="G209" i="6" s="1"/>
  <c r="D221" i="6" s="1"/>
  <c r="G221" i="6" s="1"/>
  <c r="D233" i="6" s="1"/>
  <c r="G233" i="6" s="1"/>
  <c r="D245" i="6" s="1"/>
  <c r="G245" i="6" s="1"/>
  <c r="D257" i="6" s="1"/>
  <c r="G257" i="6" s="1"/>
  <c r="D269" i="6" s="1"/>
  <c r="G269" i="6" s="1"/>
  <c r="D281" i="6" s="1"/>
  <c r="G281" i="6" s="1"/>
  <c r="D293" i="6" s="1"/>
  <c r="G293" i="6" s="1"/>
  <c r="D305" i="6" s="1"/>
  <c r="G305" i="6" s="1"/>
  <c r="D317" i="6" s="1"/>
  <c r="G317" i="6" s="1"/>
  <c r="D329" i="6" s="1"/>
  <c r="G329" i="6" s="1"/>
  <c r="D341" i="6" s="1"/>
  <c r="G341" i="6" s="1"/>
  <c r="D353" i="6" s="1"/>
  <c r="G353" i="6" s="1"/>
  <c r="D365" i="6" s="1"/>
  <c r="G365" i="6" s="1"/>
  <c r="D377" i="6" s="1"/>
  <c r="G377" i="6" s="1"/>
  <c r="D17" i="7" s="1"/>
  <c r="G17" i="7" s="1"/>
  <c r="D29" i="7" s="1"/>
  <c r="G29" i="7" s="1"/>
  <c r="D41" i="7" s="1"/>
  <c r="G41" i="7" s="1"/>
  <c r="D53" i="7" s="1"/>
  <c r="G53" i="7" s="1"/>
  <c r="D65" i="7" s="1"/>
  <c r="G65" i="7" s="1"/>
  <c r="D77" i="7" s="1"/>
  <c r="G77" i="7" s="1"/>
  <c r="D89" i="7" s="1"/>
  <c r="G89" i="7" s="1"/>
  <c r="D101" i="7" s="1"/>
  <c r="G101" i="7" s="1"/>
  <c r="D113" i="7" s="1"/>
  <c r="G113" i="7" s="1"/>
  <c r="D125" i="7" s="1"/>
  <c r="G125" i="7" s="1"/>
  <c r="D137" i="7" s="1"/>
  <c r="G137" i="7" s="1"/>
  <c r="D149" i="7" s="1"/>
  <c r="G149" i="7" s="1"/>
  <c r="D161" i="7" s="1"/>
  <c r="G161" i="7" s="1"/>
  <c r="D173" i="7" s="1"/>
  <c r="G173" i="7" s="1"/>
  <c r="D185" i="7" s="1"/>
  <c r="G185" i="7" s="1"/>
  <c r="D197" i="7" s="1"/>
  <c r="G197" i="7" s="1"/>
  <c r="D209" i="7" s="1"/>
  <c r="G209" i="7" s="1"/>
  <c r="D221" i="7" s="1"/>
  <c r="G221" i="7" s="1"/>
  <c r="D233" i="7" s="1"/>
  <c r="G233" i="7" s="1"/>
  <c r="D245" i="7" s="1"/>
  <c r="G245" i="7" s="1"/>
  <c r="D257" i="7" s="1"/>
  <c r="G257" i="7" s="1"/>
  <c r="D269" i="7" s="1"/>
  <c r="G269" i="7" s="1"/>
  <c r="D281" i="7" s="1"/>
  <c r="G281" i="7" s="1"/>
  <c r="D293" i="7" s="1"/>
  <c r="G293" i="7" s="1"/>
  <c r="D305" i="7" s="1"/>
  <c r="G305" i="7" s="1"/>
  <c r="D317" i="7" s="1"/>
  <c r="G317" i="7" s="1"/>
  <c r="D329" i="7" s="1"/>
  <c r="G329" i="7" s="1"/>
  <c r="D341" i="7" s="1"/>
  <c r="G341" i="7" s="1"/>
  <c r="D353" i="7" s="1"/>
  <c r="G353" i="7" s="1"/>
  <c r="D365" i="7" s="1"/>
  <c r="G365" i="7" s="1"/>
  <c r="D17" i="8" s="1"/>
  <c r="G17" i="8" s="1"/>
  <c r="D29" i="8" s="1"/>
  <c r="G29" i="8" s="1"/>
  <c r="D41" i="8" s="1"/>
  <c r="G41" i="8" s="1"/>
  <c r="D53" i="8" s="1"/>
  <c r="G53" i="8" s="1"/>
  <c r="D65" i="8" s="1"/>
  <c r="G65" i="8" s="1"/>
  <c r="D77" i="8" s="1"/>
  <c r="G77" i="8" s="1"/>
  <c r="D89" i="8" s="1"/>
  <c r="G89" i="8" s="1"/>
  <c r="D101" i="8" s="1"/>
  <c r="G101" i="8" s="1"/>
  <c r="D113" i="8" s="1"/>
  <c r="G113" i="8" s="1"/>
  <c r="D125" i="8" s="1"/>
  <c r="G125" i="8" s="1"/>
  <c r="D137" i="8" s="1"/>
  <c r="G137" i="8" s="1"/>
  <c r="D149" i="8" s="1"/>
  <c r="G149" i="8" s="1"/>
  <c r="D161" i="8" s="1"/>
  <c r="G161" i="8" s="1"/>
  <c r="D173" i="8" s="1"/>
  <c r="G173" i="8" s="1"/>
  <c r="D185" i="8" s="1"/>
  <c r="G185" i="8" s="1"/>
  <c r="D197" i="8" s="1"/>
  <c r="G197" i="8" s="1"/>
  <c r="D209" i="8" s="1"/>
  <c r="G209" i="8" s="1"/>
  <c r="D221" i="8" s="1"/>
  <c r="G221" i="8" s="1"/>
  <c r="D233" i="8" s="1"/>
  <c r="G233" i="8" s="1"/>
  <c r="D245" i="8" s="1"/>
  <c r="G245" i="8" s="1"/>
  <c r="D257" i="8" s="1"/>
  <c r="G257" i="8" s="1"/>
  <c r="D269" i="8" s="1"/>
  <c r="G269" i="8" s="1"/>
  <c r="D281" i="8" s="1"/>
  <c r="G281" i="8" s="1"/>
  <c r="D293" i="8" s="1"/>
  <c r="G293" i="8" s="1"/>
  <c r="D305" i="8" s="1"/>
  <c r="G305" i="8" s="1"/>
  <c r="D317" i="8" s="1"/>
  <c r="G317" i="8" s="1"/>
  <c r="D329" i="8" s="1"/>
  <c r="G329" i="8" s="1"/>
  <c r="D341" i="8" s="1"/>
  <c r="G341" i="8" s="1"/>
  <c r="D353" i="8" s="1"/>
  <c r="G353" i="8" s="1"/>
  <c r="D365" i="8" s="1"/>
  <c r="G365" i="8" s="1"/>
  <c r="D377" i="8" s="1"/>
  <c r="G377" i="8" s="1"/>
  <c r="D17" i="9" s="1"/>
  <c r="G17" i="9" s="1"/>
  <c r="D29" i="9" s="1"/>
  <c r="G29" i="9" s="1"/>
  <c r="D41" i="9" s="1"/>
  <c r="G41" i="9" s="1"/>
  <c r="D53" i="9" s="1"/>
  <c r="G53" i="9" s="1"/>
  <c r="D65" i="9" s="1"/>
  <c r="G65" i="9" s="1"/>
  <c r="D77" i="9" s="1"/>
  <c r="G77" i="9" s="1"/>
  <c r="D89" i="9" s="1"/>
  <c r="G89" i="9" s="1"/>
  <c r="D101" i="9" s="1"/>
  <c r="G101" i="9" s="1"/>
  <c r="D113" i="9" s="1"/>
  <c r="G113" i="9" s="1"/>
  <c r="D125" i="9" s="1"/>
  <c r="G125" i="9" s="1"/>
  <c r="D137" i="9" s="1"/>
  <c r="G137" i="9" s="1"/>
  <c r="D149" i="9" s="1"/>
  <c r="G149" i="9" s="1"/>
  <c r="D161" i="9" s="1"/>
  <c r="G161" i="9" s="1"/>
  <c r="D173" i="9" s="1"/>
  <c r="G173" i="9" s="1"/>
  <c r="D185" i="9" s="1"/>
  <c r="G185" i="9" s="1"/>
  <c r="D197" i="9" s="1"/>
  <c r="G197" i="9" s="1"/>
  <c r="D209" i="9" s="1"/>
  <c r="G209" i="9" s="1"/>
  <c r="D221" i="9" s="1"/>
  <c r="G221" i="9" s="1"/>
  <c r="D233" i="9" s="1"/>
  <c r="G233" i="9" s="1"/>
  <c r="D245" i="9" s="1"/>
  <c r="G245" i="9" s="1"/>
  <c r="D257" i="9" s="1"/>
  <c r="G257" i="9" s="1"/>
  <c r="D269" i="9" s="1"/>
  <c r="G269" i="9" s="1"/>
  <c r="D281" i="9" s="1"/>
  <c r="G281" i="9" s="1"/>
  <c r="D293" i="9" s="1"/>
  <c r="G293" i="9" s="1"/>
  <c r="D305" i="9" s="1"/>
  <c r="G305" i="9" s="1"/>
  <c r="D317" i="9" s="1"/>
  <c r="G317" i="9" s="1"/>
  <c r="D329" i="9" s="1"/>
  <c r="G329" i="9" s="1"/>
  <c r="D341" i="9" s="1"/>
  <c r="G341" i="9" s="1"/>
  <c r="D353" i="9" s="1"/>
  <c r="G353" i="9" s="1"/>
  <c r="D365" i="9" s="1"/>
  <c r="G365" i="9" s="1"/>
  <c r="G16" i="4"/>
  <c r="D28" i="4" s="1"/>
  <c r="G28" i="4" s="1"/>
  <c r="D40" i="4" s="1"/>
  <c r="G40" i="4" s="1"/>
  <c r="D52" i="4" s="1"/>
  <c r="G52" i="4" s="1"/>
  <c r="D64" i="4" s="1"/>
  <c r="G64" i="4" s="1"/>
  <c r="D76" i="4" s="1"/>
  <c r="G76" i="4" s="1"/>
  <c r="D88" i="4" s="1"/>
  <c r="G88" i="4" s="1"/>
  <c r="D100" i="4" s="1"/>
  <c r="G100" i="4" s="1"/>
  <c r="D112" i="4" s="1"/>
  <c r="G112" i="4" s="1"/>
  <c r="D124" i="4" s="1"/>
  <c r="G124" i="4" s="1"/>
  <c r="D136" i="4" s="1"/>
  <c r="G136" i="4" s="1"/>
  <c r="D148" i="4" s="1"/>
  <c r="G148" i="4" s="1"/>
  <c r="D160" i="4" s="1"/>
  <c r="G160" i="4" s="1"/>
  <c r="D172" i="4" s="1"/>
  <c r="G172" i="4" s="1"/>
  <c r="D184" i="4" s="1"/>
  <c r="G184" i="4" s="1"/>
  <c r="D196" i="4" s="1"/>
  <c r="G196" i="4" s="1"/>
  <c r="D208" i="4" s="1"/>
  <c r="G208" i="4" s="1"/>
  <c r="D220" i="4" s="1"/>
  <c r="G220" i="4" s="1"/>
  <c r="D232" i="4" s="1"/>
  <c r="G232" i="4" s="1"/>
  <c r="D244" i="4" s="1"/>
  <c r="G244" i="4" s="1"/>
  <c r="D256" i="4" s="1"/>
  <c r="G256" i="4" s="1"/>
  <c r="D268" i="4" s="1"/>
  <c r="G268" i="4" s="1"/>
  <c r="D280" i="4" s="1"/>
  <c r="G280" i="4" s="1"/>
  <c r="D292" i="4" s="1"/>
  <c r="G292" i="4" s="1"/>
  <c r="D304" i="4" s="1"/>
  <c r="G304" i="4" s="1"/>
  <c r="D316" i="4" s="1"/>
  <c r="G316" i="4" s="1"/>
  <c r="D328" i="4" s="1"/>
  <c r="G328" i="4" s="1"/>
  <c r="D340" i="4" s="1"/>
  <c r="G340" i="4" s="1"/>
  <c r="D352" i="4" s="1"/>
  <c r="G352" i="4" s="1"/>
  <c r="D364" i="4" s="1"/>
  <c r="G364" i="4" s="1"/>
  <c r="D376" i="4" s="1"/>
  <c r="G376" i="4" s="1"/>
  <c r="D16" i="5" s="1"/>
  <c r="G16" i="5" s="1"/>
  <c r="D28" i="5" s="1"/>
  <c r="G28" i="5" s="1"/>
  <c r="D40" i="5" s="1"/>
  <c r="G40" i="5" s="1"/>
  <c r="D52" i="5" s="1"/>
  <c r="G52" i="5" s="1"/>
  <c r="D64" i="5" s="1"/>
  <c r="G64" i="5" s="1"/>
  <c r="D76" i="5" s="1"/>
  <c r="G76" i="5" s="1"/>
  <c r="D88" i="5" s="1"/>
  <c r="G88" i="5" s="1"/>
  <c r="D100" i="5" s="1"/>
  <c r="G100" i="5" s="1"/>
  <c r="D112" i="5" s="1"/>
  <c r="G112" i="5" s="1"/>
  <c r="D124" i="5" s="1"/>
  <c r="G124" i="5" s="1"/>
  <c r="D136" i="5" s="1"/>
  <c r="G136" i="5" s="1"/>
  <c r="D148" i="5" s="1"/>
  <c r="G148" i="5" s="1"/>
  <c r="D160" i="5" s="1"/>
  <c r="G160" i="5" s="1"/>
  <c r="D172" i="5" s="1"/>
  <c r="G172" i="5" s="1"/>
  <c r="D184" i="5" s="1"/>
  <c r="G184" i="5" s="1"/>
  <c r="D196" i="5" s="1"/>
  <c r="G196" i="5" s="1"/>
  <c r="D208" i="5" s="1"/>
  <c r="G208" i="5" s="1"/>
  <c r="D220" i="5" s="1"/>
  <c r="G220" i="5" s="1"/>
  <c r="D232" i="5" s="1"/>
  <c r="G232" i="5" s="1"/>
  <c r="D244" i="5" s="1"/>
  <c r="G244" i="5" s="1"/>
  <c r="D256" i="5" s="1"/>
  <c r="G256" i="5" s="1"/>
  <c r="D268" i="5" s="1"/>
  <c r="G268" i="5" s="1"/>
  <c r="D280" i="5" s="1"/>
  <c r="G280" i="5" s="1"/>
  <c r="D292" i="5" s="1"/>
  <c r="G292" i="5" s="1"/>
  <c r="D304" i="5" s="1"/>
  <c r="G304" i="5" s="1"/>
  <c r="D316" i="5" s="1"/>
  <c r="G316" i="5" s="1"/>
  <c r="D328" i="5" s="1"/>
  <c r="G328" i="5" s="1"/>
  <c r="D340" i="5" s="1"/>
  <c r="G340" i="5" s="1"/>
  <c r="D16" i="6" s="1"/>
  <c r="G16" i="6" s="1"/>
  <c r="D28" i="6" s="1"/>
  <c r="G28" i="6" s="1"/>
  <c r="D40" i="6" s="1"/>
  <c r="G40" i="6" s="1"/>
  <c r="D52" i="6" s="1"/>
  <c r="G52" i="6" s="1"/>
  <c r="D64" i="6" s="1"/>
  <c r="G64" i="6" s="1"/>
  <c r="D76" i="6" s="1"/>
  <c r="G76" i="6" s="1"/>
  <c r="D88" i="6" s="1"/>
  <c r="G88" i="6" s="1"/>
  <c r="D100" i="6" s="1"/>
  <c r="G100" i="6" s="1"/>
  <c r="D112" i="6" s="1"/>
  <c r="G112" i="6" s="1"/>
  <c r="D124" i="6" s="1"/>
  <c r="G124" i="6" s="1"/>
  <c r="D136" i="6" s="1"/>
  <c r="G136" i="6" s="1"/>
  <c r="D148" i="6" s="1"/>
  <c r="G148" i="6" s="1"/>
  <c r="D160" i="6" s="1"/>
  <c r="G160" i="6" s="1"/>
  <c r="D172" i="6" s="1"/>
  <c r="G172" i="6" s="1"/>
  <c r="D184" i="6" s="1"/>
  <c r="G184" i="6" s="1"/>
  <c r="D196" i="6" s="1"/>
  <c r="G196" i="6" s="1"/>
  <c r="D208" i="6" s="1"/>
  <c r="G208" i="6" s="1"/>
  <c r="D220" i="6" s="1"/>
  <c r="G220" i="6" s="1"/>
  <c r="D232" i="6" s="1"/>
  <c r="G232" i="6" s="1"/>
  <c r="D244" i="6" s="1"/>
  <c r="G244" i="6" s="1"/>
  <c r="D256" i="6" s="1"/>
  <c r="G256" i="6" s="1"/>
  <c r="D268" i="6" s="1"/>
  <c r="G268" i="6" s="1"/>
  <c r="D280" i="6" s="1"/>
  <c r="G280" i="6" s="1"/>
  <c r="D292" i="6" s="1"/>
  <c r="G292" i="6" s="1"/>
  <c r="D304" i="6" s="1"/>
  <c r="G304" i="6" s="1"/>
  <c r="D316" i="6" s="1"/>
  <c r="G316" i="6" s="1"/>
  <c r="D328" i="6" s="1"/>
  <c r="G328" i="6" s="1"/>
  <c r="D340" i="6" s="1"/>
  <c r="G340" i="6" s="1"/>
  <c r="D352" i="6" s="1"/>
  <c r="G352" i="6" s="1"/>
  <c r="D364" i="6" s="1"/>
  <c r="G364" i="6" s="1"/>
  <c r="D376" i="6" s="1"/>
  <c r="G376" i="6" s="1"/>
  <c r="D16" i="7" s="1"/>
  <c r="G16" i="7" s="1"/>
  <c r="D28" i="7" s="1"/>
  <c r="G28" i="7" s="1"/>
  <c r="D40" i="7" s="1"/>
  <c r="G40" i="7" s="1"/>
  <c r="D52" i="7" s="1"/>
  <c r="G52" i="7" s="1"/>
  <c r="D64" i="7" s="1"/>
  <c r="G64" i="7" s="1"/>
  <c r="D76" i="7" s="1"/>
  <c r="G76" i="7" s="1"/>
  <c r="D88" i="7" s="1"/>
  <c r="G88" i="7" s="1"/>
  <c r="D100" i="7" s="1"/>
  <c r="G100" i="7" s="1"/>
  <c r="D112" i="7" s="1"/>
  <c r="G112" i="7" s="1"/>
  <c r="D124" i="7" s="1"/>
  <c r="G124" i="7" s="1"/>
  <c r="D136" i="7" s="1"/>
  <c r="G136" i="7" s="1"/>
  <c r="D148" i="7" s="1"/>
  <c r="G148" i="7" s="1"/>
  <c r="D160" i="7" s="1"/>
  <c r="G160" i="7" s="1"/>
  <c r="D172" i="7" s="1"/>
  <c r="G172" i="7" s="1"/>
  <c r="D184" i="7" s="1"/>
  <c r="G184" i="7" s="1"/>
  <c r="D196" i="7" s="1"/>
  <c r="G196" i="7" s="1"/>
  <c r="D208" i="7" s="1"/>
  <c r="G208" i="7" s="1"/>
  <c r="D220" i="7" s="1"/>
  <c r="G220" i="7" s="1"/>
  <c r="D232" i="7" s="1"/>
  <c r="G232" i="7" s="1"/>
  <c r="D244" i="7" s="1"/>
  <c r="G244" i="7" s="1"/>
  <c r="D256" i="7" s="1"/>
  <c r="G256" i="7" s="1"/>
  <c r="D268" i="7" s="1"/>
  <c r="G268" i="7" s="1"/>
  <c r="D280" i="7" s="1"/>
  <c r="G280" i="7" s="1"/>
  <c r="D292" i="7" s="1"/>
  <c r="G292" i="7" s="1"/>
  <c r="D304" i="7" s="1"/>
  <c r="G304" i="7" s="1"/>
  <c r="D316" i="7" s="1"/>
  <c r="G316" i="7" s="1"/>
  <c r="D328" i="7" s="1"/>
  <c r="G328" i="7" s="1"/>
  <c r="D340" i="7" s="1"/>
  <c r="G340" i="7" s="1"/>
  <c r="D352" i="7" s="1"/>
  <c r="G352" i="7" s="1"/>
  <c r="D364" i="7" s="1"/>
  <c r="G364" i="7" s="1"/>
  <c r="D16" i="8" s="1"/>
  <c r="G16" i="8" s="1"/>
  <c r="D28" i="8" s="1"/>
  <c r="G28" i="8" s="1"/>
  <c r="D40" i="8" s="1"/>
  <c r="G40" i="8" s="1"/>
  <c r="D52" i="8" s="1"/>
  <c r="G52" i="8" s="1"/>
  <c r="D64" i="8" s="1"/>
  <c r="G64" i="8" s="1"/>
  <c r="D76" i="8" s="1"/>
  <c r="G76" i="8" s="1"/>
  <c r="D88" i="8" s="1"/>
  <c r="G88" i="8" s="1"/>
  <c r="D100" i="8" s="1"/>
  <c r="G100" i="8" s="1"/>
  <c r="D112" i="8" s="1"/>
  <c r="G112" i="8" s="1"/>
  <c r="D124" i="8" s="1"/>
  <c r="G124" i="8" s="1"/>
  <c r="D136" i="8" s="1"/>
  <c r="G136" i="8" s="1"/>
  <c r="D148" i="8" s="1"/>
  <c r="G148" i="8" s="1"/>
  <c r="D160" i="8" s="1"/>
  <c r="G160" i="8" s="1"/>
  <c r="D172" i="8" s="1"/>
  <c r="G172" i="8" s="1"/>
  <c r="D184" i="8" s="1"/>
  <c r="G184" i="8" s="1"/>
  <c r="D196" i="8" s="1"/>
  <c r="G196" i="8" s="1"/>
  <c r="D208" i="8" s="1"/>
  <c r="G208" i="8" s="1"/>
  <c r="D220" i="8" s="1"/>
  <c r="G220" i="8" s="1"/>
  <c r="D232" i="8" s="1"/>
  <c r="G232" i="8" s="1"/>
  <c r="D244" i="8" s="1"/>
  <c r="G244" i="8" s="1"/>
  <c r="D256" i="8" s="1"/>
  <c r="G256" i="8" s="1"/>
  <c r="D268" i="8" s="1"/>
  <c r="G268" i="8" s="1"/>
  <c r="D280" i="8" s="1"/>
  <c r="G280" i="8" s="1"/>
  <c r="D292" i="8" s="1"/>
  <c r="G292" i="8" s="1"/>
  <c r="D304" i="8" s="1"/>
  <c r="G304" i="8" s="1"/>
  <c r="D316" i="8" s="1"/>
  <c r="G316" i="8" s="1"/>
  <c r="D328" i="8" s="1"/>
  <c r="G328" i="8" s="1"/>
  <c r="D340" i="8" s="1"/>
  <c r="G340" i="8" s="1"/>
  <c r="D352" i="8" s="1"/>
  <c r="G352" i="8" s="1"/>
  <c r="D364" i="8" s="1"/>
  <c r="G364" i="8" s="1"/>
  <c r="D376" i="8" s="1"/>
  <c r="G376" i="8" s="1"/>
  <c r="D16" i="9" s="1"/>
  <c r="G16" i="9" s="1"/>
  <c r="D28" i="9" s="1"/>
  <c r="G28" i="9" s="1"/>
  <c r="D40" i="9" s="1"/>
  <c r="G40" i="9" s="1"/>
  <c r="D52" i="9" s="1"/>
  <c r="G52" i="9" s="1"/>
  <c r="D64" i="9" s="1"/>
  <c r="G64" i="9" s="1"/>
  <c r="D76" i="9" s="1"/>
  <c r="G76" i="9" s="1"/>
  <c r="D88" i="9" s="1"/>
  <c r="G88" i="9" s="1"/>
  <c r="D100" i="9" s="1"/>
  <c r="G100" i="9" s="1"/>
  <c r="D112" i="9" s="1"/>
  <c r="G112" i="9" s="1"/>
  <c r="D124" i="9" s="1"/>
  <c r="G124" i="9" s="1"/>
  <c r="D136" i="9" s="1"/>
  <c r="G136" i="9" s="1"/>
  <c r="D148" i="9" s="1"/>
  <c r="G148" i="9" s="1"/>
  <c r="D160" i="9" s="1"/>
  <c r="G160" i="9" s="1"/>
  <c r="D172" i="9" s="1"/>
  <c r="G172" i="9" s="1"/>
  <c r="D184" i="9" s="1"/>
  <c r="G184" i="9" s="1"/>
  <c r="D196" i="9" s="1"/>
  <c r="G196" i="9" s="1"/>
  <c r="D208" i="9" s="1"/>
  <c r="G208" i="9" s="1"/>
  <c r="D220" i="9" s="1"/>
  <c r="G220" i="9" s="1"/>
  <c r="D232" i="9" s="1"/>
  <c r="G232" i="9" s="1"/>
  <c r="D244" i="9" s="1"/>
  <c r="G244" i="9" s="1"/>
  <c r="D256" i="9" s="1"/>
  <c r="G256" i="9" s="1"/>
  <c r="D268" i="9" s="1"/>
  <c r="G268" i="9" s="1"/>
  <c r="D280" i="9" s="1"/>
  <c r="G280" i="9" s="1"/>
  <c r="D292" i="9" s="1"/>
  <c r="G292" i="9" s="1"/>
  <c r="D304" i="9" s="1"/>
  <c r="G304" i="9" s="1"/>
  <c r="D316" i="9" s="1"/>
  <c r="G316" i="9" s="1"/>
  <c r="D328" i="9" s="1"/>
  <c r="G328" i="9" s="1"/>
  <c r="D340" i="9" s="1"/>
  <c r="G340" i="9" s="1"/>
  <c r="D352" i="9" s="1"/>
  <c r="G352" i="9" s="1"/>
  <c r="D364" i="9" s="1"/>
  <c r="G364" i="9" s="1"/>
  <c r="G15" i="4"/>
  <c r="D27" i="4" s="1"/>
  <c r="G27" i="4" s="1"/>
  <c r="D39" i="4" s="1"/>
  <c r="G39" i="4" s="1"/>
  <c r="D51" i="4" s="1"/>
  <c r="G51" i="4" s="1"/>
  <c r="D63" i="4" s="1"/>
  <c r="G63" i="4" s="1"/>
  <c r="D75" i="4" s="1"/>
  <c r="G75" i="4" s="1"/>
  <c r="D87" i="4" s="1"/>
  <c r="G87" i="4" s="1"/>
  <c r="D99" i="4" s="1"/>
  <c r="G99" i="4" s="1"/>
  <c r="D111" i="4" s="1"/>
  <c r="G111" i="4" s="1"/>
  <c r="D123" i="4" s="1"/>
  <c r="G123" i="4" s="1"/>
  <c r="D135" i="4" s="1"/>
  <c r="G135" i="4" s="1"/>
  <c r="D147" i="4" s="1"/>
  <c r="G147" i="4" s="1"/>
  <c r="D159" i="4" s="1"/>
  <c r="G159" i="4" s="1"/>
  <c r="D171" i="4" s="1"/>
  <c r="G171" i="4" s="1"/>
  <c r="D183" i="4" s="1"/>
  <c r="G183" i="4" s="1"/>
  <c r="D195" i="4" s="1"/>
  <c r="G195" i="4" s="1"/>
  <c r="D207" i="4" s="1"/>
  <c r="G207" i="4" s="1"/>
  <c r="D219" i="4" s="1"/>
  <c r="G219" i="4" s="1"/>
  <c r="D231" i="4" s="1"/>
  <c r="G231" i="4" s="1"/>
  <c r="D243" i="4" s="1"/>
  <c r="G243" i="4" s="1"/>
  <c r="D255" i="4" s="1"/>
  <c r="G255" i="4" s="1"/>
  <c r="D267" i="4" s="1"/>
  <c r="G267" i="4" s="1"/>
  <c r="D279" i="4" s="1"/>
  <c r="G279" i="4" s="1"/>
  <c r="D291" i="4" s="1"/>
  <c r="G291" i="4" s="1"/>
  <c r="D303" i="4" s="1"/>
  <c r="G303" i="4" s="1"/>
  <c r="D315" i="4" s="1"/>
  <c r="G315" i="4" s="1"/>
  <c r="D327" i="4" s="1"/>
  <c r="G327" i="4" s="1"/>
  <c r="D339" i="4" s="1"/>
  <c r="G339" i="4" s="1"/>
  <c r="D351" i="4" s="1"/>
  <c r="G351" i="4" s="1"/>
  <c r="D363" i="4" s="1"/>
  <c r="G363" i="4" s="1"/>
  <c r="D375" i="4" s="1"/>
  <c r="G375" i="4" s="1"/>
  <c r="D15" i="5" s="1"/>
  <c r="G15" i="5" s="1"/>
  <c r="D27" i="5" s="1"/>
  <c r="G27" i="5" s="1"/>
  <c r="D39" i="5" s="1"/>
  <c r="G39" i="5" s="1"/>
  <c r="D51" i="5" s="1"/>
  <c r="G51" i="5" s="1"/>
  <c r="D63" i="5" s="1"/>
  <c r="G63" i="5" s="1"/>
  <c r="D75" i="5" s="1"/>
  <c r="G75" i="5" s="1"/>
  <c r="D87" i="5" s="1"/>
  <c r="G87" i="5" s="1"/>
  <c r="D99" i="5" s="1"/>
  <c r="G99" i="5" s="1"/>
  <c r="D111" i="5" s="1"/>
  <c r="G111" i="5" s="1"/>
  <c r="D123" i="5" s="1"/>
  <c r="G123" i="5" s="1"/>
  <c r="D135" i="5" s="1"/>
  <c r="G135" i="5" s="1"/>
  <c r="D147" i="5" s="1"/>
  <c r="G147" i="5" s="1"/>
  <c r="D159" i="5" s="1"/>
  <c r="G159" i="5" s="1"/>
  <c r="D171" i="5" s="1"/>
  <c r="G171" i="5" s="1"/>
  <c r="D183" i="5" s="1"/>
  <c r="G183" i="5" s="1"/>
  <c r="D195" i="5" s="1"/>
  <c r="G195" i="5" s="1"/>
  <c r="D207" i="5" s="1"/>
  <c r="G207" i="5" s="1"/>
  <c r="D219" i="5" s="1"/>
  <c r="G219" i="5" s="1"/>
  <c r="D231" i="5" s="1"/>
  <c r="G231" i="5" s="1"/>
  <c r="D243" i="5" s="1"/>
  <c r="G243" i="5" s="1"/>
  <c r="D255" i="5" s="1"/>
  <c r="G255" i="5" s="1"/>
  <c r="D267" i="5" s="1"/>
  <c r="G267" i="5" s="1"/>
  <c r="D279" i="5" s="1"/>
  <c r="G279" i="5" s="1"/>
  <c r="D291" i="5" s="1"/>
  <c r="G291" i="5" s="1"/>
  <c r="D303" i="5" s="1"/>
  <c r="G303" i="5" s="1"/>
  <c r="D315" i="5" s="1"/>
  <c r="G315" i="5" s="1"/>
  <c r="D327" i="5" s="1"/>
  <c r="G327" i="5" s="1"/>
  <c r="D339" i="5" s="1"/>
  <c r="G339" i="5" s="1"/>
  <c r="D15" i="6" s="1"/>
  <c r="G15" i="6" s="1"/>
  <c r="D27" i="6" s="1"/>
  <c r="G27" i="6" s="1"/>
  <c r="D39" i="6" s="1"/>
  <c r="G39" i="6" s="1"/>
  <c r="D51" i="6" s="1"/>
  <c r="G51" i="6" s="1"/>
  <c r="D63" i="6" s="1"/>
  <c r="G63" i="6" s="1"/>
  <c r="D75" i="6" s="1"/>
  <c r="G75" i="6" s="1"/>
  <c r="D87" i="6" s="1"/>
  <c r="G87" i="6" s="1"/>
  <c r="D99" i="6" s="1"/>
  <c r="G99" i="6" s="1"/>
  <c r="D111" i="6" s="1"/>
  <c r="G111" i="6" s="1"/>
  <c r="D123" i="6" s="1"/>
  <c r="G123" i="6" s="1"/>
  <c r="D135" i="6" s="1"/>
  <c r="G135" i="6" s="1"/>
  <c r="D147" i="6" s="1"/>
  <c r="G147" i="6" s="1"/>
  <c r="D159" i="6" s="1"/>
  <c r="G159" i="6" s="1"/>
  <c r="D171" i="6" s="1"/>
  <c r="G171" i="6" s="1"/>
  <c r="D183" i="6" s="1"/>
  <c r="G183" i="6" s="1"/>
  <c r="D195" i="6" s="1"/>
  <c r="G195" i="6" s="1"/>
  <c r="D207" i="6" s="1"/>
  <c r="G207" i="6" s="1"/>
  <c r="D219" i="6" s="1"/>
  <c r="G219" i="6" s="1"/>
  <c r="D231" i="6" s="1"/>
  <c r="G231" i="6" s="1"/>
  <c r="D243" i="6" s="1"/>
  <c r="G243" i="6" s="1"/>
  <c r="D255" i="6" s="1"/>
  <c r="G255" i="6" s="1"/>
  <c r="D267" i="6" s="1"/>
  <c r="G267" i="6" s="1"/>
  <c r="D279" i="6" s="1"/>
  <c r="G279" i="6" s="1"/>
  <c r="D291" i="6" s="1"/>
  <c r="G291" i="6" s="1"/>
  <c r="D303" i="6" s="1"/>
  <c r="G303" i="6" s="1"/>
  <c r="D315" i="6" s="1"/>
  <c r="G315" i="6" s="1"/>
  <c r="D327" i="6" s="1"/>
  <c r="G327" i="6" s="1"/>
  <c r="D339" i="6" s="1"/>
  <c r="G339" i="6" s="1"/>
  <c r="D351" i="6" s="1"/>
  <c r="G351" i="6" s="1"/>
  <c r="D363" i="6" s="1"/>
  <c r="G363" i="6" s="1"/>
  <c r="D375" i="6" s="1"/>
  <c r="G375" i="6" s="1"/>
  <c r="D15" i="7" s="1"/>
  <c r="G15" i="7" s="1"/>
  <c r="D27" i="7" s="1"/>
  <c r="G27" i="7" s="1"/>
  <c r="D39" i="7" s="1"/>
  <c r="G39" i="7" s="1"/>
  <c r="D51" i="7" s="1"/>
  <c r="G51" i="7" s="1"/>
  <c r="D63" i="7" s="1"/>
  <c r="G63" i="7" s="1"/>
  <c r="D75" i="7" s="1"/>
  <c r="G75" i="7" s="1"/>
  <c r="D87" i="7" s="1"/>
  <c r="G87" i="7" s="1"/>
  <c r="D99" i="7" s="1"/>
  <c r="G99" i="7" s="1"/>
  <c r="D111" i="7" s="1"/>
  <c r="G111" i="7" s="1"/>
  <c r="D123" i="7" s="1"/>
  <c r="G123" i="7" s="1"/>
  <c r="D135" i="7" s="1"/>
  <c r="G135" i="7" s="1"/>
  <c r="D147" i="7" s="1"/>
  <c r="G147" i="7" s="1"/>
  <c r="D159" i="7" s="1"/>
  <c r="G159" i="7" s="1"/>
  <c r="D171" i="7" s="1"/>
  <c r="G171" i="7" s="1"/>
  <c r="D183" i="7" s="1"/>
  <c r="G183" i="7" s="1"/>
  <c r="D195" i="7" s="1"/>
  <c r="G195" i="7" s="1"/>
  <c r="D207" i="7" s="1"/>
  <c r="G207" i="7" s="1"/>
  <c r="D219" i="7" s="1"/>
  <c r="G219" i="7" s="1"/>
  <c r="D231" i="7" s="1"/>
  <c r="G231" i="7" s="1"/>
  <c r="D243" i="7" s="1"/>
  <c r="G243" i="7" s="1"/>
  <c r="D255" i="7" s="1"/>
  <c r="G255" i="7" s="1"/>
  <c r="D267" i="7" s="1"/>
  <c r="G267" i="7" s="1"/>
  <c r="D279" i="7" s="1"/>
  <c r="G279" i="7" s="1"/>
  <c r="D291" i="7" s="1"/>
  <c r="G291" i="7" s="1"/>
  <c r="D303" i="7" s="1"/>
  <c r="G303" i="7" s="1"/>
  <c r="D315" i="7" s="1"/>
  <c r="G315" i="7" s="1"/>
  <c r="D327" i="7" s="1"/>
  <c r="G327" i="7" s="1"/>
  <c r="D339" i="7" s="1"/>
  <c r="G339" i="7" s="1"/>
  <c r="D351" i="7" s="1"/>
  <c r="G351" i="7" s="1"/>
  <c r="D363" i="7" s="1"/>
  <c r="G363" i="7" s="1"/>
  <c r="D15" i="8" s="1"/>
  <c r="G15" i="8" s="1"/>
  <c r="D27" i="8" s="1"/>
  <c r="G27" i="8" s="1"/>
  <c r="D39" i="8" s="1"/>
  <c r="G39" i="8" s="1"/>
  <c r="D51" i="8" s="1"/>
  <c r="G51" i="8" s="1"/>
  <c r="D63" i="8" s="1"/>
  <c r="G63" i="8" s="1"/>
  <c r="D75" i="8" s="1"/>
  <c r="G75" i="8" s="1"/>
  <c r="D87" i="8" s="1"/>
  <c r="G87" i="8" s="1"/>
  <c r="D99" i="8" s="1"/>
  <c r="G99" i="8" s="1"/>
  <c r="D111" i="8" s="1"/>
  <c r="G111" i="8" s="1"/>
  <c r="D123" i="8" s="1"/>
  <c r="G123" i="8" s="1"/>
  <c r="D135" i="8" s="1"/>
  <c r="G135" i="8" s="1"/>
  <c r="D147" i="8" s="1"/>
  <c r="G147" i="8" s="1"/>
  <c r="D159" i="8" s="1"/>
  <c r="G159" i="8" s="1"/>
  <c r="D171" i="8" s="1"/>
  <c r="G171" i="8" s="1"/>
  <c r="D183" i="8" s="1"/>
  <c r="G183" i="8" s="1"/>
  <c r="D195" i="8" s="1"/>
  <c r="G195" i="8" s="1"/>
  <c r="D207" i="8" s="1"/>
  <c r="G207" i="8" s="1"/>
  <c r="D219" i="8" s="1"/>
  <c r="G219" i="8" s="1"/>
  <c r="D231" i="8" s="1"/>
  <c r="G231" i="8" s="1"/>
  <c r="D243" i="8" s="1"/>
  <c r="G243" i="8" s="1"/>
  <c r="D255" i="8" s="1"/>
  <c r="G255" i="8" s="1"/>
  <c r="D267" i="8" s="1"/>
  <c r="G267" i="8" s="1"/>
  <c r="D279" i="8" s="1"/>
  <c r="G279" i="8" s="1"/>
  <c r="D291" i="8" s="1"/>
  <c r="G291" i="8" s="1"/>
  <c r="D303" i="8" s="1"/>
  <c r="G303" i="8" s="1"/>
  <c r="D315" i="8" s="1"/>
  <c r="G315" i="8" s="1"/>
  <c r="D327" i="8" s="1"/>
  <c r="G327" i="8" s="1"/>
  <c r="D339" i="8" s="1"/>
  <c r="G339" i="8" s="1"/>
  <c r="D351" i="8" s="1"/>
  <c r="G351" i="8" s="1"/>
  <c r="D363" i="8" s="1"/>
  <c r="G363" i="8" s="1"/>
  <c r="D375" i="8" s="1"/>
  <c r="G375" i="8" s="1"/>
  <c r="D15" i="9" s="1"/>
  <c r="G15" i="9" s="1"/>
  <c r="D27" i="9" s="1"/>
  <c r="G27" i="9" s="1"/>
  <c r="D39" i="9" s="1"/>
  <c r="G39" i="9" s="1"/>
  <c r="D51" i="9" s="1"/>
  <c r="G51" i="9" s="1"/>
  <c r="D63" i="9" s="1"/>
  <c r="G63" i="9" s="1"/>
  <c r="D75" i="9" s="1"/>
  <c r="G75" i="9" s="1"/>
  <c r="D87" i="9" s="1"/>
  <c r="G87" i="9" s="1"/>
  <c r="D99" i="9" s="1"/>
  <c r="G99" i="9" s="1"/>
  <c r="D111" i="9" s="1"/>
  <c r="G111" i="9" s="1"/>
  <c r="D123" i="9" s="1"/>
  <c r="G123" i="9" s="1"/>
  <c r="D135" i="9" s="1"/>
  <c r="G135" i="9" s="1"/>
  <c r="D147" i="9" s="1"/>
  <c r="G147" i="9" s="1"/>
  <c r="D159" i="9" s="1"/>
  <c r="G159" i="9" s="1"/>
  <c r="D171" i="9" s="1"/>
  <c r="G171" i="9" s="1"/>
  <c r="D183" i="9" s="1"/>
  <c r="G183" i="9" s="1"/>
  <c r="D195" i="9" s="1"/>
  <c r="G195" i="9" s="1"/>
  <c r="D207" i="9" s="1"/>
  <c r="G207" i="9" s="1"/>
  <c r="D219" i="9" s="1"/>
  <c r="G219" i="9" s="1"/>
  <c r="D231" i="9" s="1"/>
  <c r="G231" i="9" s="1"/>
  <c r="D243" i="9" s="1"/>
  <c r="G243" i="9" s="1"/>
  <c r="D255" i="9" s="1"/>
  <c r="G255" i="9" s="1"/>
  <c r="D267" i="9" s="1"/>
  <c r="G267" i="9" s="1"/>
  <c r="D279" i="9" s="1"/>
  <c r="G279" i="9" s="1"/>
  <c r="D291" i="9" s="1"/>
  <c r="G291" i="9" s="1"/>
  <c r="D303" i="9" s="1"/>
  <c r="G303" i="9" s="1"/>
  <c r="D315" i="9" s="1"/>
  <c r="G315" i="9" s="1"/>
  <c r="D327" i="9" s="1"/>
  <c r="G327" i="9" s="1"/>
  <c r="D339" i="9" s="1"/>
  <c r="G339" i="9" s="1"/>
  <c r="D351" i="9" s="1"/>
  <c r="G351" i="9" s="1"/>
  <c r="D363" i="9" s="1"/>
  <c r="G363" i="9" s="1"/>
  <c r="G14" i="4"/>
  <c r="D26" i="4" s="1"/>
  <c r="G26" i="4" s="1"/>
  <c r="D38" i="4" s="1"/>
  <c r="G38" i="4" s="1"/>
  <c r="D50" i="4" s="1"/>
  <c r="G50" i="4" s="1"/>
  <c r="D62" i="4" s="1"/>
  <c r="G62" i="4" s="1"/>
  <c r="D74" i="4" s="1"/>
  <c r="G74" i="4" s="1"/>
  <c r="D86" i="4" s="1"/>
  <c r="G86" i="4" s="1"/>
  <c r="D98" i="4" s="1"/>
  <c r="G98" i="4" s="1"/>
  <c r="D110" i="4" s="1"/>
  <c r="G110" i="4" s="1"/>
  <c r="D122" i="4" s="1"/>
  <c r="G122" i="4" s="1"/>
  <c r="D134" i="4" s="1"/>
  <c r="G134" i="4" s="1"/>
  <c r="D146" i="4" s="1"/>
  <c r="G146" i="4" s="1"/>
  <c r="D158" i="4" s="1"/>
  <c r="G158" i="4" s="1"/>
  <c r="D170" i="4" s="1"/>
  <c r="G170" i="4" s="1"/>
  <c r="D182" i="4" s="1"/>
  <c r="G182" i="4" s="1"/>
  <c r="D194" i="4" s="1"/>
  <c r="G194" i="4" s="1"/>
  <c r="D206" i="4" s="1"/>
  <c r="G206" i="4" s="1"/>
  <c r="D218" i="4" s="1"/>
  <c r="G218" i="4" s="1"/>
  <c r="D230" i="4" s="1"/>
  <c r="G230" i="4" s="1"/>
  <c r="D242" i="4" s="1"/>
  <c r="G242" i="4" s="1"/>
  <c r="D254" i="4" s="1"/>
  <c r="G254" i="4" s="1"/>
  <c r="D266" i="4" s="1"/>
  <c r="G266" i="4" s="1"/>
  <c r="D278" i="4" s="1"/>
  <c r="G278" i="4" s="1"/>
  <c r="D290" i="4" s="1"/>
  <c r="G290" i="4" s="1"/>
  <c r="D302" i="4" s="1"/>
  <c r="G302" i="4" s="1"/>
  <c r="D314" i="4" s="1"/>
  <c r="G314" i="4" s="1"/>
  <c r="D326" i="4" s="1"/>
  <c r="G326" i="4" s="1"/>
  <c r="D338" i="4" s="1"/>
  <c r="G338" i="4" s="1"/>
  <c r="D350" i="4" s="1"/>
  <c r="G350" i="4" s="1"/>
  <c r="D362" i="4" s="1"/>
  <c r="G362" i="4" s="1"/>
  <c r="D374" i="4" s="1"/>
  <c r="G374" i="4" s="1"/>
  <c r="D14" i="5" s="1"/>
  <c r="G14" i="5" s="1"/>
  <c r="D26" i="5" s="1"/>
  <c r="G26" i="5" s="1"/>
  <c r="D38" i="5" s="1"/>
  <c r="G38" i="5" s="1"/>
  <c r="D50" i="5" s="1"/>
  <c r="G50" i="5" s="1"/>
  <c r="D62" i="5" s="1"/>
  <c r="G62" i="5" s="1"/>
  <c r="D74" i="5" s="1"/>
  <c r="G74" i="5" s="1"/>
  <c r="D86" i="5" s="1"/>
  <c r="G86" i="5" s="1"/>
  <c r="D98" i="5" s="1"/>
  <c r="G98" i="5" s="1"/>
  <c r="D110" i="5" s="1"/>
  <c r="G110" i="5" s="1"/>
  <c r="D122" i="5" s="1"/>
  <c r="G122" i="5" s="1"/>
  <c r="D134" i="5" s="1"/>
  <c r="G134" i="5" s="1"/>
  <c r="D146" i="5" s="1"/>
  <c r="G146" i="5" s="1"/>
  <c r="D158" i="5" s="1"/>
  <c r="G158" i="5" s="1"/>
  <c r="D170" i="5" s="1"/>
  <c r="G170" i="5" s="1"/>
  <c r="D182" i="5" s="1"/>
  <c r="G182" i="5" s="1"/>
  <c r="D194" i="5" s="1"/>
  <c r="G194" i="5" s="1"/>
  <c r="D206" i="5" s="1"/>
  <c r="G206" i="5" s="1"/>
  <c r="D218" i="5" s="1"/>
  <c r="G218" i="5" s="1"/>
  <c r="D230" i="5" s="1"/>
  <c r="G230" i="5" s="1"/>
  <c r="D242" i="5" s="1"/>
  <c r="G242" i="5" s="1"/>
  <c r="D254" i="5" s="1"/>
  <c r="G254" i="5" s="1"/>
  <c r="D266" i="5" s="1"/>
  <c r="G266" i="5" s="1"/>
  <c r="D278" i="5" s="1"/>
  <c r="G278" i="5" s="1"/>
  <c r="D290" i="5" s="1"/>
  <c r="G290" i="5" s="1"/>
  <c r="D302" i="5" s="1"/>
  <c r="G302" i="5" s="1"/>
  <c r="D314" i="5" s="1"/>
  <c r="G314" i="5" s="1"/>
  <c r="D326" i="5" s="1"/>
  <c r="G326" i="5" s="1"/>
  <c r="D338" i="5" s="1"/>
  <c r="G338" i="5" s="1"/>
  <c r="D14" i="6" s="1"/>
  <c r="G14" i="6" s="1"/>
  <c r="D26" i="6" s="1"/>
  <c r="G26" i="6" s="1"/>
  <c r="D38" i="6" s="1"/>
  <c r="G38" i="6" s="1"/>
  <c r="D50" i="6" s="1"/>
  <c r="G50" i="6" s="1"/>
  <c r="D62" i="6" s="1"/>
  <c r="G62" i="6" s="1"/>
  <c r="D74" i="6" s="1"/>
  <c r="G74" i="6" s="1"/>
  <c r="D86" i="6" s="1"/>
  <c r="G86" i="6" s="1"/>
  <c r="D98" i="6" s="1"/>
  <c r="G98" i="6" s="1"/>
  <c r="D110" i="6" s="1"/>
  <c r="G110" i="6" s="1"/>
  <c r="D122" i="6" s="1"/>
  <c r="G122" i="6" s="1"/>
  <c r="D134" i="6" s="1"/>
  <c r="G134" i="6" s="1"/>
  <c r="D146" i="6" s="1"/>
  <c r="G146" i="6" s="1"/>
  <c r="D158" i="6" s="1"/>
  <c r="G158" i="6" s="1"/>
  <c r="D170" i="6" s="1"/>
  <c r="G170" i="6" s="1"/>
  <c r="D182" i="6" s="1"/>
  <c r="G182" i="6" s="1"/>
  <c r="D194" i="6" s="1"/>
  <c r="G194" i="6" s="1"/>
  <c r="D206" i="6" s="1"/>
  <c r="G206" i="6" s="1"/>
  <c r="D218" i="6" s="1"/>
  <c r="G218" i="6" s="1"/>
  <c r="D230" i="6" s="1"/>
  <c r="G230" i="6" s="1"/>
  <c r="D242" i="6" s="1"/>
  <c r="G242" i="6" s="1"/>
  <c r="D254" i="6" s="1"/>
  <c r="G254" i="6" s="1"/>
  <c r="D266" i="6" s="1"/>
  <c r="G266" i="6" s="1"/>
  <c r="D278" i="6" s="1"/>
  <c r="G278" i="6" s="1"/>
  <c r="D290" i="6" s="1"/>
  <c r="G290" i="6" s="1"/>
  <c r="D302" i="6" s="1"/>
  <c r="G302" i="6" s="1"/>
  <c r="D314" i="6" s="1"/>
  <c r="G314" i="6" s="1"/>
  <c r="D326" i="6" s="1"/>
  <c r="G326" i="6" s="1"/>
  <c r="D338" i="6" s="1"/>
  <c r="G338" i="6" s="1"/>
  <c r="D350" i="6" s="1"/>
  <c r="G350" i="6" s="1"/>
  <c r="D362" i="6" s="1"/>
  <c r="G362" i="6" s="1"/>
  <c r="D374" i="6" s="1"/>
  <c r="G374" i="6" s="1"/>
  <c r="D14" i="7" s="1"/>
  <c r="G14" i="7" s="1"/>
  <c r="D26" i="7" s="1"/>
  <c r="G26" i="7" s="1"/>
  <c r="D38" i="7" s="1"/>
  <c r="G38" i="7" s="1"/>
  <c r="D50" i="7" s="1"/>
  <c r="G50" i="7" s="1"/>
  <c r="D62" i="7" s="1"/>
  <c r="G62" i="7" s="1"/>
  <c r="D74" i="7" s="1"/>
  <c r="G74" i="7" s="1"/>
  <c r="D86" i="7" s="1"/>
  <c r="G86" i="7" s="1"/>
  <c r="D98" i="7" s="1"/>
  <c r="G98" i="7" s="1"/>
  <c r="D110" i="7" s="1"/>
  <c r="G110" i="7" s="1"/>
  <c r="D122" i="7" s="1"/>
  <c r="G122" i="7" s="1"/>
  <c r="D134" i="7" s="1"/>
  <c r="G134" i="7" s="1"/>
  <c r="D146" i="7" s="1"/>
  <c r="G146" i="7" s="1"/>
  <c r="D158" i="7" s="1"/>
  <c r="G158" i="7" s="1"/>
  <c r="D170" i="7" s="1"/>
  <c r="G170" i="7" s="1"/>
  <c r="D182" i="7" s="1"/>
  <c r="G182" i="7" s="1"/>
  <c r="D194" i="7" s="1"/>
  <c r="G194" i="7" s="1"/>
  <c r="D206" i="7" s="1"/>
  <c r="G206" i="7" s="1"/>
  <c r="D218" i="7" s="1"/>
  <c r="G218" i="7" s="1"/>
  <c r="D230" i="7" s="1"/>
  <c r="G230" i="7" s="1"/>
  <c r="D242" i="7" s="1"/>
  <c r="G242" i="7" s="1"/>
  <c r="D254" i="7" s="1"/>
  <c r="G254" i="7" s="1"/>
  <c r="D266" i="7" s="1"/>
  <c r="G266" i="7" s="1"/>
  <c r="D278" i="7" s="1"/>
  <c r="G278" i="7" s="1"/>
  <c r="D290" i="7" s="1"/>
  <c r="G290" i="7" s="1"/>
  <c r="D302" i="7" s="1"/>
  <c r="G302" i="7" s="1"/>
  <c r="D314" i="7" s="1"/>
  <c r="G314" i="7" s="1"/>
  <c r="D326" i="7" s="1"/>
  <c r="G326" i="7" s="1"/>
  <c r="D338" i="7" s="1"/>
  <c r="G338" i="7" s="1"/>
  <c r="D350" i="7" s="1"/>
  <c r="G350" i="7" s="1"/>
  <c r="D362" i="7" s="1"/>
  <c r="G362" i="7" s="1"/>
  <c r="D14" i="8" s="1"/>
  <c r="G14" i="8" s="1"/>
  <c r="D26" i="8" s="1"/>
  <c r="G26" i="8" s="1"/>
  <c r="D38" i="8" s="1"/>
  <c r="G38" i="8" s="1"/>
  <c r="D50" i="8" s="1"/>
  <c r="G50" i="8" s="1"/>
  <c r="D62" i="8" s="1"/>
  <c r="G62" i="8" s="1"/>
  <c r="D74" i="8" s="1"/>
  <c r="G74" i="8" s="1"/>
  <c r="D86" i="8" s="1"/>
  <c r="G86" i="8" s="1"/>
  <c r="D98" i="8" s="1"/>
  <c r="G98" i="8" s="1"/>
  <c r="D110" i="8" s="1"/>
  <c r="G110" i="8" s="1"/>
  <c r="D122" i="8" s="1"/>
  <c r="G122" i="8" s="1"/>
  <c r="D134" i="8" s="1"/>
  <c r="G134" i="8" s="1"/>
  <c r="D146" i="8" s="1"/>
  <c r="G146" i="8" s="1"/>
  <c r="D158" i="8" s="1"/>
  <c r="G158" i="8" s="1"/>
  <c r="D170" i="8" s="1"/>
  <c r="G170" i="8" s="1"/>
  <c r="D182" i="8" s="1"/>
  <c r="G182" i="8" s="1"/>
  <c r="D194" i="8" s="1"/>
  <c r="G194" i="8" s="1"/>
  <c r="D206" i="8" s="1"/>
  <c r="G206" i="8" s="1"/>
  <c r="D218" i="8" s="1"/>
  <c r="G218" i="8" s="1"/>
  <c r="D230" i="8" s="1"/>
  <c r="G230" i="8" s="1"/>
  <c r="D242" i="8" s="1"/>
  <c r="G242" i="8" s="1"/>
  <c r="D254" i="8" s="1"/>
  <c r="G254" i="8" s="1"/>
  <c r="D266" i="8" s="1"/>
  <c r="G266" i="8" s="1"/>
  <c r="D278" i="8" s="1"/>
  <c r="G278" i="8" s="1"/>
  <c r="D290" i="8" s="1"/>
  <c r="G290" i="8" s="1"/>
  <c r="D302" i="8" s="1"/>
  <c r="G302" i="8" s="1"/>
  <c r="D314" i="8" s="1"/>
  <c r="G314" i="8" s="1"/>
  <c r="D326" i="8" s="1"/>
  <c r="G326" i="8" s="1"/>
  <c r="D338" i="8" s="1"/>
  <c r="G338" i="8" s="1"/>
  <c r="D350" i="8" s="1"/>
  <c r="G350" i="8" s="1"/>
  <c r="D362" i="8" s="1"/>
  <c r="G362" i="8" s="1"/>
  <c r="D374" i="8" s="1"/>
  <c r="G374" i="8" s="1"/>
  <c r="D14" i="9" s="1"/>
  <c r="G14" i="9" s="1"/>
  <c r="D26" i="9" s="1"/>
  <c r="G26" i="9" s="1"/>
  <c r="D38" i="9" s="1"/>
  <c r="G38" i="9" s="1"/>
  <c r="D50" i="9" s="1"/>
  <c r="G50" i="9" s="1"/>
  <c r="D62" i="9" s="1"/>
  <c r="G62" i="9" s="1"/>
  <c r="D74" i="9" s="1"/>
  <c r="G74" i="9" s="1"/>
  <c r="D86" i="9" s="1"/>
  <c r="G86" i="9" s="1"/>
  <c r="D98" i="9" s="1"/>
  <c r="G98" i="9" s="1"/>
  <c r="D110" i="9" s="1"/>
  <c r="G110" i="9" s="1"/>
  <c r="D122" i="9" s="1"/>
  <c r="G122" i="9" s="1"/>
  <c r="D134" i="9" s="1"/>
  <c r="G134" i="9" s="1"/>
  <c r="D146" i="9" s="1"/>
  <c r="G146" i="9" s="1"/>
  <c r="D158" i="9" s="1"/>
  <c r="G158" i="9" s="1"/>
  <c r="D170" i="9" s="1"/>
  <c r="G170" i="9" s="1"/>
  <c r="D182" i="9" s="1"/>
  <c r="G182" i="9" s="1"/>
  <c r="D194" i="9" s="1"/>
  <c r="G194" i="9" s="1"/>
  <c r="D206" i="9" s="1"/>
  <c r="G206" i="9" s="1"/>
  <c r="D218" i="9" s="1"/>
  <c r="G218" i="9" s="1"/>
  <c r="D230" i="9" s="1"/>
  <c r="G230" i="9" s="1"/>
  <c r="D242" i="9" s="1"/>
  <c r="G242" i="9" s="1"/>
  <c r="D254" i="9" s="1"/>
  <c r="G254" i="9" s="1"/>
  <c r="D266" i="9" s="1"/>
  <c r="G266" i="9" s="1"/>
  <c r="D278" i="9" s="1"/>
  <c r="G278" i="9" s="1"/>
  <c r="D290" i="9" s="1"/>
  <c r="G290" i="9" s="1"/>
  <c r="D302" i="9" s="1"/>
  <c r="G302" i="9" s="1"/>
  <c r="D314" i="9" s="1"/>
  <c r="G314" i="9" s="1"/>
  <c r="D326" i="9" s="1"/>
  <c r="G326" i="9" s="1"/>
  <c r="D338" i="9" s="1"/>
  <c r="G338" i="9" s="1"/>
  <c r="D350" i="9" s="1"/>
  <c r="G350" i="9" s="1"/>
  <c r="D362" i="9" s="1"/>
  <c r="G362" i="9" s="1"/>
  <c r="G13" i="4"/>
  <c r="D25" i="4" s="1"/>
  <c r="G25" i="4" s="1"/>
  <c r="D37" i="4" s="1"/>
  <c r="G37" i="4" s="1"/>
  <c r="D49" i="4" s="1"/>
  <c r="G49" i="4" s="1"/>
  <c r="D61" i="4" s="1"/>
  <c r="G61" i="4" s="1"/>
  <c r="D73" i="4" s="1"/>
  <c r="G73" i="4" s="1"/>
  <c r="D85" i="4" s="1"/>
  <c r="G85" i="4" s="1"/>
  <c r="D97" i="4" s="1"/>
  <c r="G97" i="4" s="1"/>
  <c r="D109" i="4" s="1"/>
  <c r="G109" i="4" s="1"/>
  <c r="D121" i="4" s="1"/>
  <c r="G121" i="4" s="1"/>
  <c r="D133" i="4" s="1"/>
  <c r="G133" i="4" s="1"/>
  <c r="D145" i="4" s="1"/>
  <c r="G145" i="4" s="1"/>
  <c r="D157" i="4" s="1"/>
  <c r="G157" i="4" s="1"/>
  <c r="D169" i="4" s="1"/>
  <c r="G169" i="4" s="1"/>
  <c r="D181" i="4" s="1"/>
  <c r="G181" i="4" s="1"/>
  <c r="D193" i="4" s="1"/>
  <c r="G193" i="4" s="1"/>
  <c r="D205" i="4" s="1"/>
  <c r="G205" i="4" s="1"/>
  <c r="D217" i="4" s="1"/>
  <c r="G217" i="4" s="1"/>
  <c r="D229" i="4" s="1"/>
  <c r="G229" i="4" s="1"/>
  <c r="D241" i="4" s="1"/>
  <c r="G241" i="4" s="1"/>
  <c r="D253" i="4" s="1"/>
  <c r="G253" i="4" s="1"/>
  <c r="D265" i="4" s="1"/>
  <c r="G265" i="4" s="1"/>
  <c r="D277" i="4" s="1"/>
  <c r="G277" i="4" s="1"/>
  <c r="D289" i="4" s="1"/>
  <c r="G289" i="4" s="1"/>
  <c r="D301" i="4" s="1"/>
  <c r="G301" i="4" s="1"/>
  <c r="D313" i="4" s="1"/>
  <c r="G313" i="4" s="1"/>
  <c r="D325" i="4" s="1"/>
  <c r="G325" i="4" s="1"/>
  <c r="D337" i="4" s="1"/>
  <c r="G337" i="4" s="1"/>
  <c r="D349" i="4" s="1"/>
  <c r="G349" i="4" s="1"/>
  <c r="D361" i="4" s="1"/>
  <c r="G361" i="4" s="1"/>
  <c r="D373" i="4" s="1"/>
  <c r="G373" i="4" s="1"/>
  <c r="D13" i="5" s="1"/>
  <c r="G13" i="5" s="1"/>
  <c r="D25" i="5" s="1"/>
  <c r="G25" i="5" s="1"/>
  <c r="D37" i="5" s="1"/>
  <c r="G37" i="5" s="1"/>
  <c r="D49" i="5" s="1"/>
  <c r="G49" i="5" s="1"/>
  <c r="D61" i="5" s="1"/>
  <c r="G61" i="5" s="1"/>
  <c r="D73" i="5" s="1"/>
  <c r="G73" i="5" s="1"/>
  <c r="D85" i="5" s="1"/>
  <c r="G85" i="5" s="1"/>
  <c r="D97" i="5" s="1"/>
  <c r="G97" i="5" s="1"/>
  <c r="D109" i="5" s="1"/>
  <c r="G109" i="5" s="1"/>
  <c r="D121" i="5" s="1"/>
  <c r="G121" i="5" s="1"/>
  <c r="D133" i="5" s="1"/>
  <c r="G133" i="5" s="1"/>
  <c r="D145" i="5" s="1"/>
  <c r="G145" i="5" s="1"/>
  <c r="D157" i="5" s="1"/>
  <c r="G157" i="5" s="1"/>
  <c r="D169" i="5" s="1"/>
  <c r="G169" i="5" s="1"/>
  <c r="D181" i="5" s="1"/>
  <c r="G181" i="5" s="1"/>
  <c r="D193" i="5" s="1"/>
  <c r="G193" i="5" s="1"/>
  <c r="D205" i="5" s="1"/>
  <c r="G205" i="5" s="1"/>
  <c r="D217" i="5" s="1"/>
  <c r="G217" i="5" s="1"/>
  <c r="D229" i="5" s="1"/>
  <c r="G229" i="5" s="1"/>
  <c r="D241" i="5" s="1"/>
  <c r="G241" i="5" s="1"/>
  <c r="D253" i="5" s="1"/>
  <c r="G253" i="5" s="1"/>
  <c r="D265" i="5" s="1"/>
  <c r="G265" i="5" s="1"/>
  <c r="D277" i="5" s="1"/>
  <c r="G277" i="5" s="1"/>
  <c r="D289" i="5" s="1"/>
  <c r="G289" i="5" s="1"/>
  <c r="D301" i="5" s="1"/>
  <c r="G301" i="5" s="1"/>
  <c r="D313" i="5" s="1"/>
  <c r="G313" i="5" s="1"/>
  <c r="D325" i="5" s="1"/>
  <c r="G325" i="5" s="1"/>
  <c r="D337" i="5" s="1"/>
  <c r="G337" i="5" s="1"/>
  <c r="D13" i="6" s="1"/>
  <c r="G13" i="6" s="1"/>
  <c r="D25" i="6" s="1"/>
  <c r="G25" i="6" s="1"/>
  <c r="D37" i="6" s="1"/>
  <c r="G37" i="6" s="1"/>
  <c r="D49" i="6" s="1"/>
  <c r="G49" i="6" s="1"/>
  <c r="D61" i="6" s="1"/>
  <c r="G61" i="6" s="1"/>
  <c r="D73" i="6" s="1"/>
  <c r="G73" i="6" s="1"/>
  <c r="D85" i="6" s="1"/>
  <c r="G85" i="6" s="1"/>
  <c r="D97" i="6" s="1"/>
  <c r="G97" i="6" s="1"/>
  <c r="D109" i="6" s="1"/>
  <c r="G109" i="6" s="1"/>
  <c r="D121" i="6" s="1"/>
  <c r="G121" i="6" s="1"/>
  <c r="D133" i="6" s="1"/>
  <c r="G133" i="6" s="1"/>
  <c r="D145" i="6" s="1"/>
  <c r="G145" i="6" s="1"/>
  <c r="D157" i="6" s="1"/>
  <c r="G157" i="6" s="1"/>
  <c r="D169" i="6" s="1"/>
  <c r="G169" i="6" s="1"/>
  <c r="D181" i="6" s="1"/>
  <c r="G181" i="6" s="1"/>
  <c r="D193" i="6" s="1"/>
  <c r="G193" i="6" s="1"/>
  <c r="D205" i="6" s="1"/>
  <c r="G205" i="6" s="1"/>
  <c r="D217" i="6" s="1"/>
  <c r="G217" i="6" s="1"/>
  <c r="D229" i="6" s="1"/>
  <c r="G229" i="6" s="1"/>
  <c r="D241" i="6" s="1"/>
  <c r="G241" i="6" s="1"/>
  <c r="D253" i="6" s="1"/>
  <c r="G253" i="6" s="1"/>
  <c r="D265" i="6" s="1"/>
  <c r="G265" i="6" s="1"/>
  <c r="D277" i="6" s="1"/>
  <c r="G277" i="6" s="1"/>
  <c r="D289" i="6" s="1"/>
  <c r="G289" i="6" s="1"/>
  <c r="D301" i="6" s="1"/>
  <c r="G301" i="6" s="1"/>
  <c r="D313" i="6" s="1"/>
  <c r="G313" i="6" s="1"/>
  <c r="D325" i="6" s="1"/>
  <c r="G325" i="6" s="1"/>
  <c r="D337" i="6" s="1"/>
  <c r="G337" i="6" s="1"/>
  <c r="D349" i="6" s="1"/>
  <c r="G349" i="6" s="1"/>
  <c r="D361" i="6" s="1"/>
  <c r="G361" i="6" s="1"/>
  <c r="D373" i="6" s="1"/>
  <c r="G373" i="6" s="1"/>
  <c r="D13" i="7" s="1"/>
  <c r="G13" i="7" s="1"/>
  <c r="D25" i="7" s="1"/>
  <c r="G25" i="7" s="1"/>
  <c r="D37" i="7" s="1"/>
  <c r="G37" i="7" s="1"/>
  <c r="D49" i="7" s="1"/>
  <c r="G49" i="7" s="1"/>
  <c r="D61" i="7" s="1"/>
  <c r="G61" i="7" s="1"/>
  <c r="D73" i="7" s="1"/>
  <c r="G73" i="7" s="1"/>
  <c r="D85" i="7" s="1"/>
  <c r="G85" i="7" s="1"/>
  <c r="D97" i="7" s="1"/>
  <c r="G97" i="7" s="1"/>
  <c r="D109" i="7" s="1"/>
  <c r="G109" i="7" s="1"/>
  <c r="D121" i="7" s="1"/>
  <c r="G121" i="7" s="1"/>
  <c r="D133" i="7" s="1"/>
  <c r="G133" i="7" s="1"/>
  <c r="D145" i="7" s="1"/>
  <c r="G145" i="7" s="1"/>
  <c r="D157" i="7" s="1"/>
  <c r="G157" i="7" s="1"/>
  <c r="D169" i="7" s="1"/>
  <c r="G169" i="7" s="1"/>
  <c r="D181" i="7" s="1"/>
  <c r="G181" i="7" s="1"/>
  <c r="D193" i="7" s="1"/>
  <c r="G193" i="7" s="1"/>
  <c r="D205" i="7" s="1"/>
  <c r="G205" i="7" s="1"/>
  <c r="D217" i="7" s="1"/>
  <c r="G217" i="7" s="1"/>
  <c r="D229" i="7" s="1"/>
  <c r="G229" i="7" s="1"/>
  <c r="D241" i="7" s="1"/>
  <c r="G241" i="7" s="1"/>
  <c r="D253" i="7" s="1"/>
  <c r="G253" i="7" s="1"/>
  <c r="D265" i="7" s="1"/>
  <c r="G265" i="7" s="1"/>
  <c r="D277" i="7" s="1"/>
  <c r="G277" i="7" s="1"/>
  <c r="D289" i="7" s="1"/>
  <c r="G289" i="7" s="1"/>
  <c r="D301" i="7" s="1"/>
  <c r="G301" i="7" s="1"/>
  <c r="D313" i="7" s="1"/>
  <c r="G313" i="7" s="1"/>
  <c r="D325" i="7" s="1"/>
  <c r="G325" i="7" s="1"/>
  <c r="D337" i="7" s="1"/>
  <c r="G337" i="7" s="1"/>
  <c r="D349" i="7" s="1"/>
  <c r="G349" i="7" s="1"/>
  <c r="D361" i="7" s="1"/>
  <c r="G361" i="7" s="1"/>
  <c r="D13" i="8" s="1"/>
  <c r="G13" i="8" s="1"/>
  <c r="D25" i="8" s="1"/>
  <c r="G25" i="8" s="1"/>
  <c r="D37" i="8" s="1"/>
  <c r="G37" i="8" s="1"/>
  <c r="D49" i="8" s="1"/>
  <c r="G49" i="8" s="1"/>
  <c r="D61" i="8" s="1"/>
  <c r="G61" i="8" s="1"/>
  <c r="D73" i="8" s="1"/>
  <c r="G73" i="8" s="1"/>
  <c r="D85" i="8" s="1"/>
  <c r="G85" i="8" s="1"/>
  <c r="D97" i="8" s="1"/>
  <c r="G97" i="8" s="1"/>
  <c r="D109" i="8" s="1"/>
  <c r="G109" i="8" s="1"/>
  <c r="D121" i="8" s="1"/>
  <c r="G121" i="8" s="1"/>
  <c r="D133" i="8" s="1"/>
  <c r="G133" i="8" s="1"/>
  <c r="D145" i="8" s="1"/>
  <c r="G145" i="8" s="1"/>
  <c r="D157" i="8" s="1"/>
  <c r="G157" i="8" s="1"/>
  <c r="D169" i="8" s="1"/>
  <c r="G169" i="8" s="1"/>
  <c r="D181" i="8" s="1"/>
  <c r="G181" i="8" s="1"/>
  <c r="D193" i="8" s="1"/>
  <c r="G193" i="8" s="1"/>
  <c r="D205" i="8" s="1"/>
  <c r="G205" i="8" s="1"/>
  <c r="D217" i="8" s="1"/>
  <c r="G217" i="8" s="1"/>
  <c r="D229" i="8" s="1"/>
  <c r="G229" i="8" s="1"/>
  <c r="D241" i="8" s="1"/>
  <c r="G241" i="8" s="1"/>
  <c r="D253" i="8" s="1"/>
  <c r="G253" i="8" s="1"/>
  <c r="D265" i="8" s="1"/>
  <c r="G265" i="8" s="1"/>
  <c r="D277" i="8" s="1"/>
  <c r="G277" i="8" s="1"/>
  <c r="D289" i="8" s="1"/>
  <c r="G289" i="8" s="1"/>
  <c r="D301" i="8" s="1"/>
  <c r="G301" i="8" s="1"/>
  <c r="D313" i="8" s="1"/>
  <c r="G313" i="8" s="1"/>
  <c r="D325" i="8" s="1"/>
  <c r="G325" i="8" s="1"/>
  <c r="D337" i="8" s="1"/>
  <c r="G337" i="8" s="1"/>
  <c r="D349" i="8" s="1"/>
  <c r="G349" i="8" s="1"/>
  <c r="D361" i="8" s="1"/>
  <c r="G361" i="8" s="1"/>
  <c r="D373" i="8" s="1"/>
  <c r="G373" i="8" s="1"/>
  <c r="D13" i="9" s="1"/>
  <c r="G13" i="9" s="1"/>
  <c r="D25" i="9" s="1"/>
  <c r="G25" i="9" s="1"/>
  <c r="D37" i="9" s="1"/>
  <c r="G37" i="9" s="1"/>
  <c r="D49" i="9" s="1"/>
  <c r="G49" i="9" s="1"/>
  <c r="D61" i="9" s="1"/>
  <c r="G61" i="9" s="1"/>
  <c r="D73" i="9" s="1"/>
  <c r="G73" i="9" s="1"/>
  <c r="D85" i="9" s="1"/>
  <c r="G85" i="9" s="1"/>
  <c r="D97" i="9" s="1"/>
  <c r="G97" i="9" s="1"/>
  <c r="D109" i="9" s="1"/>
  <c r="G109" i="9" s="1"/>
  <c r="D121" i="9" s="1"/>
  <c r="G121" i="9" s="1"/>
  <c r="D133" i="9" s="1"/>
  <c r="G133" i="9" s="1"/>
  <c r="D145" i="9" s="1"/>
  <c r="G145" i="9" s="1"/>
  <c r="D157" i="9" s="1"/>
  <c r="G157" i="9" s="1"/>
  <c r="D169" i="9" s="1"/>
  <c r="G169" i="9" s="1"/>
  <c r="D181" i="9" s="1"/>
  <c r="G181" i="9" s="1"/>
  <c r="D193" i="9" s="1"/>
  <c r="G193" i="9" s="1"/>
  <c r="D205" i="9" s="1"/>
  <c r="G205" i="9" s="1"/>
  <c r="D217" i="9" s="1"/>
  <c r="G217" i="9" s="1"/>
  <c r="D229" i="9" s="1"/>
  <c r="G229" i="9" s="1"/>
  <c r="D241" i="9" s="1"/>
  <c r="G241" i="9" s="1"/>
  <c r="D253" i="9" s="1"/>
  <c r="G253" i="9" s="1"/>
  <c r="D265" i="9" s="1"/>
  <c r="G265" i="9" s="1"/>
  <c r="D277" i="9" s="1"/>
  <c r="G277" i="9" s="1"/>
  <c r="D289" i="9" s="1"/>
  <c r="G289" i="9" s="1"/>
  <c r="D301" i="9" s="1"/>
  <c r="G301" i="9" s="1"/>
  <c r="D313" i="9" s="1"/>
  <c r="G313" i="9" s="1"/>
  <c r="D325" i="9" s="1"/>
  <c r="G325" i="9" s="1"/>
  <c r="D337" i="9" s="1"/>
  <c r="G337" i="9" s="1"/>
  <c r="D349" i="9" s="1"/>
  <c r="G349" i="9" s="1"/>
  <c r="D361" i="9" s="1"/>
  <c r="G361" i="9" s="1"/>
  <c r="G12" i="4"/>
  <c r="D24" i="4" s="1"/>
  <c r="G24" i="4" s="1"/>
  <c r="D36" i="4" s="1"/>
  <c r="G36" i="4" s="1"/>
  <c r="D48" i="4" s="1"/>
  <c r="G48" i="4" s="1"/>
  <c r="D60" i="4" s="1"/>
  <c r="G60" i="4" s="1"/>
  <c r="D72" i="4" s="1"/>
  <c r="G72" i="4" s="1"/>
  <c r="D84" i="4" s="1"/>
  <c r="G84" i="4" s="1"/>
  <c r="D96" i="4" s="1"/>
  <c r="G96" i="4" s="1"/>
  <c r="D108" i="4" s="1"/>
  <c r="G108" i="4" s="1"/>
  <c r="D120" i="4" s="1"/>
  <c r="G120" i="4" s="1"/>
  <c r="D132" i="4" s="1"/>
  <c r="G132" i="4" s="1"/>
  <c r="D144" i="4" s="1"/>
  <c r="G144" i="4" s="1"/>
  <c r="D156" i="4" s="1"/>
  <c r="G156" i="4" s="1"/>
  <c r="D168" i="4" s="1"/>
  <c r="G168" i="4" s="1"/>
  <c r="D180" i="4" s="1"/>
  <c r="G180" i="4" s="1"/>
  <c r="D192" i="4" s="1"/>
  <c r="G192" i="4" s="1"/>
  <c r="D204" i="4" s="1"/>
  <c r="G204" i="4" s="1"/>
  <c r="D216" i="4" s="1"/>
  <c r="G216" i="4" s="1"/>
  <c r="D228" i="4" s="1"/>
  <c r="G228" i="4" s="1"/>
  <c r="D240" i="4" s="1"/>
  <c r="G240" i="4" s="1"/>
  <c r="D252" i="4" s="1"/>
  <c r="G252" i="4" s="1"/>
  <c r="D264" i="4" s="1"/>
  <c r="G264" i="4" s="1"/>
  <c r="D276" i="4" s="1"/>
  <c r="G276" i="4" s="1"/>
  <c r="D288" i="4" s="1"/>
  <c r="G288" i="4" s="1"/>
  <c r="D300" i="4" s="1"/>
  <c r="G300" i="4" s="1"/>
  <c r="D312" i="4" s="1"/>
  <c r="G312" i="4" s="1"/>
  <c r="D324" i="4" s="1"/>
  <c r="G324" i="4" s="1"/>
  <c r="D336" i="4" s="1"/>
  <c r="G336" i="4" s="1"/>
  <c r="D348" i="4" s="1"/>
  <c r="G348" i="4" s="1"/>
  <c r="D360" i="4" s="1"/>
  <c r="G360" i="4" s="1"/>
  <c r="D372" i="4" s="1"/>
  <c r="G372" i="4" s="1"/>
  <c r="D12" i="5" s="1"/>
  <c r="G12" i="5" s="1"/>
  <c r="D24" i="5" s="1"/>
  <c r="G24" i="5" s="1"/>
  <c r="D36" i="5" s="1"/>
  <c r="G36" i="5" s="1"/>
  <c r="D48" i="5" s="1"/>
  <c r="G48" i="5" s="1"/>
  <c r="D60" i="5" s="1"/>
  <c r="G60" i="5" s="1"/>
  <c r="D72" i="5" s="1"/>
  <c r="G72" i="5" s="1"/>
  <c r="D84" i="5" s="1"/>
  <c r="G84" i="5" s="1"/>
  <c r="D96" i="5" s="1"/>
  <c r="G96" i="5" s="1"/>
  <c r="D108" i="5" s="1"/>
  <c r="G108" i="5" s="1"/>
  <c r="D120" i="5" s="1"/>
  <c r="G120" i="5" s="1"/>
  <c r="D132" i="5" s="1"/>
  <c r="G132" i="5" s="1"/>
  <c r="D144" i="5" s="1"/>
  <c r="G144" i="5" s="1"/>
  <c r="D156" i="5" s="1"/>
  <c r="G156" i="5" s="1"/>
  <c r="D168" i="5" s="1"/>
  <c r="G168" i="5" s="1"/>
  <c r="D180" i="5" s="1"/>
  <c r="G180" i="5" s="1"/>
  <c r="D192" i="5" s="1"/>
  <c r="G192" i="5" s="1"/>
  <c r="D204" i="5" s="1"/>
  <c r="G204" i="5" s="1"/>
  <c r="D216" i="5" s="1"/>
  <c r="G216" i="5" s="1"/>
  <c r="D228" i="5" s="1"/>
  <c r="G228" i="5" s="1"/>
  <c r="D240" i="5" s="1"/>
  <c r="G240" i="5" s="1"/>
  <c r="D252" i="5" s="1"/>
  <c r="G252" i="5" s="1"/>
  <c r="D264" i="5" s="1"/>
  <c r="G264" i="5" s="1"/>
  <c r="D276" i="5" s="1"/>
  <c r="G276" i="5" s="1"/>
  <c r="D288" i="5" s="1"/>
  <c r="G288" i="5" s="1"/>
  <c r="D300" i="5" s="1"/>
  <c r="G300" i="5" s="1"/>
  <c r="D312" i="5" s="1"/>
  <c r="G312" i="5" s="1"/>
  <c r="D324" i="5" s="1"/>
  <c r="G324" i="5" s="1"/>
  <c r="D336" i="5" s="1"/>
  <c r="G336" i="5" s="1"/>
  <c r="D12" i="6" s="1"/>
  <c r="G12" i="6" s="1"/>
  <c r="D24" i="6" s="1"/>
  <c r="G24" i="6" s="1"/>
  <c r="D36" i="6" s="1"/>
  <c r="G36" i="6" s="1"/>
  <c r="D48" i="6" s="1"/>
  <c r="G48" i="6" s="1"/>
  <c r="D60" i="6" s="1"/>
  <c r="G60" i="6" s="1"/>
  <c r="D72" i="6" s="1"/>
  <c r="G72" i="6" s="1"/>
  <c r="D84" i="6" s="1"/>
  <c r="G84" i="6" s="1"/>
  <c r="D96" i="6" s="1"/>
  <c r="G96" i="6" s="1"/>
  <c r="D108" i="6" s="1"/>
  <c r="G108" i="6" s="1"/>
  <c r="D120" i="6" s="1"/>
  <c r="G120" i="6" s="1"/>
  <c r="D132" i="6" s="1"/>
  <c r="G132" i="6" s="1"/>
  <c r="D144" i="6" s="1"/>
  <c r="G144" i="6" s="1"/>
  <c r="D156" i="6" s="1"/>
  <c r="G156" i="6" s="1"/>
  <c r="D168" i="6" s="1"/>
  <c r="G168" i="6" s="1"/>
  <c r="D180" i="6" s="1"/>
  <c r="G180" i="6" s="1"/>
  <c r="D192" i="6" s="1"/>
  <c r="G192" i="6" s="1"/>
  <c r="D204" i="6" s="1"/>
  <c r="G204" i="6" s="1"/>
  <c r="D216" i="6" s="1"/>
  <c r="G216" i="6" s="1"/>
  <c r="D228" i="6" s="1"/>
  <c r="G228" i="6" s="1"/>
  <c r="D240" i="6" s="1"/>
  <c r="G240" i="6" s="1"/>
  <c r="D252" i="6" s="1"/>
  <c r="G252" i="6" s="1"/>
  <c r="D264" i="6" s="1"/>
  <c r="G264" i="6" s="1"/>
  <c r="D276" i="6" s="1"/>
  <c r="G276" i="6" s="1"/>
  <c r="D288" i="6" s="1"/>
  <c r="G288" i="6" s="1"/>
  <c r="D300" i="6" s="1"/>
  <c r="G300" i="6" s="1"/>
  <c r="D312" i="6" s="1"/>
  <c r="G312" i="6" s="1"/>
  <c r="D324" i="6" s="1"/>
  <c r="G324" i="6" s="1"/>
  <c r="D336" i="6" s="1"/>
  <c r="G336" i="6" s="1"/>
  <c r="D348" i="6" s="1"/>
  <c r="G348" i="6" s="1"/>
  <c r="D360" i="6" s="1"/>
  <c r="G360" i="6" s="1"/>
  <c r="D372" i="6" s="1"/>
  <c r="G372" i="6" s="1"/>
  <c r="D12" i="7" s="1"/>
  <c r="G12" i="7" s="1"/>
  <c r="D24" i="7" s="1"/>
  <c r="G24" i="7" s="1"/>
  <c r="D36" i="7" s="1"/>
  <c r="G36" i="7" s="1"/>
  <c r="D48" i="7" s="1"/>
  <c r="G48" i="7" s="1"/>
  <c r="D60" i="7" s="1"/>
  <c r="G60" i="7" s="1"/>
  <c r="D72" i="7" s="1"/>
  <c r="G72" i="7" s="1"/>
  <c r="D84" i="7" s="1"/>
  <c r="G84" i="7" s="1"/>
  <c r="D96" i="7" s="1"/>
  <c r="G96" i="7" s="1"/>
  <c r="D108" i="7" s="1"/>
  <c r="G108" i="7" s="1"/>
  <c r="D120" i="7" s="1"/>
  <c r="G120" i="7" s="1"/>
  <c r="D132" i="7" s="1"/>
  <c r="G132" i="7" s="1"/>
  <c r="D144" i="7" s="1"/>
  <c r="G144" i="7" s="1"/>
  <c r="D156" i="7" s="1"/>
  <c r="G156" i="7" s="1"/>
  <c r="D168" i="7" s="1"/>
  <c r="G168" i="7" s="1"/>
  <c r="D180" i="7" s="1"/>
  <c r="G180" i="7" s="1"/>
  <c r="D192" i="7" s="1"/>
  <c r="G192" i="7" s="1"/>
  <c r="D204" i="7" s="1"/>
  <c r="G204" i="7" s="1"/>
  <c r="D216" i="7" s="1"/>
  <c r="G216" i="7" s="1"/>
  <c r="D228" i="7" s="1"/>
  <c r="G228" i="7" s="1"/>
  <c r="D240" i="7" s="1"/>
  <c r="G240" i="7" s="1"/>
  <c r="D252" i="7" s="1"/>
  <c r="G252" i="7" s="1"/>
  <c r="D264" i="7" s="1"/>
  <c r="G264" i="7" s="1"/>
  <c r="D276" i="7" s="1"/>
  <c r="G276" i="7" s="1"/>
  <c r="D288" i="7" s="1"/>
  <c r="G288" i="7" s="1"/>
  <c r="D300" i="7" s="1"/>
  <c r="G300" i="7" s="1"/>
  <c r="D312" i="7" s="1"/>
  <c r="G312" i="7" s="1"/>
  <c r="D324" i="7" s="1"/>
  <c r="G324" i="7" s="1"/>
  <c r="D336" i="7" s="1"/>
  <c r="G336" i="7" s="1"/>
  <c r="D348" i="7" s="1"/>
  <c r="G348" i="7" s="1"/>
  <c r="D360" i="7" s="1"/>
  <c r="G360" i="7" s="1"/>
  <c r="D12" i="8" s="1"/>
  <c r="G12" i="8" s="1"/>
  <c r="D24" i="8" s="1"/>
  <c r="G24" i="8" s="1"/>
  <c r="D36" i="8" s="1"/>
  <c r="G36" i="8" s="1"/>
  <c r="D48" i="8" s="1"/>
  <c r="G48" i="8" s="1"/>
  <c r="D60" i="8" s="1"/>
  <c r="G60" i="8" s="1"/>
  <c r="D72" i="8" s="1"/>
  <c r="G72" i="8" s="1"/>
  <c r="D84" i="8" s="1"/>
  <c r="G84" i="8" s="1"/>
  <c r="D96" i="8" s="1"/>
  <c r="G96" i="8" s="1"/>
  <c r="D108" i="8" s="1"/>
  <c r="G108" i="8" s="1"/>
  <c r="D120" i="8" s="1"/>
  <c r="G120" i="8" s="1"/>
  <c r="D132" i="8" s="1"/>
  <c r="G132" i="8" s="1"/>
  <c r="D144" i="8" s="1"/>
  <c r="G144" i="8" s="1"/>
  <c r="D156" i="8" s="1"/>
  <c r="G156" i="8" s="1"/>
  <c r="D168" i="8" s="1"/>
  <c r="G168" i="8" s="1"/>
  <c r="D180" i="8" s="1"/>
  <c r="G180" i="8" s="1"/>
  <c r="D192" i="8" s="1"/>
  <c r="G192" i="8" s="1"/>
  <c r="D204" i="8" s="1"/>
  <c r="G204" i="8" s="1"/>
  <c r="D216" i="8" s="1"/>
  <c r="G216" i="8" s="1"/>
  <c r="D228" i="8" s="1"/>
  <c r="G228" i="8" s="1"/>
  <c r="D240" i="8" s="1"/>
  <c r="G240" i="8" s="1"/>
  <c r="D252" i="8" s="1"/>
  <c r="G252" i="8" s="1"/>
  <c r="D264" i="8" s="1"/>
  <c r="G264" i="8" s="1"/>
  <c r="D276" i="8" s="1"/>
  <c r="G276" i="8" s="1"/>
  <c r="D288" i="8" s="1"/>
  <c r="G288" i="8" s="1"/>
  <c r="D300" i="8" s="1"/>
  <c r="G300" i="8" s="1"/>
  <c r="D312" i="8" s="1"/>
  <c r="G312" i="8" s="1"/>
  <c r="D324" i="8" s="1"/>
  <c r="G324" i="8" s="1"/>
  <c r="D336" i="8" s="1"/>
  <c r="G336" i="8" s="1"/>
  <c r="D348" i="8" s="1"/>
  <c r="G348" i="8" s="1"/>
  <c r="D360" i="8" s="1"/>
  <c r="G360" i="8" s="1"/>
  <c r="D372" i="8" s="1"/>
  <c r="G372" i="8" s="1"/>
  <c r="D12" i="9" s="1"/>
  <c r="G12" i="9" s="1"/>
  <c r="D24" i="9" s="1"/>
  <c r="G24" i="9" s="1"/>
  <c r="D36" i="9" s="1"/>
  <c r="G36" i="9" s="1"/>
  <c r="D48" i="9" s="1"/>
  <c r="G48" i="9" s="1"/>
  <c r="D60" i="9" s="1"/>
  <c r="G60" i="9" s="1"/>
  <c r="D72" i="9" s="1"/>
  <c r="G72" i="9" s="1"/>
  <c r="D84" i="9" s="1"/>
  <c r="G84" i="9" s="1"/>
  <c r="D96" i="9" s="1"/>
  <c r="G96" i="9" s="1"/>
  <c r="D108" i="9" s="1"/>
  <c r="G108" i="9" s="1"/>
  <c r="D120" i="9" s="1"/>
  <c r="G120" i="9" s="1"/>
  <c r="D132" i="9" s="1"/>
  <c r="G132" i="9" s="1"/>
  <c r="D144" i="9" s="1"/>
  <c r="G144" i="9" s="1"/>
  <c r="D156" i="9" s="1"/>
  <c r="G156" i="9" s="1"/>
  <c r="D168" i="9" s="1"/>
  <c r="G168" i="9" s="1"/>
  <c r="D180" i="9" s="1"/>
  <c r="G180" i="9" s="1"/>
  <c r="D192" i="9" s="1"/>
  <c r="G192" i="9" s="1"/>
  <c r="D204" i="9" s="1"/>
  <c r="G204" i="9" s="1"/>
  <c r="D216" i="9" s="1"/>
  <c r="G216" i="9" s="1"/>
  <c r="D228" i="9" s="1"/>
  <c r="G228" i="9" s="1"/>
  <c r="D240" i="9" s="1"/>
  <c r="G240" i="9" s="1"/>
  <c r="D252" i="9" s="1"/>
  <c r="G252" i="9" s="1"/>
  <c r="D264" i="9" s="1"/>
  <c r="G264" i="9" s="1"/>
  <c r="D276" i="9" s="1"/>
  <c r="G276" i="9" s="1"/>
  <c r="D288" i="9" s="1"/>
  <c r="G288" i="9" s="1"/>
  <c r="D300" i="9" s="1"/>
  <c r="G300" i="9" s="1"/>
  <c r="D312" i="9" s="1"/>
  <c r="G312" i="9" s="1"/>
  <c r="D324" i="9" s="1"/>
  <c r="G324" i="9" s="1"/>
  <c r="D336" i="9" s="1"/>
  <c r="G336" i="9" s="1"/>
  <c r="D348" i="9" s="1"/>
  <c r="G348" i="9" s="1"/>
  <c r="D360" i="9" s="1"/>
  <c r="G360" i="9" s="1"/>
  <c r="G11" i="4"/>
  <c r="D23" i="4" s="1"/>
  <c r="G23" i="4" s="1"/>
  <c r="D35" i="4" s="1"/>
  <c r="G35" i="4" s="1"/>
  <c r="D47" i="4" s="1"/>
  <c r="G47" i="4" s="1"/>
  <c r="D59" i="4" s="1"/>
  <c r="G59" i="4" s="1"/>
  <c r="D71" i="4" s="1"/>
  <c r="G71" i="4" s="1"/>
  <c r="D83" i="4" s="1"/>
  <c r="G83" i="4" s="1"/>
  <c r="D95" i="4" s="1"/>
  <c r="G95" i="4" s="1"/>
  <c r="D107" i="4" s="1"/>
  <c r="G107" i="4" s="1"/>
  <c r="D119" i="4" s="1"/>
  <c r="G119" i="4" s="1"/>
  <c r="D131" i="4" s="1"/>
  <c r="G131" i="4" s="1"/>
  <c r="D143" i="4" s="1"/>
  <c r="G143" i="4" s="1"/>
  <c r="D155" i="4" s="1"/>
  <c r="G155" i="4" s="1"/>
  <c r="D167" i="4" s="1"/>
  <c r="G167" i="4" s="1"/>
  <c r="D179" i="4" s="1"/>
  <c r="G179" i="4" s="1"/>
  <c r="D191" i="4" s="1"/>
  <c r="G191" i="4" s="1"/>
  <c r="D203" i="4" s="1"/>
  <c r="G203" i="4" s="1"/>
  <c r="D215" i="4" s="1"/>
  <c r="G215" i="4" s="1"/>
  <c r="D227" i="4" s="1"/>
  <c r="G227" i="4" s="1"/>
  <c r="D239" i="4" s="1"/>
  <c r="G239" i="4" s="1"/>
  <c r="D251" i="4" s="1"/>
  <c r="G251" i="4" s="1"/>
  <c r="D263" i="4" s="1"/>
  <c r="G263" i="4" s="1"/>
  <c r="D275" i="4" s="1"/>
  <c r="G275" i="4" s="1"/>
  <c r="D287" i="4" s="1"/>
  <c r="G287" i="4" s="1"/>
  <c r="D299" i="4" s="1"/>
  <c r="G299" i="4" s="1"/>
  <c r="D311" i="4" s="1"/>
  <c r="G311" i="4" s="1"/>
  <c r="D323" i="4" s="1"/>
  <c r="G323" i="4" s="1"/>
  <c r="D335" i="4" s="1"/>
  <c r="G335" i="4" s="1"/>
  <c r="D347" i="4" s="1"/>
  <c r="G347" i="4" s="1"/>
  <c r="D359" i="4" s="1"/>
  <c r="G359" i="4" s="1"/>
  <c r="D371" i="4" s="1"/>
  <c r="G371" i="4" s="1"/>
  <c r="D11" i="5" s="1"/>
  <c r="G11" i="5" s="1"/>
  <c r="D23" i="5" s="1"/>
  <c r="G23" i="5" s="1"/>
  <c r="D35" i="5" s="1"/>
  <c r="G35" i="5" s="1"/>
  <c r="D47" i="5" s="1"/>
  <c r="G47" i="5" s="1"/>
  <c r="D59" i="5" s="1"/>
  <c r="G59" i="5" s="1"/>
  <c r="D71" i="5" s="1"/>
  <c r="G71" i="5" s="1"/>
  <c r="D83" i="5" s="1"/>
  <c r="G83" i="5" s="1"/>
  <c r="D95" i="5" s="1"/>
  <c r="G95" i="5" s="1"/>
  <c r="D107" i="5" s="1"/>
  <c r="G107" i="5" s="1"/>
  <c r="D119" i="5" s="1"/>
  <c r="G119" i="5" s="1"/>
  <c r="D131" i="5" s="1"/>
  <c r="G131" i="5" s="1"/>
  <c r="D143" i="5" s="1"/>
  <c r="G143" i="5" s="1"/>
  <c r="D155" i="5" s="1"/>
  <c r="G155" i="5" s="1"/>
  <c r="D167" i="5" s="1"/>
  <c r="G167" i="5" s="1"/>
  <c r="D179" i="5" s="1"/>
  <c r="G179" i="5" s="1"/>
  <c r="D191" i="5" s="1"/>
  <c r="G191" i="5" s="1"/>
  <c r="D203" i="5" s="1"/>
  <c r="G203" i="5" s="1"/>
  <c r="D215" i="5" s="1"/>
  <c r="G215" i="5" s="1"/>
  <c r="D227" i="5" s="1"/>
  <c r="G227" i="5" s="1"/>
  <c r="D239" i="5" s="1"/>
  <c r="G239" i="5" s="1"/>
  <c r="D251" i="5" s="1"/>
  <c r="G251" i="5" s="1"/>
  <c r="D263" i="5" s="1"/>
  <c r="G263" i="5" s="1"/>
  <c r="D275" i="5" s="1"/>
  <c r="G275" i="5" s="1"/>
  <c r="D287" i="5" s="1"/>
  <c r="G287" i="5" s="1"/>
  <c r="D299" i="5" s="1"/>
  <c r="G299" i="5" s="1"/>
  <c r="D311" i="5" s="1"/>
  <c r="G311" i="5" s="1"/>
  <c r="D323" i="5" s="1"/>
  <c r="G323" i="5" s="1"/>
  <c r="D335" i="5" s="1"/>
  <c r="G335" i="5" s="1"/>
  <c r="D11" i="6" s="1"/>
  <c r="G11" i="6" s="1"/>
  <c r="D23" i="6" s="1"/>
  <c r="G23" i="6" s="1"/>
  <c r="D35" i="6" s="1"/>
  <c r="G35" i="6" s="1"/>
  <c r="D47" i="6" s="1"/>
  <c r="G47" i="6" s="1"/>
  <c r="D59" i="6" s="1"/>
  <c r="G59" i="6" s="1"/>
  <c r="D71" i="6" s="1"/>
  <c r="G71" i="6" s="1"/>
  <c r="D83" i="6" s="1"/>
  <c r="G83" i="6" s="1"/>
  <c r="D95" i="6" s="1"/>
  <c r="G95" i="6" s="1"/>
  <c r="D107" i="6" s="1"/>
  <c r="G107" i="6" s="1"/>
  <c r="D119" i="6" s="1"/>
  <c r="G119" i="6" s="1"/>
  <c r="D131" i="6" s="1"/>
  <c r="G131" i="6" s="1"/>
  <c r="D143" i="6" s="1"/>
  <c r="G143" i="6" s="1"/>
  <c r="D155" i="6" s="1"/>
  <c r="G155" i="6" s="1"/>
  <c r="D167" i="6" s="1"/>
  <c r="G167" i="6" s="1"/>
  <c r="D179" i="6" s="1"/>
  <c r="G179" i="6" s="1"/>
  <c r="D191" i="6" s="1"/>
  <c r="G191" i="6" s="1"/>
  <c r="D203" i="6" s="1"/>
  <c r="G203" i="6" s="1"/>
  <c r="D215" i="6" s="1"/>
  <c r="G215" i="6" s="1"/>
  <c r="D227" i="6" s="1"/>
  <c r="G227" i="6" s="1"/>
  <c r="D239" i="6" s="1"/>
  <c r="G239" i="6" s="1"/>
  <c r="D251" i="6" s="1"/>
  <c r="G251" i="6" s="1"/>
  <c r="D263" i="6" s="1"/>
  <c r="G263" i="6" s="1"/>
  <c r="D275" i="6" s="1"/>
  <c r="G275" i="6" s="1"/>
  <c r="D287" i="6" s="1"/>
  <c r="G287" i="6" s="1"/>
  <c r="D299" i="6" s="1"/>
  <c r="G299" i="6" s="1"/>
  <c r="D311" i="6" s="1"/>
  <c r="G311" i="6" s="1"/>
  <c r="D323" i="6" s="1"/>
  <c r="G323" i="6" s="1"/>
  <c r="D335" i="6" s="1"/>
  <c r="G335" i="6" s="1"/>
  <c r="D347" i="6" s="1"/>
  <c r="G347" i="6" s="1"/>
  <c r="D359" i="6" s="1"/>
  <c r="G359" i="6" s="1"/>
  <c r="D371" i="6" s="1"/>
  <c r="G371" i="6" s="1"/>
  <c r="D11" i="7" s="1"/>
  <c r="G11" i="7" s="1"/>
  <c r="D23" i="7" s="1"/>
  <c r="G23" i="7" s="1"/>
  <c r="D35" i="7" s="1"/>
  <c r="G35" i="7" s="1"/>
  <c r="D47" i="7" s="1"/>
  <c r="G47" i="7" s="1"/>
  <c r="D59" i="7" s="1"/>
  <c r="G59" i="7" s="1"/>
  <c r="D71" i="7" s="1"/>
  <c r="G71" i="7" s="1"/>
  <c r="D83" i="7" s="1"/>
  <c r="G83" i="7" s="1"/>
  <c r="D95" i="7" s="1"/>
  <c r="G95" i="7" s="1"/>
  <c r="D107" i="7" s="1"/>
  <c r="G107" i="7" s="1"/>
  <c r="D119" i="7" s="1"/>
  <c r="G119" i="7" s="1"/>
  <c r="D131" i="7" s="1"/>
  <c r="G131" i="7" s="1"/>
  <c r="D143" i="7" s="1"/>
  <c r="G143" i="7" s="1"/>
  <c r="D155" i="7" s="1"/>
  <c r="G155" i="7" s="1"/>
  <c r="D167" i="7" s="1"/>
  <c r="G167" i="7" s="1"/>
  <c r="D179" i="7" s="1"/>
  <c r="G179" i="7" s="1"/>
  <c r="D191" i="7" s="1"/>
  <c r="G191" i="7" s="1"/>
  <c r="D203" i="7" s="1"/>
  <c r="G203" i="7" s="1"/>
  <c r="D215" i="7" s="1"/>
  <c r="G215" i="7" s="1"/>
  <c r="D227" i="7" s="1"/>
  <c r="G227" i="7" s="1"/>
  <c r="D239" i="7" s="1"/>
  <c r="G239" i="7" s="1"/>
  <c r="D251" i="7" s="1"/>
  <c r="G251" i="7" s="1"/>
  <c r="D263" i="7" s="1"/>
  <c r="G263" i="7" s="1"/>
  <c r="D275" i="7" s="1"/>
  <c r="G275" i="7" s="1"/>
  <c r="D287" i="7" s="1"/>
  <c r="G287" i="7" s="1"/>
  <c r="D299" i="7" s="1"/>
  <c r="G299" i="7" s="1"/>
  <c r="D311" i="7" s="1"/>
  <c r="G311" i="7" s="1"/>
  <c r="D323" i="7" s="1"/>
  <c r="G323" i="7" s="1"/>
  <c r="D335" i="7" s="1"/>
  <c r="G335" i="7" s="1"/>
  <c r="D347" i="7" s="1"/>
  <c r="G347" i="7" s="1"/>
  <c r="D359" i="7" s="1"/>
  <c r="G359" i="7" s="1"/>
  <c r="D11" i="8" s="1"/>
  <c r="G11" i="8" s="1"/>
  <c r="D23" i="8" s="1"/>
  <c r="G23" i="8" s="1"/>
  <c r="D35" i="8" s="1"/>
  <c r="G35" i="8" s="1"/>
  <c r="D47" i="8" s="1"/>
  <c r="G47" i="8" s="1"/>
  <c r="D59" i="8" s="1"/>
  <c r="G59" i="8" s="1"/>
  <c r="D71" i="8" s="1"/>
  <c r="G71" i="8" s="1"/>
  <c r="D83" i="8" s="1"/>
  <c r="G83" i="8" s="1"/>
  <c r="D95" i="8" s="1"/>
  <c r="G95" i="8" s="1"/>
  <c r="D107" i="8" s="1"/>
  <c r="G107" i="8" s="1"/>
  <c r="D119" i="8" s="1"/>
  <c r="G119" i="8" s="1"/>
  <c r="D131" i="8" s="1"/>
  <c r="G131" i="8" s="1"/>
  <c r="D143" i="8" s="1"/>
  <c r="G143" i="8" s="1"/>
  <c r="D155" i="8" s="1"/>
  <c r="G155" i="8" s="1"/>
  <c r="D167" i="8" s="1"/>
  <c r="G167" i="8" s="1"/>
  <c r="D179" i="8" s="1"/>
  <c r="G179" i="8" s="1"/>
  <c r="D191" i="8" s="1"/>
  <c r="G191" i="8" s="1"/>
  <c r="D203" i="8" s="1"/>
  <c r="G203" i="8" s="1"/>
  <c r="D215" i="8" s="1"/>
  <c r="G215" i="8" s="1"/>
  <c r="D227" i="8" s="1"/>
  <c r="G227" i="8" s="1"/>
  <c r="D239" i="8" s="1"/>
  <c r="G239" i="8" s="1"/>
  <c r="D251" i="8" s="1"/>
  <c r="G251" i="8" s="1"/>
  <c r="D263" i="8" s="1"/>
  <c r="G263" i="8" s="1"/>
  <c r="D275" i="8" s="1"/>
  <c r="G275" i="8" s="1"/>
  <c r="D287" i="8" s="1"/>
  <c r="G287" i="8" s="1"/>
  <c r="D299" i="8" s="1"/>
  <c r="G299" i="8" s="1"/>
  <c r="D311" i="8" s="1"/>
  <c r="G311" i="8" s="1"/>
  <c r="D323" i="8" s="1"/>
  <c r="G323" i="8" s="1"/>
  <c r="D335" i="8" s="1"/>
  <c r="G335" i="8" s="1"/>
  <c r="D347" i="8" s="1"/>
  <c r="G347" i="8" s="1"/>
  <c r="D359" i="8" s="1"/>
  <c r="G359" i="8" s="1"/>
  <c r="D371" i="8" s="1"/>
  <c r="G371" i="8" s="1"/>
  <c r="D11" i="9" s="1"/>
  <c r="G11" i="9" s="1"/>
  <c r="D23" i="9" s="1"/>
  <c r="G23" i="9" s="1"/>
  <c r="D35" i="9" s="1"/>
  <c r="G35" i="9" s="1"/>
  <c r="D47" i="9" s="1"/>
  <c r="G47" i="9" s="1"/>
  <c r="D59" i="9" s="1"/>
  <c r="G59" i="9" s="1"/>
  <c r="D71" i="9" s="1"/>
  <c r="G71" i="9" s="1"/>
  <c r="D83" i="9" s="1"/>
  <c r="G83" i="9" s="1"/>
  <c r="D95" i="9" s="1"/>
  <c r="G95" i="9" s="1"/>
  <c r="D107" i="9" s="1"/>
  <c r="G107" i="9" s="1"/>
  <c r="D119" i="9" s="1"/>
  <c r="G119" i="9" s="1"/>
  <c r="D131" i="9" s="1"/>
  <c r="G131" i="9" s="1"/>
  <c r="D143" i="9" s="1"/>
  <c r="G143" i="9" s="1"/>
  <c r="D155" i="9" s="1"/>
  <c r="G155" i="9" s="1"/>
  <c r="D167" i="9" s="1"/>
  <c r="G167" i="9" s="1"/>
  <c r="D179" i="9" s="1"/>
  <c r="G179" i="9" s="1"/>
  <c r="D191" i="9" s="1"/>
  <c r="G191" i="9" s="1"/>
  <c r="D203" i="9" s="1"/>
  <c r="G203" i="9" s="1"/>
  <c r="D215" i="9" s="1"/>
  <c r="G215" i="9" s="1"/>
  <c r="D227" i="9" s="1"/>
  <c r="G227" i="9" s="1"/>
  <c r="D239" i="9" s="1"/>
  <c r="G239" i="9" s="1"/>
  <c r="D251" i="9" s="1"/>
  <c r="G251" i="9" s="1"/>
  <c r="D263" i="9" s="1"/>
  <c r="G263" i="9" s="1"/>
  <c r="D275" i="9" s="1"/>
  <c r="G275" i="9" s="1"/>
  <c r="D287" i="9" s="1"/>
  <c r="G287" i="9" s="1"/>
  <c r="D299" i="9" s="1"/>
  <c r="G299" i="9" s="1"/>
  <c r="D311" i="9" s="1"/>
  <c r="G311" i="9" s="1"/>
  <c r="D323" i="9" s="1"/>
  <c r="G323" i="9" s="1"/>
  <c r="D335" i="9" s="1"/>
  <c r="G335" i="9" s="1"/>
  <c r="D347" i="9" s="1"/>
  <c r="G347" i="9" s="1"/>
  <c r="D359" i="9" s="1"/>
  <c r="G359" i="9" s="1"/>
  <c r="G10" i="4"/>
  <c r="D22" i="4" s="1"/>
  <c r="G22" i="4" s="1"/>
  <c r="D34" i="4" s="1"/>
  <c r="G34" i="4" s="1"/>
  <c r="D46" i="4" s="1"/>
  <c r="G46" i="4" s="1"/>
  <c r="D58" i="4" s="1"/>
  <c r="G58" i="4" s="1"/>
  <c r="D70" i="4" s="1"/>
  <c r="G70" i="4" s="1"/>
  <c r="D82" i="4" s="1"/>
  <c r="G82" i="4" s="1"/>
  <c r="D94" i="4" s="1"/>
  <c r="G94" i="4" s="1"/>
  <c r="D106" i="4" s="1"/>
  <c r="G106" i="4" s="1"/>
  <c r="D118" i="4" s="1"/>
  <c r="G118" i="4" s="1"/>
  <c r="D130" i="4" s="1"/>
  <c r="G130" i="4" s="1"/>
  <c r="D142" i="4" s="1"/>
  <c r="G142" i="4" s="1"/>
  <c r="D154" i="4" s="1"/>
  <c r="G154" i="4" s="1"/>
  <c r="D166" i="4" s="1"/>
  <c r="G166" i="4" s="1"/>
  <c r="D178" i="4" s="1"/>
  <c r="G178" i="4" s="1"/>
  <c r="D190" i="4" s="1"/>
  <c r="G190" i="4" s="1"/>
  <c r="D202" i="4" s="1"/>
  <c r="G202" i="4" s="1"/>
  <c r="D214" i="4" s="1"/>
  <c r="G214" i="4" s="1"/>
  <c r="D226" i="4" s="1"/>
  <c r="G226" i="4" s="1"/>
  <c r="D238" i="4" s="1"/>
  <c r="G238" i="4" s="1"/>
  <c r="D250" i="4" s="1"/>
  <c r="G250" i="4" s="1"/>
  <c r="D262" i="4" s="1"/>
  <c r="G262" i="4" s="1"/>
  <c r="D274" i="4" s="1"/>
  <c r="G274" i="4" s="1"/>
  <c r="D286" i="4" s="1"/>
  <c r="G286" i="4" s="1"/>
  <c r="D298" i="4" s="1"/>
  <c r="G298" i="4" s="1"/>
  <c r="D310" i="4" s="1"/>
  <c r="G310" i="4" s="1"/>
  <c r="D322" i="4" s="1"/>
  <c r="G322" i="4" s="1"/>
  <c r="D334" i="4" s="1"/>
  <c r="G334" i="4" s="1"/>
  <c r="D346" i="4" s="1"/>
  <c r="G346" i="4" s="1"/>
  <c r="D358" i="4" s="1"/>
  <c r="G358" i="4" s="1"/>
  <c r="D370" i="4" s="1"/>
  <c r="G370" i="4" s="1"/>
  <c r="D10" i="5" s="1"/>
  <c r="G10" i="5" s="1"/>
  <c r="D22" i="5" s="1"/>
  <c r="G22" i="5" s="1"/>
  <c r="D34" i="5" s="1"/>
  <c r="G34" i="5" s="1"/>
  <c r="D46" i="5" s="1"/>
  <c r="G46" i="5" s="1"/>
  <c r="D58" i="5" s="1"/>
  <c r="G58" i="5" s="1"/>
  <c r="D70" i="5" s="1"/>
  <c r="G70" i="5" s="1"/>
  <c r="D82" i="5" s="1"/>
  <c r="G82" i="5" s="1"/>
  <c r="D94" i="5" s="1"/>
  <c r="G94" i="5" s="1"/>
  <c r="D106" i="5" s="1"/>
  <c r="G106" i="5" s="1"/>
  <c r="D118" i="5" s="1"/>
  <c r="G118" i="5" s="1"/>
  <c r="D130" i="5" s="1"/>
  <c r="G130" i="5" s="1"/>
  <c r="D142" i="5" s="1"/>
  <c r="G142" i="5" s="1"/>
  <c r="D154" i="5" s="1"/>
  <c r="G154" i="5" s="1"/>
  <c r="D166" i="5" s="1"/>
  <c r="G166" i="5" s="1"/>
  <c r="D178" i="5" s="1"/>
  <c r="G178" i="5" s="1"/>
  <c r="D190" i="5" s="1"/>
  <c r="G190" i="5" s="1"/>
  <c r="D202" i="5" s="1"/>
  <c r="G202" i="5" s="1"/>
  <c r="D214" i="5" s="1"/>
  <c r="G214" i="5" s="1"/>
  <c r="D226" i="5" s="1"/>
  <c r="G226" i="5" s="1"/>
  <c r="D238" i="5" s="1"/>
  <c r="G238" i="5" s="1"/>
  <c r="D250" i="5" s="1"/>
  <c r="G250" i="5" s="1"/>
  <c r="D262" i="5" s="1"/>
  <c r="G262" i="5" s="1"/>
  <c r="D274" i="5" s="1"/>
  <c r="G274" i="5" s="1"/>
  <c r="D286" i="5" s="1"/>
  <c r="G286" i="5" s="1"/>
  <c r="D298" i="5" s="1"/>
  <c r="G298" i="5" s="1"/>
  <c r="D310" i="5" s="1"/>
  <c r="G310" i="5" s="1"/>
  <c r="D322" i="5" s="1"/>
  <c r="G322" i="5" s="1"/>
  <c r="D334" i="5" s="1"/>
  <c r="G334" i="5" s="1"/>
  <c r="D10" i="6" s="1"/>
  <c r="G10" i="6" s="1"/>
  <c r="D22" i="6" s="1"/>
  <c r="G22" i="6" s="1"/>
  <c r="D34" i="6" s="1"/>
  <c r="G34" i="6" s="1"/>
  <c r="D46" i="6" s="1"/>
  <c r="G46" i="6" s="1"/>
  <c r="D58" i="6" s="1"/>
  <c r="G58" i="6" s="1"/>
  <c r="D70" i="6" s="1"/>
  <c r="G70" i="6" s="1"/>
  <c r="D82" i="6" s="1"/>
  <c r="G82" i="6" s="1"/>
  <c r="D94" i="6" s="1"/>
  <c r="G94" i="6" s="1"/>
  <c r="D106" i="6" s="1"/>
  <c r="G106" i="6" s="1"/>
  <c r="D118" i="6" s="1"/>
  <c r="G118" i="6" s="1"/>
  <c r="D130" i="6" s="1"/>
  <c r="G130" i="6" s="1"/>
  <c r="D142" i="6" s="1"/>
  <c r="G142" i="6" s="1"/>
  <c r="D154" i="6" s="1"/>
  <c r="G154" i="6" s="1"/>
  <c r="D166" i="6" s="1"/>
  <c r="G166" i="6" s="1"/>
  <c r="D178" i="6" s="1"/>
  <c r="G178" i="6" s="1"/>
  <c r="D190" i="6" s="1"/>
  <c r="G190" i="6" s="1"/>
  <c r="D202" i="6" s="1"/>
  <c r="G202" i="6" s="1"/>
  <c r="D214" i="6" s="1"/>
  <c r="G214" i="6" s="1"/>
  <c r="D226" i="6" s="1"/>
  <c r="G226" i="6" s="1"/>
  <c r="D238" i="6" s="1"/>
  <c r="G238" i="6" s="1"/>
  <c r="D250" i="6" s="1"/>
  <c r="G250" i="6" s="1"/>
  <c r="D262" i="6" s="1"/>
  <c r="G262" i="6" s="1"/>
  <c r="D274" i="6" s="1"/>
  <c r="G274" i="6" s="1"/>
  <c r="D286" i="6" s="1"/>
  <c r="G286" i="6" s="1"/>
  <c r="D298" i="6" s="1"/>
  <c r="G298" i="6" s="1"/>
  <c r="D310" i="6" s="1"/>
  <c r="G310" i="6" s="1"/>
  <c r="D322" i="6" s="1"/>
  <c r="G322" i="6" s="1"/>
  <c r="D334" i="6" s="1"/>
  <c r="G334" i="6" s="1"/>
  <c r="D346" i="6" s="1"/>
  <c r="G346" i="6" s="1"/>
  <c r="D358" i="6" s="1"/>
  <c r="G358" i="6" s="1"/>
  <c r="D370" i="6" s="1"/>
  <c r="G370" i="6" s="1"/>
  <c r="D10" i="7" s="1"/>
  <c r="G10" i="7" s="1"/>
  <c r="D22" i="7" s="1"/>
  <c r="G22" i="7" s="1"/>
  <c r="D34" i="7" s="1"/>
  <c r="G34" i="7" s="1"/>
  <c r="D46" i="7" s="1"/>
  <c r="G46" i="7" s="1"/>
  <c r="D58" i="7" s="1"/>
  <c r="G58" i="7" s="1"/>
  <c r="D70" i="7" s="1"/>
  <c r="G70" i="7" s="1"/>
  <c r="D82" i="7" s="1"/>
  <c r="G82" i="7" s="1"/>
  <c r="D94" i="7" s="1"/>
  <c r="G94" i="7" s="1"/>
  <c r="D106" i="7" s="1"/>
  <c r="G106" i="7" s="1"/>
  <c r="D118" i="7" s="1"/>
  <c r="G118" i="7" s="1"/>
  <c r="D130" i="7" s="1"/>
  <c r="G130" i="7" s="1"/>
  <c r="D142" i="7" s="1"/>
  <c r="G142" i="7" s="1"/>
  <c r="D154" i="7" s="1"/>
  <c r="G154" i="7" s="1"/>
  <c r="D166" i="7" s="1"/>
  <c r="G166" i="7" s="1"/>
  <c r="D178" i="7" s="1"/>
  <c r="G178" i="7" s="1"/>
  <c r="D190" i="7" s="1"/>
  <c r="G190" i="7" s="1"/>
  <c r="D202" i="7" s="1"/>
  <c r="G202" i="7" s="1"/>
  <c r="D214" i="7" s="1"/>
  <c r="G214" i="7" s="1"/>
  <c r="D226" i="7" s="1"/>
  <c r="G226" i="7" s="1"/>
  <c r="D238" i="7" s="1"/>
  <c r="G238" i="7" s="1"/>
  <c r="D250" i="7" s="1"/>
  <c r="G250" i="7" s="1"/>
  <c r="D262" i="7" s="1"/>
  <c r="G262" i="7" s="1"/>
  <c r="D274" i="7" s="1"/>
  <c r="G274" i="7" s="1"/>
  <c r="D286" i="7" s="1"/>
  <c r="G286" i="7" s="1"/>
  <c r="D298" i="7" s="1"/>
  <c r="G298" i="7" s="1"/>
  <c r="D310" i="7" s="1"/>
  <c r="G310" i="7" s="1"/>
  <c r="D322" i="7" s="1"/>
  <c r="G322" i="7" s="1"/>
  <c r="D334" i="7" s="1"/>
  <c r="G334" i="7" s="1"/>
  <c r="D346" i="7" s="1"/>
  <c r="G346" i="7" s="1"/>
  <c r="D358" i="7" s="1"/>
  <c r="G358" i="7" s="1"/>
  <c r="D10" i="8" s="1"/>
  <c r="G10" i="8" s="1"/>
  <c r="D22" i="8" s="1"/>
  <c r="G22" i="8" s="1"/>
  <c r="D34" i="8" s="1"/>
  <c r="G34" i="8" s="1"/>
  <c r="D46" i="8" s="1"/>
  <c r="G46" i="8" s="1"/>
  <c r="D58" i="8" s="1"/>
  <c r="G58" i="8" s="1"/>
  <c r="D70" i="8" s="1"/>
  <c r="G70" i="8" s="1"/>
  <c r="D82" i="8" s="1"/>
  <c r="G82" i="8" s="1"/>
  <c r="D94" i="8" s="1"/>
  <c r="G94" i="8" s="1"/>
  <c r="D106" i="8" s="1"/>
  <c r="G106" i="8" s="1"/>
  <c r="D118" i="8" s="1"/>
  <c r="G118" i="8" s="1"/>
  <c r="D130" i="8" s="1"/>
  <c r="G130" i="8" s="1"/>
  <c r="D142" i="8" s="1"/>
  <c r="G142" i="8" s="1"/>
  <c r="D154" i="8" s="1"/>
  <c r="G154" i="8" s="1"/>
  <c r="D166" i="8" s="1"/>
  <c r="G166" i="8" s="1"/>
  <c r="D178" i="8" s="1"/>
  <c r="G178" i="8" s="1"/>
  <c r="D190" i="8" s="1"/>
  <c r="G190" i="8" s="1"/>
  <c r="D202" i="8" s="1"/>
  <c r="G202" i="8" s="1"/>
  <c r="D214" i="8" s="1"/>
  <c r="G214" i="8" s="1"/>
  <c r="D226" i="8" s="1"/>
  <c r="G226" i="8" s="1"/>
  <c r="D238" i="8" s="1"/>
  <c r="G238" i="8" s="1"/>
  <c r="D250" i="8" s="1"/>
  <c r="G250" i="8" s="1"/>
  <c r="D262" i="8" s="1"/>
  <c r="G262" i="8" s="1"/>
  <c r="D274" i="8" s="1"/>
  <c r="G274" i="8" s="1"/>
  <c r="D286" i="8" s="1"/>
  <c r="G286" i="8" s="1"/>
  <c r="D298" i="8" s="1"/>
  <c r="G298" i="8" s="1"/>
  <c r="D310" i="8" s="1"/>
  <c r="G310" i="8" s="1"/>
  <c r="D322" i="8" s="1"/>
  <c r="G322" i="8" s="1"/>
  <c r="D334" i="8" s="1"/>
  <c r="G334" i="8" s="1"/>
  <c r="D346" i="8" s="1"/>
  <c r="G346" i="8" s="1"/>
  <c r="D358" i="8" s="1"/>
  <c r="G358" i="8" s="1"/>
  <c r="D370" i="8" s="1"/>
  <c r="G370" i="8" s="1"/>
  <c r="D10" i="9" s="1"/>
  <c r="G10" i="9" s="1"/>
  <c r="D22" i="9" s="1"/>
  <c r="G22" i="9" s="1"/>
  <c r="D34" i="9" s="1"/>
  <c r="G34" i="9" s="1"/>
  <c r="D46" i="9" s="1"/>
  <c r="G46" i="9" s="1"/>
  <c r="D58" i="9" s="1"/>
  <c r="G58" i="9" s="1"/>
  <c r="D70" i="9" s="1"/>
  <c r="G70" i="9" s="1"/>
  <c r="D82" i="9" s="1"/>
  <c r="G82" i="9" s="1"/>
  <c r="D94" i="9" s="1"/>
  <c r="G94" i="9" s="1"/>
  <c r="D106" i="9" s="1"/>
  <c r="G106" i="9" s="1"/>
  <c r="D118" i="9" s="1"/>
  <c r="G118" i="9" s="1"/>
  <c r="D130" i="9" s="1"/>
  <c r="G130" i="9" s="1"/>
  <c r="D142" i="9" s="1"/>
  <c r="G142" i="9" s="1"/>
  <c r="D154" i="9" s="1"/>
  <c r="G154" i="9" s="1"/>
  <c r="D166" i="9" s="1"/>
  <c r="G166" i="9" s="1"/>
  <c r="D178" i="9" s="1"/>
  <c r="G178" i="9" s="1"/>
  <c r="D190" i="9" s="1"/>
  <c r="G190" i="9" s="1"/>
  <c r="D202" i="9" s="1"/>
  <c r="G202" i="9" s="1"/>
  <c r="D214" i="9" s="1"/>
  <c r="G214" i="9" s="1"/>
  <c r="D226" i="9" s="1"/>
  <c r="G226" i="9" s="1"/>
  <c r="D238" i="9" s="1"/>
  <c r="G238" i="9" s="1"/>
  <c r="D250" i="9" s="1"/>
  <c r="G250" i="9" s="1"/>
  <c r="D262" i="9" s="1"/>
  <c r="G262" i="9" s="1"/>
  <c r="D274" i="9" s="1"/>
  <c r="G274" i="9" s="1"/>
  <c r="D286" i="9" s="1"/>
  <c r="G286" i="9" s="1"/>
  <c r="D298" i="9" s="1"/>
  <c r="G298" i="9" s="1"/>
  <c r="D310" i="9" s="1"/>
  <c r="G310" i="9" s="1"/>
  <c r="D322" i="9" s="1"/>
  <c r="G322" i="9" s="1"/>
  <c r="D334" i="9" s="1"/>
  <c r="G334" i="9" s="1"/>
  <c r="D346" i="9" s="1"/>
  <c r="G346" i="9" s="1"/>
  <c r="D358" i="9" s="1"/>
  <c r="G358" i="9" s="1"/>
  <c r="G9" i="4"/>
  <c r="D21" i="4" s="1"/>
  <c r="G21" i="4" s="1"/>
  <c r="D33" i="4" s="1"/>
  <c r="G33" i="4" s="1"/>
  <c r="D45" i="4" s="1"/>
  <c r="G45" i="4" s="1"/>
  <c r="D57" i="4" s="1"/>
  <c r="G57" i="4" s="1"/>
  <c r="D69" i="4" s="1"/>
  <c r="G69" i="4" s="1"/>
  <c r="D81" i="4" s="1"/>
  <c r="G81" i="4" s="1"/>
  <c r="D93" i="4" s="1"/>
  <c r="G93" i="4" s="1"/>
  <c r="D105" i="4" s="1"/>
  <c r="G105" i="4" s="1"/>
  <c r="D117" i="4" s="1"/>
  <c r="G117" i="4" s="1"/>
  <c r="D129" i="4" s="1"/>
  <c r="G129" i="4" s="1"/>
  <c r="D141" i="4" s="1"/>
  <c r="G141" i="4" s="1"/>
  <c r="D153" i="4" s="1"/>
  <c r="G153" i="4" s="1"/>
  <c r="D165" i="4" s="1"/>
  <c r="G165" i="4" s="1"/>
  <c r="D177" i="4" s="1"/>
  <c r="G177" i="4" s="1"/>
  <c r="D189" i="4" s="1"/>
  <c r="G189" i="4" s="1"/>
  <c r="D201" i="4" s="1"/>
  <c r="G201" i="4" s="1"/>
  <c r="D213" i="4" s="1"/>
  <c r="G213" i="4" s="1"/>
  <c r="D225" i="4" s="1"/>
  <c r="G225" i="4" s="1"/>
  <c r="D237" i="4" s="1"/>
  <c r="G237" i="4" s="1"/>
  <c r="D249" i="4" s="1"/>
  <c r="G249" i="4" s="1"/>
  <c r="D261" i="4" s="1"/>
  <c r="G261" i="4" s="1"/>
  <c r="D273" i="4" s="1"/>
  <c r="G273" i="4" s="1"/>
  <c r="D285" i="4" s="1"/>
  <c r="G285" i="4" s="1"/>
  <c r="D297" i="4" s="1"/>
  <c r="G297" i="4" s="1"/>
  <c r="D309" i="4" s="1"/>
  <c r="G309" i="4" s="1"/>
  <c r="D321" i="4" s="1"/>
  <c r="G321" i="4" s="1"/>
  <c r="D333" i="4" s="1"/>
  <c r="G333" i="4" s="1"/>
  <c r="D345" i="4" s="1"/>
  <c r="G345" i="4" s="1"/>
  <c r="D357" i="4" s="1"/>
  <c r="G357" i="4" s="1"/>
  <c r="D369" i="4" s="1"/>
  <c r="G369" i="4" s="1"/>
  <c r="D9" i="5" s="1"/>
  <c r="G9" i="5" s="1"/>
  <c r="D21" i="5" s="1"/>
  <c r="G21" i="5" s="1"/>
  <c r="D33" i="5" s="1"/>
  <c r="G33" i="5" s="1"/>
  <c r="D45" i="5" s="1"/>
  <c r="G45" i="5" s="1"/>
  <c r="D57" i="5" s="1"/>
  <c r="G57" i="5" s="1"/>
  <c r="D69" i="5" s="1"/>
  <c r="G69" i="5" s="1"/>
  <c r="D81" i="5" s="1"/>
  <c r="G81" i="5" s="1"/>
  <c r="D93" i="5" s="1"/>
  <c r="G93" i="5" s="1"/>
  <c r="D105" i="5" s="1"/>
  <c r="G105" i="5" s="1"/>
  <c r="D117" i="5" s="1"/>
  <c r="G117" i="5" s="1"/>
  <c r="D129" i="5" s="1"/>
  <c r="G129" i="5" s="1"/>
  <c r="D141" i="5" s="1"/>
  <c r="G141" i="5" s="1"/>
  <c r="D153" i="5" s="1"/>
  <c r="G153" i="5" s="1"/>
  <c r="D165" i="5" s="1"/>
  <c r="G165" i="5" s="1"/>
  <c r="D177" i="5" s="1"/>
  <c r="G177" i="5" s="1"/>
  <c r="D189" i="5" s="1"/>
  <c r="G189" i="5" s="1"/>
  <c r="D201" i="5" s="1"/>
  <c r="G201" i="5" s="1"/>
  <c r="D213" i="5" s="1"/>
  <c r="G213" i="5" s="1"/>
  <c r="D225" i="5" s="1"/>
  <c r="G225" i="5" s="1"/>
  <c r="D237" i="5" s="1"/>
  <c r="G237" i="5" s="1"/>
  <c r="D249" i="5" s="1"/>
  <c r="G249" i="5" s="1"/>
  <c r="D261" i="5" s="1"/>
  <c r="G261" i="5" s="1"/>
  <c r="D273" i="5" s="1"/>
  <c r="G273" i="5" s="1"/>
  <c r="D285" i="5" s="1"/>
  <c r="G285" i="5" s="1"/>
  <c r="D297" i="5" s="1"/>
  <c r="G297" i="5" s="1"/>
  <c r="D309" i="5" s="1"/>
  <c r="G309" i="5" s="1"/>
  <c r="D321" i="5" s="1"/>
  <c r="G321" i="5" s="1"/>
  <c r="D333" i="5" s="1"/>
  <c r="G333" i="5" s="1"/>
  <c r="D9" i="6" s="1"/>
  <c r="G9" i="6" s="1"/>
  <c r="D21" i="6" s="1"/>
  <c r="G21" i="6" s="1"/>
  <c r="D33" i="6" s="1"/>
  <c r="G33" i="6" s="1"/>
  <c r="D45" i="6" s="1"/>
  <c r="G45" i="6" s="1"/>
  <c r="D57" i="6" s="1"/>
  <c r="G57" i="6" s="1"/>
  <c r="D69" i="6" s="1"/>
  <c r="G69" i="6" s="1"/>
  <c r="D81" i="6" s="1"/>
  <c r="G81" i="6" s="1"/>
  <c r="D93" i="6" s="1"/>
  <c r="G93" i="6" s="1"/>
  <c r="D105" i="6" s="1"/>
  <c r="G105" i="6" s="1"/>
  <c r="D117" i="6" s="1"/>
  <c r="G117" i="6" s="1"/>
  <c r="D129" i="6" s="1"/>
  <c r="G129" i="6" s="1"/>
  <c r="D141" i="6" s="1"/>
  <c r="G141" i="6" s="1"/>
  <c r="D153" i="6" s="1"/>
  <c r="G153" i="6" s="1"/>
  <c r="D165" i="6" s="1"/>
  <c r="G165" i="6" s="1"/>
  <c r="D177" i="6" s="1"/>
  <c r="G177" i="6" s="1"/>
  <c r="D189" i="6" s="1"/>
  <c r="G189" i="6" s="1"/>
  <c r="D201" i="6" s="1"/>
  <c r="G201" i="6" s="1"/>
  <c r="D213" i="6" s="1"/>
  <c r="G213" i="6" s="1"/>
  <c r="D225" i="6" s="1"/>
  <c r="G225" i="6" s="1"/>
  <c r="D237" i="6" s="1"/>
  <c r="G237" i="6" s="1"/>
  <c r="D249" i="6" s="1"/>
  <c r="G249" i="6" s="1"/>
  <c r="D261" i="6" s="1"/>
  <c r="G261" i="6" s="1"/>
  <c r="D273" i="6" s="1"/>
  <c r="G273" i="6" s="1"/>
  <c r="D285" i="6" s="1"/>
  <c r="G285" i="6" s="1"/>
  <c r="D297" i="6" s="1"/>
  <c r="G297" i="6" s="1"/>
  <c r="D309" i="6" s="1"/>
  <c r="G309" i="6" s="1"/>
  <c r="D321" i="6" s="1"/>
  <c r="G321" i="6" s="1"/>
  <c r="D333" i="6" s="1"/>
  <c r="G333" i="6" s="1"/>
  <c r="D345" i="6" s="1"/>
  <c r="G345" i="6" s="1"/>
  <c r="D357" i="6" s="1"/>
  <c r="G357" i="6" s="1"/>
  <c r="D369" i="6" s="1"/>
  <c r="G369" i="6" s="1"/>
  <c r="D9" i="7" s="1"/>
  <c r="G9" i="7" s="1"/>
  <c r="D21" i="7" s="1"/>
  <c r="G21" i="7" s="1"/>
  <c r="D33" i="7" s="1"/>
  <c r="G33" i="7" s="1"/>
  <c r="D45" i="7" s="1"/>
  <c r="G45" i="7" s="1"/>
  <c r="D57" i="7" s="1"/>
  <c r="G57" i="7" s="1"/>
  <c r="D69" i="7" s="1"/>
  <c r="G69" i="7" s="1"/>
  <c r="D81" i="7" s="1"/>
  <c r="G81" i="7" s="1"/>
  <c r="D93" i="7" s="1"/>
  <c r="G93" i="7" s="1"/>
  <c r="D105" i="7" s="1"/>
  <c r="G105" i="7" s="1"/>
  <c r="D117" i="7" s="1"/>
  <c r="G117" i="7" s="1"/>
  <c r="D129" i="7" s="1"/>
  <c r="G129" i="7" s="1"/>
  <c r="D141" i="7" s="1"/>
  <c r="G141" i="7" s="1"/>
  <c r="D153" i="7" s="1"/>
  <c r="G153" i="7" s="1"/>
  <c r="D165" i="7" s="1"/>
  <c r="G165" i="7" s="1"/>
  <c r="D177" i="7" s="1"/>
  <c r="G177" i="7" s="1"/>
  <c r="D189" i="7" s="1"/>
  <c r="G189" i="7" s="1"/>
  <c r="D201" i="7" s="1"/>
  <c r="G201" i="7" s="1"/>
  <c r="D213" i="7" s="1"/>
  <c r="G213" i="7" s="1"/>
  <c r="D225" i="7" s="1"/>
  <c r="G225" i="7" s="1"/>
  <c r="D237" i="7" s="1"/>
  <c r="G237" i="7" s="1"/>
  <c r="D249" i="7" s="1"/>
  <c r="G249" i="7" s="1"/>
  <c r="D261" i="7" s="1"/>
  <c r="G261" i="7" s="1"/>
  <c r="D273" i="7" s="1"/>
  <c r="G273" i="7" s="1"/>
  <c r="D285" i="7" s="1"/>
  <c r="G285" i="7" s="1"/>
  <c r="D297" i="7" s="1"/>
  <c r="G297" i="7" s="1"/>
  <c r="D309" i="7" s="1"/>
  <c r="G309" i="7" s="1"/>
  <c r="D321" i="7" s="1"/>
  <c r="G321" i="7" s="1"/>
  <c r="D333" i="7" s="1"/>
  <c r="G333" i="7" s="1"/>
  <c r="D345" i="7" s="1"/>
  <c r="G345" i="7" s="1"/>
  <c r="D357" i="7" s="1"/>
  <c r="G357" i="7" s="1"/>
  <c r="D9" i="8" s="1"/>
  <c r="G9" i="8" s="1"/>
  <c r="D21" i="8" s="1"/>
  <c r="G21" i="8" s="1"/>
  <c r="D33" i="8" s="1"/>
  <c r="G33" i="8" s="1"/>
  <c r="D45" i="8" s="1"/>
  <c r="G45" i="8" s="1"/>
  <c r="D57" i="8" s="1"/>
  <c r="G57" i="8" s="1"/>
  <c r="D69" i="8" s="1"/>
  <c r="G69" i="8" s="1"/>
  <c r="D81" i="8" s="1"/>
  <c r="G81" i="8" s="1"/>
  <c r="D93" i="8" s="1"/>
  <c r="G93" i="8" s="1"/>
  <c r="D105" i="8" s="1"/>
  <c r="G105" i="8" s="1"/>
  <c r="D117" i="8" s="1"/>
  <c r="G117" i="8" s="1"/>
  <c r="D129" i="8" s="1"/>
  <c r="G129" i="8" s="1"/>
  <c r="D141" i="8" s="1"/>
  <c r="G141" i="8" s="1"/>
  <c r="D153" i="8" s="1"/>
  <c r="G153" i="8" s="1"/>
  <c r="D165" i="8" s="1"/>
  <c r="G165" i="8" s="1"/>
  <c r="D177" i="8" s="1"/>
  <c r="G177" i="8" s="1"/>
  <c r="D189" i="8" s="1"/>
  <c r="G189" i="8" s="1"/>
  <c r="D201" i="8" s="1"/>
  <c r="G201" i="8" s="1"/>
  <c r="D213" i="8" s="1"/>
  <c r="G213" i="8" s="1"/>
  <c r="D225" i="8" s="1"/>
  <c r="G225" i="8" s="1"/>
  <c r="D237" i="8" s="1"/>
  <c r="G237" i="8" s="1"/>
  <c r="D249" i="8" s="1"/>
  <c r="G249" i="8" s="1"/>
  <c r="D261" i="8" s="1"/>
  <c r="G261" i="8" s="1"/>
  <c r="D273" i="8" s="1"/>
  <c r="G273" i="8" s="1"/>
  <c r="D285" i="8" s="1"/>
  <c r="G285" i="8" s="1"/>
  <c r="D297" i="8" s="1"/>
  <c r="G297" i="8" s="1"/>
  <c r="D309" i="8" s="1"/>
  <c r="G309" i="8" s="1"/>
  <c r="D321" i="8" s="1"/>
  <c r="G321" i="8" s="1"/>
  <c r="D333" i="8" s="1"/>
  <c r="G333" i="8" s="1"/>
  <c r="D345" i="8" s="1"/>
  <c r="G345" i="8" s="1"/>
  <c r="D357" i="8" s="1"/>
  <c r="G357" i="8" s="1"/>
  <c r="D369" i="8" s="1"/>
  <c r="G369" i="8" s="1"/>
  <c r="D9" i="9" s="1"/>
  <c r="G9" i="9" s="1"/>
  <c r="D21" i="9" s="1"/>
  <c r="G21" i="9" s="1"/>
  <c r="D33" i="9" s="1"/>
  <c r="G33" i="9" s="1"/>
  <c r="D45" i="9" s="1"/>
  <c r="G45" i="9" s="1"/>
  <c r="D57" i="9" s="1"/>
  <c r="G57" i="9" s="1"/>
  <c r="D69" i="9" s="1"/>
  <c r="G69" i="9" s="1"/>
  <c r="D81" i="9" s="1"/>
  <c r="G81" i="9" s="1"/>
  <c r="D93" i="9" s="1"/>
  <c r="G93" i="9" s="1"/>
  <c r="D105" i="9" s="1"/>
  <c r="G105" i="9" s="1"/>
  <c r="D117" i="9" s="1"/>
  <c r="G117" i="9" s="1"/>
  <c r="D129" i="9" s="1"/>
  <c r="G129" i="9" s="1"/>
  <c r="D141" i="9" s="1"/>
  <c r="G141" i="9" s="1"/>
  <c r="D153" i="9" s="1"/>
  <c r="G153" i="9" s="1"/>
  <c r="D165" i="9" s="1"/>
  <c r="G165" i="9" s="1"/>
  <c r="D177" i="9" s="1"/>
  <c r="G177" i="9" s="1"/>
  <c r="D189" i="9" s="1"/>
  <c r="G189" i="9" s="1"/>
  <c r="D201" i="9" s="1"/>
  <c r="G201" i="9" s="1"/>
  <c r="D213" i="9" s="1"/>
  <c r="G213" i="9" s="1"/>
  <c r="D225" i="9" s="1"/>
  <c r="G225" i="9" s="1"/>
  <c r="D237" i="9" s="1"/>
  <c r="G237" i="9" s="1"/>
  <c r="D249" i="9" s="1"/>
  <c r="G249" i="9" s="1"/>
  <c r="D261" i="9" s="1"/>
  <c r="G261" i="9" s="1"/>
  <c r="D273" i="9" s="1"/>
  <c r="G273" i="9" s="1"/>
  <c r="D285" i="9" s="1"/>
  <c r="G285" i="9" s="1"/>
  <c r="D297" i="9" s="1"/>
  <c r="G297" i="9" s="1"/>
  <c r="D309" i="9" s="1"/>
  <c r="G309" i="9" s="1"/>
  <c r="D321" i="9" s="1"/>
  <c r="G321" i="9" s="1"/>
  <c r="D333" i="9" s="1"/>
  <c r="G333" i="9" s="1"/>
  <c r="D345" i="9" s="1"/>
  <c r="G345" i="9" s="1"/>
  <c r="D357" i="9" s="1"/>
  <c r="G357" i="9" s="1"/>
  <c r="G8" i="4"/>
  <c r="D20" i="4" s="1"/>
  <c r="G20" i="4" s="1"/>
  <c r="D32" i="4" s="1"/>
  <c r="G32" i="4" s="1"/>
  <c r="D44" i="4" s="1"/>
  <c r="G44" i="4" s="1"/>
  <c r="D56" i="4" s="1"/>
  <c r="G56" i="4" s="1"/>
  <c r="D68" i="4" s="1"/>
  <c r="G68" i="4" s="1"/>
  <c r="D80" i="4" s="1"/>
  <c r="G80" i="4" s="1"/>
  <c r="D92" i="4" s="1"/>
  <c r="G92" i="4" s="1"/>
  <c r="D104" i="4" s="1"/>
  <c r="G104" i="4" s="1"/>
  <c r="D116" i="4" s="1"/>
  <c r="G116" i="4" s="1"/>
  <c r="D128" i="4" s="1"/>
  <c r="G128" i="4" s="1"/>
  <c r="D140" i="4" s="1"/>
  <c r="G140" i="4" s="1"/>
  <c r="D152" i="4" s="1"/>
  <c r="G152" i="4" s="1"/>
  <c r="D164" i="4" s="1"/>
  <c r="G164" i="4" s="1"/>
  <c r="D176" i="4" s="1"/>
  <c r="G176" i="4" s="1"/>
  <c r="D188" i="4" s="1"/>
  <c r="G188" i="4" s="1"/>
  <c r="D200" i="4" s="1"/>
  <c r="G200" i="4" s="1"/>
  <c r="D212" i="4" s="1"/>
  <c r="G212" i="4" s="1"/>
  <c r="D224" i="4" s="1"/>
  <c r="G224" i="4" s="1"/>
  <c r="D236" i="4" s="1"/>
  <c r="G236" i="4" s="1"/>
  <c r="D248" i="4" s="1"/>
  <c r="G248" i="4" s="1"/>
  <c r="D260" i="4" s="1"/>
  <c r="G260" i="4" s="1"/>
  <c r="D272" i="4" s="1"/>
  <c r="G272" i="4" s="1"/>
  <c r="D284" i="4" s="1"/>
  <c r="G284" i="4" s="1"/>
  <c r="D296" i="4" s="1"/>
  <c r="G296" i="4" s="1"/>
  <c r="D308" i="4" s="1"/>
  <c r="G308" i="4" s="1"/>
  <c r="D320" i="4" s="1"/>
  <c r="G320" i="4" s="1"/>
  <c r="D332" i="4" s="1"/>
  <c r="G332" i="4" s="1"/>
  <c r="D344" i="4" s="1"/>
  <c r="G344" i="4" s="1"/>
  <c r="D356" i="4" s="1"/>
  <c r="G356" i="4" s="1"/>
  <c r="D368" i="4" s="1"/>
  <c r="G368" i="4" s="1"/>
  <c r="D8" i="5" s="1"/>
  <c r="G8" i="5" s="1"/>
  <c r="D20" i="5" s="1"/>
  <c r="G20" i="5" s="1"/>
  <c r="D32" i="5" s="1"/>
  <c r="G32" i="5" s="1"/>
  <c r="D44" i="5" s="1"/>
  <c r="G44" i="5" s="1"/>
  <c r="D56" i="5" s="1"/>
  <c r="G56" i="5" s="1"/>
  <c r="D68" i="5" s="1"/>
  <c r="G68" i="5" s="1"/>
  <c r="D80" i="5" s="1"/>
  <c r="G80" i="5" s="1"/>
  <c r="D92" i="5" s="1"/>
  <c r="G92" i="5" s="1"/>
  <c r="D104" i="5" s="1"/>
  <c r="G104" i="5" s="1"/>
  <c r="D116" i="5" s="1"/>
  <c r="G116" i="5" s="1"/>
  <c r="D128" i="5" s="1"/>
  <c r="G128" i="5" s="1"/>
  <c r="D140" i="5" s="1"/>
  <c r="G140" i="5" s="1"/>
  <c r="D152" i="5" s="1"/>
  <c r="G152" i="5" s="1"/>
  <c r="D164" i="5" s="1"/>
  <c r="G164" i="5" s="1"/>
  <c r="D176" i="5" s="1"/>
  <c r="G176" i="5" s="1"/>
  <c r="D188" i="5" s="1"/>
  <c r="G188" i="5" s="1"/>
  <c r="D200" i="5" s="1"/>
  <c r="G200" i="5" s="1"/>
  <c r="D212" i="5" s="1"/>
  <c r="G212" i="5" s="1"/>
  <c r="D224" i="5" s="1"/>
  <c r="G224" i="5" s="1"/>
  <c r="D236" i="5" s="1"/>
  <c r="G236" i="5" s="1"/>
  <c r="D248" i="5" s="1"/>
  <c r="G248" i="5" s="1"/>
  <c r="D260" i="5" s="1"/>
  <c r="G260" i="5" s="1"/>
  <c r="D272" i="5" s="1"/>
  <c r="G272" i="5" s="1"/>
  <c r="D284" i="5" s="1"/>
  <c r="G284" i="5" s="1"/>
  <c r="D296" i="5" s="1"/>
  <c r="G296" i="5" s="1"/>
  <c r="D308" i="5" s="1"/>
  <c r="G308" i="5" s="1"/>
  <c r="D320" i="5" s="1"/>
  <c r="G320" i="5" s="1"/>
  <c r="D332" i="5" s="1"/>
  <c r="G332" i="5" s="1"/>
  <c r="D8" i="6" s="1"/>
  <c r="G8" i="6" s="1"/>
  <c r="D20" i="6" s="1"/>
  <c r="G20" i="6" s="1"/>
  <c r="D32" i="6" s="1"/>
  <c r="G32" i="6" s="1"/>
  <c r="D44" i="6" s="1"/>
  <c r="G44" i="6" s="1"/>
  <c r="D56" i="6" s="1"/>
  <c r="G56" i="6" s="1"/>
  <c r="D68" i="6" s="1"/>
  <c r="G68" i="6" s="1"/>
  <c r="D80" i="6" s="1"/>
  <c r="G80" i="6" s="1"/>
  <c r="D92" i="6" s="1"/>
  <c r="G92" i="6" s="1"/>
  <c r="D104" i="6" s="1"/>
  <c r="G104" i="6" s="1"/>
  <c r="D116" i="6" s="1"/>
  <c r="G116" i="6" s="1"/>
  <c r="D128" i="6" s="1"/>
  <c r="G128" i="6" s="1"/>
  <c r="D140" i="6" s="1"/>
  <c r="G140" i="6" s="1"/>
  <c r="D152" i="6" s="1"/>
  <c r="G152" i="6" s="1"/>
  <c r="D164" i="6" s="1"/>
  <c r="G164" i="6" s="1"/>
  <c r="D176" i="6" s="1"/>
  <c r="G176" i="6" s="1"/>
  <c r="D188" i="6" s="1"/>
  <c r="G188" i="6" s="1"/>
  <c r="D200" i="6" s="1"/>
  <c r="G200" i="6" s="1"/>
  <c r="D212" i="6" s="1"/>
  <c r="G212" i="6" s="1"/>
  <c r="D224" i="6" s="1"/>
  <c r="G224" i="6" s="1"/>
  <c r="D236" i="6" s="1"/>
  <c r="G236" i="6" s="1"/>
  <c r="D248" i="6" s="1"/>
  <c r="G248" i="6" s="1"/>
  <c r="D260" i="6" s="1"/>
  <c r="G260" i="6" s="1"/>
  <c r="D272" i="6" s="1"/>
  <c r="G272" i="6" s="1"/>
  <c r="D284" i="6" s="1"/>
  <c r="G284" i="6" s="1"/>
  <c r="D296" i="6" s="1"/>
  <c r="G296" i="6" s="1"/>
  <c r="D308" i="6" s="1"/>
  <c r="G308" i="6" s="1"/>
  <c r="D320" i="6" s="1"/>
  <c r="G320" i="6" s="1"/>
  <c r="D332" i="6" s="1"/>
  <c r="G332" i="6" s="1"/>
  <c r="D344" i="6" s="1"/>
  <c r="G344" i="6" s="1"/>
  <c r="D356" i="6" s="1"/>
  <c r="G356" i="6" s="1"/>
  <c r="D368" i="6" s="1"/>
  <c r="G368" i="6" s="1"/>
  <c r="D8" i="7" s="1"/>
  <c r="G8" i="7" s="1"/>
  <c r="D20" i="7" s="1"/>
  <c r="G20" i="7" s="1"/>
  <c r="D32" i="7" s="1"/>
  <c r="G32" i="7" s="1"/>
  <c r="D44" i="7" s="1"/>
  <c r="G44" i="7" s="1"/>
  <c r="D56" i="7" s="1"/>
  <c r="G56" i="7" s="1"/>
  <c r="D68" i="7" s="1"/>
  <c r="G68" i="7" s="1"/>
  <c r="D80" i="7" s="1"/>
  <c r="G80" i="7" s="1"/>
  <c r="D92" i="7" s="1"/>
  <c r="G92" i="7" s="1"/>
  <c r="D104" i="7" s="1"/>
  <c r="G104" i="7" s="1"/>
  <c r="D116" i="7" s="1"/>
  <c r="G116" i="7" s="1"/>
  <c r="D128" i="7" s="1"/>
  <c r="G128" i="7" s="1"/>
  <c r="D140" i="7" s="1"/>
  <c r="G140" i="7" s="1"/>
  <c r="D152" i="7" s="1"/>
  <c r="G152" i="7" s="1"/>
  <c r="D164" i="7" s="1"/>
  <c r="G164" i="7" s="1"/>
  <c r="D176" i="7" s="1"/>
  <c r="G176" i="7" s="1"/>
  <c r="D188" i="7" s="1"/>
  <c r="G188" i="7" s="1"/>
  <c r="D200" i="7" s="1"/>
  <c r="G200" i="7" s="1"/>
  <c r="D212" i="7" s="1"/>
  <c r="G212" i="7" s="1"/>
  <c r="D224" i="7" s="1"/>
  <c r="G224" i="7" s="1"/>
  <c r="D236" i="7" s="1"/>
  <c r="G236" i="7" s="1"/>
  <c r="D248" i="7" s="1"/>
  <c r="G248" i="7" s="1"/>
  <c r="D260" i="7" s="1"/>
  <c r="G260" i="7" s="1"/>
  <c r="D272" i="7" s="1"/>
  <c r="G272" i="7" s="1"/>
  <c r="D284" i="7" s="1"/>
  <c r="G284" i="7" s="1"/>
  <c r="D296" i="7" s="1"/>
  <c r="G296" i="7" s="1"/>
  <c r="D308" i="7" s="1"/>
  <c r="G308" i="7" s="1"/>
  <c r="D320" i="7" s="1"/>
  <c r="G320" i="7" s="1"/>
  <c r="D332" i="7" s="1"/>
  <c r="G332" i="7" s="1"/>
  <c r="D344" i="7" s="1"/>
  <c r="G344" i="7" s="1"/>
  <c r="D356" i="7" s="1"/>
  <c r="G356" i="7" s="1"/>
  <c r="D8" i="8" s="1"/>
  <c r="G8" i="8" s="1"/>
  <c r="D20" i="8" s="1"/>
  <c r="G20" i="8" s="1"/>
  <c r="D32" i="8" s="1"/>
  <c r="G32" i="8" s="1"/>
  <c r="D44" i="8" s="1"/>
  <c r="G44" i="8" s="1"/>
  <c r="D56" i="8" s="1"/>
  <c r="G56" i="8" s="1"/>
  <c r="D68" i="8" s="1"/>
  <c r="G68" i="8" s="1"/>
  <c r="D80" i="8" s="1"/>
  <c r="G80" i="8" s="1"/>
  <c r="D92" i="8" s="1"/>
  <c r="G92" i="8" s="1"/>
  <c r="D104" i="8" s="1"/>
  <c r="G104" i="8" s="1"/>
  <c r="D116" i="8" s="1"/>
  <c r="G116" i="8" s="1"/>
  <c r="D128" i="8" s="1"/>
  <c r="G128" i="8" s="1"/>
  <c r="D140" i="8" s="1"/>
  <c r="G140" i="8" s="1"/>
  <c r="D152" i="8" s="1"/>
  <c r="G152" i="8" s="1"/>
  <c r="D164" i="8" s="1"/>
  <c r="G164" i="8" s="1"/>
  <c r="D176" i="8" s="1"/>
  <c r="G176" i="8" s="1"/>
  <c r="D188" i="8" s="1"/>
  <c r="G188" i="8" s="1"/>
  <c r="D200" i="8" s="1"/>
  <c r="G200" i="8" s="1"/>
  <c r="D212" i="8" s="1"/>
  <c r="G212" i="8" s="1"/>
  <c r="D224" i="8" s="1"/>
  <c r="G224" i="8" s="1"/>
  <c r="D236" i="8" s="1"/>
  <c r="G236" i="8" s="1"/>
  <c r="D248" i="8" s="1"/>
  <c r="G248" i="8" s="1"/>
  <c r="D260" i="8" s="1"/>
  <c r="G260" i="8" s="1"/>
  <c r="D272" i="8" s="1"/>
  <c r="G272" i="8" s="1"/>
  <c r="D284" i="8" s="1"/>
  <c r="G284" i="8" s="1"/>
  <c r="D296" i="8" s="1"/>
  <c r="G296" i="8" s="1"/>
  <c r="D308" i="8" s="1"/>
  <c r="G308" i="8" s="1"/>
  <c r="D320" i="8" s="1"/>
  <c r="G320" i="8" s="1"/>
  <c r="D332" i="8" s="1"/>
  <c r="G332" i="8" s="1"/>
  <c r="D344" i="8" s="1"/>
  <c r="G344" i="8" s="1"/>
  <c r="D356" i="8" s="1"/>
  <c r="G356" i="8" s="1"/>
  <c r="D368" i="8" s="1"/>
  <c r="G368" i="8" s="1"/>
  <c r="D8" i="9" s="1"/>
  <c r="G8" i="9" s="1"/>
  <c r="D20" i="9" s="1"/>
  <c r="G20" i="9" s="1"/>
  <c r="D32" i="9" s="1"/>
  <c r="G32" i="9" s="1"/>
  <c r="D44" i="9" s="1"/>
  <c r="G44" i="9" s="1"/>
  <c r="D56" i="9" s="1"/>
  <c r="G56" i="9" s="1"/>
  <c r="D68" i="9" s="1"/>
  <c r="G68" i="9" s="1"/>
  <c r="D80" i="9" s="1"/>
  <c r="G80" i="9" s="1"/>
  <c r="D92" i="9" s="1"/>
  <c r="G92" i="9" s="1"/>
  <c r="D104" i="9" s="1"/>
  <c r="G104" i="9" s="1"/>
  <c r="D116" i="9" s="1"/>
  <c r="G116" i="9" s="1"/>
  <c r="D128" i="9" s="1"/>
  <c r="G128" i="9" s="1"/>
  <c r="D140" i="9" s="1"/>
  <c r="G140" i="9" s="1"/>
  <c r="D152" i="9" s="1"/>
  <c r="G152" i="9" s="1"/>
  <c r="D164" i="9" s="1"/>
  <c r="G164" i="9" s="1"/>
  <c r="D176" i="9" s="1"/>
  <c r="G176" i="9" s="1"/>
  <c r="D188" i="9" s="1"/>
  <c r="G188" i="9" s="1"/>
  <c r="D200" i="9" s="1"/>
  <c r="G200" i="9" s="1"/>
  <c r="D212" i="9" s="1"/>
  <c r="G212" i="9" s="1"/>
  <c r="D224" i="9" s="1"/>
  <c r="G224" i="9" s="1"/>
  <c r="D236" i="9" s="1"/>
  <c r="G236" i="9" s="1"/>
  <c r="D248" i="9" s="1"/>
  <c r="G248" i="9" s="1"/>
  <c r="D260" i="9" s="1"/>
  <c r="G260" i="9" s="1"/>
  <c r="D272" i="9" s="1"/>
  <c r="G272" i="9" s="1"/>
  <c r="D284" i="9" s="1"/>
  <c r="G284" i="9" s="1"/>
  <c r="D296" i="9" s="1"/>
  <c r="G296" i="9" s="1"/>
  <c r="D308" i="9" s="1"/>
  <c r="G308" i="9" s="1"/>
  <c r="D320" i="9" s="1"/>
  <c r="G320" i="9" s="1"/>
  <c r="D332" i="9" s="1"/>
  <c r="G332" i="9" s="1"/>
  <c r="D344" i="9" s="1"/>
  <c r="G344" i="9" s="1"/>
  <c r="D356" i="9" s="1"/>
  <c r="G356" i="9" s="1"/>
  <c r="G7" i="4"/>
  <c r="D8" i="1"/>
  <c r="C8" i="1"/>
  <c r="D7" i="1"/>
  <c r="C7" i="1"/>
  <c r="D6" i="1"/>
  <c r="C6" i="1"/>
  <c r="D5" i="1"/>
  <c r="C5" i="1"/>
  <c r="D4" i="1"/>
  <c r="C4" i="1"/>
  <c r="D3" i="1"/>
  <c r="D9" i="1" s="1"/>
  <c r="C3" i="1"/>
  <c r="C9" i="1" s="1"/>
  <c r="B3" i="1"/>
  <c r="B9" i="1" s="1"/>
  <c r="D19" i="4" l="1"/>
  <c r="G18" i="4"/>
  <c r="D30" i="4" l="1"/>
  <c r="G19" i="4"/>
  <c r="D31" i="4" l="1"/>
  <c r="G30" i="4"/>
  <c r="D42" i="4" l="1"/>
  <c r="G31" i="4"/>
  <c r="D43" i="4" l="1"/>
  <c r="G42" i="4"/>
  <c r="D54" i="4" l="1"/>
  <c r="G43" i="4"/>
  <c r="D55" i="4" l="1"/>
  <c r="G54" i="4"/>
  <c r="D66" i="4" l="1"/>
  <c r="G55" i="4"/>
  <c r="D67" i="4" l="1"/>
  <c r="G66" i="4"/>
  <c r="D78" i="4" l="1"/>
  <c r="G67" i="4"/>
  <c r="D79" i="4" l="1"/>
  <c r="G78" i="4"/>
  <c r="D90" i="4" l="1"/>
  <c r="G79" i="4"/>
  <c r="D91" i="4" l="1"/>
  <c r="G90" i="4"/>
  <c r="D102" i="4" l="1"/>
  <c r="G91" i="4"/>
  <c r="D103" i="4" l="1"/>
  <c r="G102" i="4"/>
  <c r="D114" i="4" l="1"/>
  <c r="G103" i="4"/>
  <c r="D115" i="4" l="1"/>
  <c r="G114" i="4"/>
  <c r="D126" i="4" l="1"/>
  <c r="G115" i="4"/>
  <c r="D127" i="4" l="1"/>
  <c r="G126" i="4"/>
  <c r="D138" i="4" l="1"/>
  <c r="G127" i="4"/>
  <c r="D139" i="4" l="1"/>
  <c r="G138" i="4"/>
  <c r="D150" i="4" l="1"/>
  <c r="G139" i="4"/>
  <c r="D151" i="4" l="1"/>
  <c r="G150" i="4"/>
  <c r="D162" i="4" l="1"/>
  <c r="G151" i="4"/>
  <c r="D163" i="4" l="1"/>
  <c r="G162" i="4"/>
  <c r="D174" i="4" l="1"/>
  <c r="G163" i="4"/>
  <c r="D175" i="4" l="1"/>
  <c r="G174" i="4"/>
  <c r="D186" i="4" l="1"/>
  <c r="G175" i="4"/>
  <c r="D187" i="4" l="1"/>
  <c r="G186" i="4"/>
  <c r="D198" i="4" l="1"/>
  <c r="G187" i="4"/>
  <c r="D199" i="4" l="1"/>
  <c r="G198" i="4"/>
  <c r="D210" i="4" l="1"/>
  <c r="G199" i="4"/>
  <c r="D211" i="4" l="1"/>
  <c r="G210" i="4"/>
  <c r="D222" i="4" l="1"/>
  <c r="G211" i="4"/>
  <c r="D223" i="4" l="1"/>
  <c r="G222" i="4"/>
  <c r="D234" i="4" l="1"/>
  <c r="G223" i="4"/>
  <c r="D235" i="4" l="1"/>
  <c r="G234" i="4"/>
  <c r="D246" i="4" l="1"/>
  <c r="G235" i="4"/>
  <c r="D247" i="4" l="1"/>
  <c r="G246" i="4"/>
  <c r="D258" i="4" l="1"/>
  <c r="G247" i="4"/>
  <c r="D259" i="4" l="1"/>
  <c r="G258" i="4"/>
  <c r="D270" i="4" l="1"/>
  <c r="G259" i="4"/>
  <c r="D271" i="4" l="1"/>
  <c r="G270" i="4"/>
  <c r="D282" i="4" l="1"/>
  <c r="G271" i="4"/>
  <c r="D283" i="4" l="1"/>
  <c r="G282" i="4"/>
  <c r="D294" i="4" l="1"/>
  <c r="G283" i="4"/>
  <c r="D295" i="4" l="1"/>
  <c r="G294" i="4"/>
  <c r="D306" i="4" l="1"/>
  <c r="G295" i="4"/>
  <c r="D307" i="4" l="1"/>
  <c r="G306" i="4"/>
  <c r="D318" i="4" l="1"/>
  <c r="G307" i="4"/>
  <c r="D319" i="4" l="1"/>
  <c r="G318" i="4"/>
  <c r="D330" i="4" l="1"/>
  <c r="G319" i="4"/>
  <c r="D331" i="4" l="1"/>
  <c r="G330" i="4"/>
  <c r="D342" i="4" l="1"/>
  <c r="G331" i="4"/>
  <c r="D343" i="4" l="1"/>
  <c r="G342" i="4"/>
  <c r="D354" i="4" l="1"/>
  <c r="G343" i="4"/>
  <c r="D355" i="4" l="1"/>
  <c r="G354" i="4"/>
  <c r="D366" i="4" l="1"/>
  <c r="G355" i="4"/>
  <c r="D367" i="4" l="1"/>
  <c r="G366" i="4"/>
  <c r="D378" i="4" l="1"/>
  <c r="G367" i="4"/>
  <c r="D7" i="5" l="1"/>
  <c r="G378" i="4"/>
  <c r="G379" i="4" s="1"/>
  <c r="E3" i="1" s="1"/>
  <c r="D343" i="5" l="1"/>
  <c r="B4" i="1" s="1"/>
  <c r="D18" i="5"/>
  <c r="G7" i="5"/>
  <c r="D19" i="5" l="1"/>
  <c r="G18" i="5"/>
  <c r="D30" i="5" l="1"/>
  <c r="G19" i="5"/>
  <c r="D31" i="5" l="1"/>
  <c r="G30" i="5"/>
  <c r="D42" i="5" l="1"/>
  <c r="G31" i="5"/>
  <c r="D43" i="5" l="1"/>
  <c r="G42" i="5"/>
  <c r="D54" i="5" l="1"/>
  <c r="G43" i="5"/>
  <c r="D55" i="5" l="1"/>
  <c r="G54" i="5"/>
  <c r="D66" i="5" l="1"/>
  <c r="G55" i="5"/>
  <c r="D67" i="5" l="1"/>
  <c r="G66" i="5"/>
  <c r="D78" i="5" l="1"/>
  <c r="G67" i="5"/>
  <c r="D79" i="5" l="1"/>
  <c r="G78" i="5"/>
  <c r="D90" i="5" l="1"/>
  <c r="G79" i="5"/>
  <c r="D91" i="5" l="1"/>
  <c r="G90" i="5"/>
  <c r="D102" i="5" l="1"/>
  <c r="G91" i="5"/>
  <c r="D103" i="5" l="1"/>
  <c r="G102" i="5"/>
  <c r="D114" i="5" l="1"/>
  <c r="G103" i="5"/>
  <c r="D115" i="5" l="1"/>
  <c r="G114" i="5"/>
  <c r="D126" i="5" l="1"/>
  <c r="G115" i="5"/>
  <c r="D127" i="5" l="1"/>
  <c r="G126" i="5"/>
  <c r="D138" i="5" l="1"/>
  <c r="G127" i="5"/>
  <c r="D139" i="5" l="1"/>
  <c r="G138" i="5"/>
  <c r="D150" i="5" l="1"/>
  <c r="G139" i="5"/>
  <c r="D151" i="5" l="1"/>
  <c r="G150" i="5"/>
  <c r="D162" i="5" l="1"/>
  <c r="G151" i="5"/>
  <c r="D163" i="5" l="1"/>
  <c r="G162" i="5"/>
  <c r="D174" i="5" l="1"/>
  <c r="G163" i="5"/>
  <c r="D175" i="5" l="1"/>
  <c r="G174" i="5"/>
  <c r="D186" i="5" l="1"/>
  <c r="G175" i="5"/>
  <c r="D187" i="5" l="1"/>
  <c r="G186" i="5"/>
  <c r="D198" i="5" l="1"/>
  <c r="G187" i="5"/>
  <c r="D199" i="5" l="1"/>
  <c r="G198" i="5"/>
  <c r="D210" i="5" l="1"/>
  <c r="G199" i="5"/>
  <c r="D211" i="5" l="1"/>
  <c r="G210" i="5"/>
  <c r="D222" i="5" l="1"/>
  <c r="G211" i="5"/>
  <c r="D223" i="5" l="1"/>
  <c r="G222" i="5"/>
  <c r="D234" i="5" l="1"/>
  <c r="G223" i="5"/>
  <c r="D235" i="5" l="1"/>
  <c r="G234" i="5"/>
  <c r="D246" i="5" l="1"/>
  <c r="G235" i="5"/>
  <c r="D247" i="5" l="1"/>
  <c r="G246" i="5"/>
  <c r="D258" i="5" l="1"/>
  <c r="G247" i="5"/>
  <c r="D259" i="5" l="1"/>
  <c r="G258" i="5"/>
  <c r="D270" i="5" l="1"/>
  <c r="G259" i="5"/>
  <c r="D271" i="5" l="1"/>
  <c r="G270" i="5"/>
  <c r="D282" i="5" l="1"/>
  <c r="G271" i="5"/>
  <c r="D283" i="5" l="1"/>
  <c r="G282" i="5"/>
  <c r="D294" i="5" l="1"/>
  <c r="G283" i="5"/>
  <c r="D295" i="5" l="1"/>
  <c r="G294" i="5"/>
  <c r="D306" i="5" l="1"/>
  <c r="G295" i="5"/>
  <c r="D307" i="5" l="1"/>
  <c r="G306" i="5"/>
  <c r="D318" i="5" l="1"/>
  <c r="G307" i="5"/>
  <c r="D319" i="5" l="1"/>
  <c r="G318" i="5"/>
  <c r="D330" i="5" l="1"/>
  <c r="G319" i="5"/>
  <c r="D331" i="5" l="1"/>
  <c r="G330" i="5"/>
  <c r="D342" i="5" l="1"/>
  <c r="G331" i="5"/>
  <c r="D7" i="6" l="1"/>
  <c r="G342" i="5"/>
  <c r="G343" i="5" s="1"/>
  <c r="E4" i="1" s="1"/>
  <c r="D379" i="6" l="1"/>
  <c r="B5" i="1" s="1"/>
  <c r="D18" i="6"/>
  <c r="G7" i="6"/>
  <c r="D19" i="6" l="1"/>
  <c r="G18" i="6"/>
  <c r="D30" i="6" l="1"/>
  <c r="G19" i="6"/>
  <c r="D31" i="6" l="1"/>
  <c r="G30" i="6"/>
  <c r="D42" i="6" l="1"/>
  <c r="G31" i="6"/>
  <c r="D43" i="6" l="1"/>
  <c r="G42" i="6"/>
  <c r="D54" i="6" l="1"/>
  <c r="G43" i="6"/>
  <c r="D55" i="6" l="1"/>
  <c r="G54" i="6"/>
  <c r="D66" i="6" l="1"/>
  <c r="G55" i="6"/>
  <c r="D67" i="6" l="1"/>
  <c r="G66" i="6"/>
  <c r="D78" i="6" l="1"/>
  <c r="G67" i="6"/>
  <c r="D79" i="6" l="1"/>
  <c r="G78" i="6"/>
  <c r="D90" i="6" l="1"/>
  <c r="G79" i="6"/>
  <c r="D91" i="6" l="1"/>
  <c r="G90" i="6"/>
  <c r="D102" i="6" l="1"/>
  <c r="G91" i="6"/>
  <c r="D103" i="6" l="1"/>
  <c r="G102" i="6"/>
  <c r="D114" i="6" l="1"/>
  <c r="G103" i="6"/>
  <c r="D115" i="6" l="1"/>
  <c r="G114" i="6"/>
  <c r="D126" i="6" l="1"/>
  <c r="G115" i="6"/>
  <c r="D127" i="6" l="1"/>
  <c r="G126" i="6"/>
  <c r="D138" i="6" l="1"/>
  <c r="G127" i="6"/>
  <c r="D139" i="6" l="1"/>
  <c r="G138" i="6"/>
  <c r="D150" i="6" l="1"/>
  <c r="G139" i="6"/>
  <c r="D151" i="6" l="1"/>
  <c r="G150" i="6"/>
  <c r="D162" i="6" l="1"/>
  <c r="G151" i="6"/>
  <c r="D163" i="6" l="1"/>
  <c r="G162" i="6"/>
  <c r="D174" i="6" l="1"/>
  <c r="G163" i="6"/>
  <c r="D175" i="6" l="1"/>
  <c r="G174" i="6"/>
  <c r="D186" i="6" l="1"/>
  <c r="G175" i="6"/>
  <c r="D187" i="6" l="1"/>
  <c r="G186" i="6"/>
  <c r="D198" i="6" l="1"/>
  <c r="G187" i="6"/>
  <c r="D199" i="6" l="1"/>
  <c r="G198" i="6"/>
  <c r="D210" i="6" l="1"/>
  <c r="G199" i="6"/>
  <c r="D211" i="6" l="1"/>
  <c r="G210" i="6"/>
  <c r="D222" i="6" l="1"/>
  <c r="G211" i="6"/>
  <c r="D223" i="6" l="1"/>
  <c r="G222" i="6"/>
  <c r="D234" i="6" l="1"/>
  <c r="G223" i="6"/>
  <c r="D235" i="6" l="1"/>
  <c r="G234" i="6"/>
  <c r="D246" i="6" l="1"/>
  <c r="G235" i="6"/>
  <c r="D247" i="6" l="1"/>
  <c r="G246" i="6"/>
  <c r="D258" i="6" l="1"/>
  <c r="G247" i="6"/>
  <c r="D259" i="6" l="1"/>
  <c r="G258" i="6"/>
  <c r="D270" i="6" l="1"/>
  <c r="G259" i="6"/>
  <c r="D271" i="6" l="1"/>
  <c r="G270" i="6"/>
  <c r="D282" i="6" l="1"/>
  <c r="G271" i="6"/>
  <c r="D283" i="6" l="1"/>
  <c r="G282" i="6"/>
  <c r="D294" i="6" l="1"/>
  <c r="G283" i="6"/>
  <c r="D295" i="6" l="1"/>
  <c r="G294" i="6"/>
  <c r="D306" i="6" l="1"/>
  <c r="G295" i="6"/>
  <c r="D307" i="6" l="1"/>
  <c r="G306" i="6"/>
  <c r="D318" i="6" l="1"/>
  <c r="G307" i="6"/>
  <c r="D319" i="6" l="1"/>
  <c r="G318" i="6"/>
  <c r="D330" i="6" l="1"/>
  <c r="G319" i="6"/>
  <c r="D331" i="6" l="1"/>
  <c r="G330" i="6"/>
  <c r="D342" i="6" l="1"/>
  <c r="G331" i="6"/>
  <c r="D343" i="6" l="1"/>
  <c r="G342" i="6"/>
  <c r="D354" i="6" l="1"/>
  <c r="G343" i="6"/>
  <c r="D355" i="6" l="1"/>
  <c r="G354" i="6"/>
  <c r="D366" i="6" l="1"/>
  <c r="G355" i="6"/>
  <c r="D367" i="6" l="1"/>
  <c r="G366" i="6"/>
  <c r="D378" i="6" l="1"/>
  <c r="G367" i="6"/>
  <c r="D7" i="7" l="1"/>
  <c r="G378" i="6"/>
  <c r="G379" i="6" s="1"/>
  <c r="E5" i="1" s="1"/>
  <c r="D367" i="7" l="1"/>
  <c r="B6" i="1" s="1"/>
  <c r="D18" i="7"/>
  <c r="G7" i="7"/>
  <c r="D19" i="7" l="1"/>
  <c r="G18" i="7"/>
  <c r="D30" i="7" l="1"/>
  <c r="G19" i="7"/>
  <c r="D31" i="7" l="1"/>
  <c r="G30" i="7"/>
  <c r="D42" i="7" l="1"/>
  <c r="G31" i="7"/>
  <c r="D43" i="7" l="1"/>
  <c r="G42" i="7"/>
  <c r="D54" i="7" l="1"/>
  <c r="G43" i="7"/>
  <c r="D55" i="7" l="1"/>
  <c r="G54" i="7"/>
  <c r="D66" i="7" l="1"/>
  <c r="G55" i="7"/>
  <c r="D67" i="7" l="1"/>
  <c r="G66" i="7"/>
  <c r="D78" i="7" l="1"/>
  <c r="G67" i="7"/>
  <c r="D79" i="7" l="1"/>
  <c r="G78" i="7"/>
  <c r="D90" i="7" l="1"/>
  <c r="G79" i="7"/>
  <c r="D91" i="7" l="1"/>
  <c r="G90" i="7"/>
  <c r="D102" i="7" l="1"/>
  <c r="G91" i="7"/>
  <c r="D103" i="7" l="1"/>
  <c r="G102" i="7"/>
  <c r="D114" i="7" l="1"/>
  <c r="G103" i="7"/>
  <c r="D115" i="7" l="1"/>
  <c r="G114" i="7"/>
  <c r="D126" i="7" l="1"/>
  <c r="G115" i="7"/>
  <c r="D127" i="7" l="1"/>
  <c r="G126" i="7"/>
  <c r="D138" i="7" l="1"/>
  <c r="G127" i="7"/>
  <c r="D139" i="7" l="1"/>
  <c r="G138" i="7"/>
  <c r="D150" i="7" l="1"/>
  <c r="G139" i="7"/>
  <c r="D151" i="7" l="1"/>
  <c r="G150" i="7"/>
  <c r="D162" i="7" l="1"/>
  <c r="G151" i="7"/>
  <c r="D163" i="7" l="1"/>
  <c r="G162" i="7"/>
  <c r="D174" i="7" l="1"/>
  <c r="G163" i="7"/>
  <c r="D175" i="7" l="1"/>
  <c r="G174" i="7"/>
  <c r="D186" i="7" l="1"/>
  <c r="G175" i="7"/>
  <c r="D187" i="7" l="1"/>
  <c r="G186" i="7"/>
  <c r="D198" i="7" l="1"/>
  <c r="G187" i="7"/>
  <c r="D199" i="7" l="1"/>
  <c r="G198" i="7"/>
  <c r="D210" i="7" l="1"/>
  <c r="G199" i="7"/>
  <c r="D211" i="7" l="1"/>
  <c r="G210" i="7"/>
  <c r="D222" i="7" l="1"/>
  <c r="G211" i="7"/>
  <c r="D223" i="7" l="1"/>
  <c r="G222" i="7"/>
  <c r="D234" i="7" l="1"/>
  <c r="G223" i="7"/>
  <c r="D235" i="7" l="1"/>
  <c r="G234" i="7"/>
  <c r="D246" i="7" l="1"/>
  <c r="G235" i="7"/>
  <c r="D247" i="7" l="1"/>
  <c r="G246" i="7"/>
  <c r="D258" i="7" l="1"/>
  <c r="G247" i="7"/>
  <c r="D259" i="7" l="1"/>
  <c r="G258" i="7"/>
  <c r="D270" i="7" l="1"/>
  <c r="G259" i="7"/>
  <c r="D271" i="7" l="1"/>
  <c r="G270" i="7"/>
  <c r="D282" i="7" l="1"/>
  <c r="G271" i="7"/>
  <c r="D283" i="7" l="1"/>
  <c r="G282" i="7"/>
  <c r="D294" i="7" l="1"/>
  <c r="G283" i="7"/>
  <c r="D295" i="7" l="1"/>
  <c r="G294" i="7"/>
  <c r="D306" i="7" l="1"/>
  <c r="G295" i="7"/>
  <c r="D307" i="7" l="1"/>
  <c r="G306" i="7"/>
  <c r="D318" i="7" l="1"/>
  <c r="G307" i="7"/>
  <c r="D319" i="7" l="1"/>
  <c r="G318" i="7"/>
  <c r="D330" i="7" l="1"/>
  <c r="G319" i="7"/>
  <c r="D331" i="7" l="1"/>
  <c r="G330" i="7"/>
  <c r="D342" i="7" l="1"/>
  <c r="G331" i="7"/>
  <c r="D343" i="7" l="1"/>
  <c r="G342" i="7"/>
  <c r="D354" i="7" l="1"/>
  <c r="G343" i="7"/>
  <c r="D355" i="7" l="1"/>
  <c r="G354" i="7"/>
  <c r="D366" i="7" l="1"/>
  <c r="G355" i="7"/>
  <c r="D7" i="8" l="1"/>
  <c r="G366" i="7"/>
  <c r="G367" i="7" s="1"/>
  <c r="E6" i="1" s="1"/>
  <c r="D379" i="8" l="1"/>
  <c r="B7" i="1" s="1"/>
  <c r="D18" i="8"/>
  <c r="G7" i="8"/>
  <c r="D19" i="8" l="1"/>
  <c r="G18" i="8"/>
  <c r="D30" i="8" l="1"/>
  <c r="G19" i="8"/>
  <c r="D31" i="8" l="1"/>
  <c r="G30" i="8"/>
  <c r="D42" i="8" l="1"/>
  <c r="G31" i="8"/>
  <c r="D43" i="8" l="1"/>
  <c r="G42" i="8"/>
  <c r="D54" i="8" l="1"/>
  <c r="G43" i="8"/>
  <c r="D55" i="8" l="1"/>
  <c r="G54" i="8"/>
  <c r="D66" i="8" l="1"/>
  <c r="G55" i="8"/>
  <c r="D67" i="8" l="1"/>
  <c r="G66" i="8"/>
  <c r="D78" i="8" l="1"/>
  <c r="G67" i="8"/>
  <c r="D79" i="8" l="1"/>
  <c r="G78" i="8"/>
  <c r="D90" i="8" l="1"/>
  <c r="G79" i="8"/>
  <c r="D91" i="8" l="1"/>
  <c r="G90" i="8"/>
  <c r="D102" i="8" l="1"/>
  <c r="G91" i="8"/>
  <c r="D103" i="8" l="1"/>
  <c r="G102" i="8"/>
  <c r="D114" i="8" l="1"/>
  <c r="G103" i="8"/>
  <c r="D115" i="8" l="1"/>
  <c r="G114" i="8"/>
  <c r="D126" i="8" l="1"/>
  <c r="G115" i="8"/>
  <c r="D127" i="8" l="1"/>
  <c r="G126" i="8"/>
  <c r="D138" i="8" l="1"/>
  <c r="G127" i="8"/>
  <c r="D139" i="8" l="1"/>
  <c r="G138" i="8"/>
  <c r="D150" i="8" l="1"/>
  <c r="G139" i="8"/>
  <c r="D151" i="8" l="1"/>
  <c r="G150" i="8"/>
  <c r="D162" i="8" l="1"/>
  <c r="G151" i="8"/>
  <c r="D163" i="8" l="1"/>
  <c r="G162" i="8"/>
  <c r="D174" i="8" l="1"/>
  <c r="G163" i="8"/>
  <c r="D175" i="8" l="1"/>
  <c r="G174" i="8"/>
  <c r="D186" i="8" l="1"/>
  <c r="G175" i="8"/>
  <c r="D187" i="8" l="1"/>
  <c r="G186" i="8"/>
  <c r="D198" i="8" l="1"/>
  <c r="G187" i="8"/>
  <c r="D199" i="8" l="1"/>
  <c r="G198" i="8"/>
  <c r="D210" i="8" l="1"/>
  <c r="G199" i="8"/>
  <c r="D211" i="8" l="1"/>
  <c r="G210" i="8"/>
  <c r="D222" i="8" l="1"/>
  <c r="G211" i="8"/>
  <c r="D223" i="8" l="1"/>
  <c r="G222" i="8"/>
  <c r="D234" i="8" l="1"/>
  <c r="G223" i="8"/>
  <c r="D235" i="8" l="1"/>
  <c r="G234" i="8"/>
  <c r="D246" i="8" l="1"/>
  <c r="G235" i="8"/>
  <c r="D247" i="8" l="1"/>
  <c r="G246" i="8"/>
  <c r="D258" i="8" l="1"/>
  <c r="G247" i="8"/>
  <c r="D259" i="8" l="1"/>
  <c r="G258" i="8"/>
  <c r="D270" i="8" l="1"/>
  <c r="G259" i="8"/>
  <c r="D271" i="8" l="1"/>
  <c r="G270" i="8"/>
  <c r="D282" i="8" l="1"/>
  <c r="G271" i="8"/>
  <c r="D283" i="8" l="1"/>
  <c r="G282" i="8"/>
  <c r="D294" i="8" l="1"/>
  <c r="G283" i="8"/>
  <c r="D295" i="8" l="1"/>
  <c r="G294" i="8"/>
  <c r="D306" i="8" l="1"/>
  <c r="G295" i="8"/>
  <c r="D307" i="8" l="1"/>
  <c r="G306" i="8"/>
  <c r="D318" i="8" l="1"/>
  <c r="G307" i="8"/>
  <c r="D319" i="8" l="1"/>
  <c r="G318" i="8"/>
  <c r="D330" i="8" l="1"/>
  <c r="G319" i="8"/>
  <c r="D331" i="8" l="1"/>
  <c r="G330" i="8"/>
  <c r="D342" i="8" l="1"/>
  <c r="G331" i="8"/>
  <c r="D343" i="8" l="1"/>
  <c r="G342" i="8"/>
  <c r="D354" i="8" l="1"/>
  <c r="G343" i="8"/>
  <c r="D355" i="8" l="1"/>
  <c r="G354" i="8"/>
  <c r="D366" i="8" l="1"/>
  <c r="G355" i="8"/>
  <c r="D367" i="8" l="1"/>
  <c r="G366" i="8"/>
  <c r="D378" i="8" l="1"/>
  <c r="G367" i="8"/>
  <c r="D7" i="9" l="1"/>
  <c r="G378" i="8"/>
  <c r="G379" i="8" s="1"/>
  <c r="E7" i="1" s="1"/>
  <c r="D367" i="9" l="1"/>
  <c r="B8" i="1" s="1"/>
  <c r="D18" i="9"/>
  <c r="G7" i="9"/>
  <c r="D19" i="9" l="1"/>
  <c r="G18" i="9"/>
  <c r="D30" i="9" l="1"/>
  <c r="G19" i="9"/>
  <c r="D31" i="9" l="1"/>
  <c r="G30" i="9"/>
  <c r="D42" i="9" l="1"/>
  <c r="G31" i="9"/>
  <c r="D43" i="9" l="1"/>
  <c r="G42" i="9"/>
  <c r="D54" i="9" l="1"/>
  <c r="G43" i="9"/>
  <c r="D55" i="9" l="1"/>
  <c r="G54" i="9"/>
  <c r="D66" i="9" l="1"/>
  <c r="G55" i="9"/>
  <c r="D67" i="9" l="1"/>
  <c r="G66" i="9"/>
  <c r="D78" i="9" l="1"/>
  <c r="G67" i="9"/>
  <c r="D79" i="9" l="1"/>
  <c r="G78" i="9"/>
  <c r="D90" i="9" l="1"/>
  <c r="G79" i="9"/>
  <c r="D91" i="9" l="1"/>
  <c r="G90" i="9"/>
  <c r="D102" i="9" l="1"/>
  <c r="G91" i="9"/>
  <c r="D103" i="9" l="1"/>
  <c r="G102" i="9"/>
  <c r="D114" i="9" l="1"/>
  <c r="G103" i="9"/>
  <c r="D115" i="9" l="1"/>
  <c r="G114" i="9"/>
  <c r="D126" i="9" l="1"/>
  <c r="G115" i="9"/>
  <c r="D127" i="9" l="1"/>
  <c r="G126" i="9"/>
  <c r="D138" i="9" l="1"/>
  <c r="G127" i="9"/>
  <c r="D139" i="9" l="1"/>
  <c r="G138" i="9"/>
  <c r="D150" i="9" l="1"/>
  <c r="G139" i="9"/>
  <c r="D151" i="9" l="1"/>
  <c r="G150" i="9"/>
  <c r="D162" i="9" l="1"/>
  <c r="G151" i="9"/>
  <c r="D163" i="9" l="1"/>
  <c r="G162" i="9"/>
  <c r="D174" i="9" l="1"/>
  <c r="G163" i="9"/>
  <c r="D175" i="9" l="1"/>
  <c r="G174" i="9"/>
  <c r="D186" i="9" l="1"/>
  <c r="G175" i="9"/>
  <c r="D187" i="9" l="1"/>
  <c r="G186" i="9"/>
  <c r="D198" i="9" l="1"/>
  <c r="G187" i="9"/>
  <c r="D199" i="9" l="1"/>
  <c r="G198" i="9"/>
  <c r="D210" i="9" l="1"/>
  <c r="G199" i="9"/>
  <c r="D211" i="9" l="1"/>
  <c r="G210" i="9"/>
  <c r="D222" i="9" l="1"/>
  <c r="G211" i="9"/>
  <c r="D223" i="9" l="1"/>
  <c r="G222" i="9"/>
  <c r="D234" i="9" l="1"/>
  <c r="G223" i="9"/>
  <c r="D235" i="9" l="1"/>
  <c r="G234" i="9"/>
  <c r="D246" i="9" l="1"/>
  <c r="G235" i="9"/>
  <c r="D247" i="9" l="1"/>
  <c r="G246" i="9"/>
  <c r="D258" i="9" l="1"/>
  <c r="G247" i="9"/>
  <c r="D259" i="9" l="1"/>
  <c r="G258" i="9"/>
  <c r="D270" i="9" l="1"/>
  <c r="G259" i="9"/>
  <c r="D271" i="9" l="1"/>
  <c r="G270" i="9"/>
  <c r="D282" i="9" l="1"/>
  <c r="G271" i="9"/>
  <c r="D283" i="9" l="1"/>
  <c r="G282" i="9"/>
  <c r="D294" i="9" l="1"/>
  <c r="G283" i="9"/>
  <c r="D295" i="9" l="1"/>
  <c r="G294" i="9"/>
  <c r="D306" i="9" l="1"/>
  <c r="G295" i="9"/>
  <c r="D307" i="9" l="1"/>
  <c r="G306" i="9"/>
  <c r="D318" i="9" l="1"/>
  <c r="G307" i="9"/>
  <c r="D319" i="9" l="1"/>
  <c r="G318" i="9"/>
  <c r="D330" i="9" l="1"/>
  <c r="G319" i="9"/>
  <c r="D331" i="9" l="1"/>
  <c r="G330" i="9"/>
  <c r="D342" i="9" l="1"/>
  <c r="G331" i="9"/>
  <c r="D343" i="9" l="1"/>
  <c r="G342" i="9"/>
  <c r="D354" i="9" l="1"/>
  <c r="G343" i="9"/>
  <c r="D355" i="9" l="1"/>
  <c r="G354" i="9"/>
  <c r="D366" i="9" l="1"/>
  <c r="G355" i="9"/>
  <c r="G366" i="9" s="1"/>
  <c r="G367" i="9" s="1"/>
  <c r="E8" i="1" s="1"/>
  <c r="E9" i="1" s="1"/>
</calcChain>
</file>

<file path=xl/sharedStrings.xml><?xml version="1.0" encoding="utf-8"?>
<sst xmlns="http://schemas.openxmlformats.org/spreadsheetml/2006/main" count="10502" uniqueCount="252">
  <si>
    <t>SUMMARY  —  JANUARY 2026  TO  JUNE 2026</t>
  </si>
  <si>
    <t>Month</t>
  </si>
  <si>
    <t>Opening Stock</t>
  </si>
  <si>
    <t>Total Production</t>
  </si>
  <si>
    <t>Total Sales</t>
  </si>
  <si>
    <t>Closing Stock</t>
  </si>
  <si>
    <t>January 2026</t>
  </si>
  <si>
    <t>February 2026</t>
  </si>
  <si>
    <t>March 2026</t>
  </si>
  <si>
    <t>April 2026</t>
  </si>
  <si>
    <t>May 2026</t>
  </si>
  <si>
    <t>June 2026</t>
  </si>
  <si>
    <t>TOTAL  —  Jan to Jun 2026</t>
  </si>
  <si>
    <t>PRODUCTION,SALES AND INVENTORY DASHBOARD</t>
  </si>
  <si>
    <t>Sum of Sales</t>
  </si>
  <si>
    <t>Sum of Production</t>
  </si>
  <si>
    <t>TOTAL SALES(in bags)</t>
  </si>
  <si>
    <t>TOTAL PRODUCTION(in bags)</t>
  </si>
  <si>
    <t>BEST MONTH</t>
  </si>
  <si>
    <t>BEST SELLING PRODUCT</t>
  </si>
  <si>
    <t>AVG EFFICINECY %</t>
  </si>
  <si>
    <t>(All)</t>
  </si>
  <si>
    <t>Average of Efficiency %</t>
  </si>
  <si>
    <t>Grand Total</t>
  </si>
  <si>
    <t>Product</t>
  </si>
  <si>
    <t>-100#</t>
  </si>
  <si>
    <t>14/30#</t>
  </si>
  <si>
    <t>16/30#</t>
  </si>
  <si>
    <t>Max of Closing Stock</t>
  </si>
  <si>
    <t>1mm</t>
  </si>
  <si>
    <t>24/60#</t>
  </si>
  <si>
    <t>2mm</t>
  </si>
  <si>
    <t>30/80#</t>
  </si>
  <si>
    <t>3mm</t>
  </si>
  <si>
    <t>50/150#</t>
  </si>
  <si>
    <t>5mm</t>
  </si>
  <si>
    <t>Dust/150#</t>
  </si>
  <si>
    <t>hb</t>
  </si>
  <si>
    <t>PRECIOUS MINERALS — FLAT DATA TABLE  |  Jan 2026 to Jun 2026  |  11 Products  |  1,991 Rows</t>
  </si>
  <si>
    <t>Date</t>
  </si>
  <si>
    <t>Day</t>
  </si>
  <si>
    <t>Weekday/Weekend</t>
  </si>
  <si>
    <t>Production</t>
  </si>
  <si>
    <t>Sales</t>
  </si>
  <si>
    <t>Efficiency %</t>
  </si>
  <si>
    <t>Thu</t>
  </si>
  <si>
    <t>Weekday</t>
  </si>
  <si>
    <t>Fri</t>
  </si>
  <si>
    <t>Sat</t>
  </si>
  <si>
    <t>Weekend</t>
  </si>
  <si>
    <t>Sun</t>
  </si>
  <si>
    <t>Mon</t>
  </si>
  <si>
    <t>Tue</t>
  </si>
  <si>
    <t>Wed</t>
  </si>
  <si>
    <t>PRECIOUS MINERALS</t>
  </si>
  <si>
    <t>DAILY PRODUCTION AND DISPATCH REGISTER  —  JANUARY 2026</t>
  </si>
  <si>
    <t>Opening stock
(in bags)</t>
  </si>
  <si>
    <t>Production
(in bags)</t>
  </si>
  <si>
    <t>Sales
(in bags)</t>
  </si>
  <si>
    <t>Closing stock
(auto)</t>
  </si>
  <si>
    <t>Total  —  01 Jan 2026</t>
  </si>
  <si>
    <t>Total  —  02 Jan 2026</t>
  </si>
  <si>
    <t>Total  —  03 Jan 2026</t>
  </si>
  <si>
    <t>Total  —  04 Jan 2026</t>
  </si>
  <si>
    <t>Total  —  05 Jan 2026</t>
  </si>
  <si>
    <t>Total  —  06 Jan 2026</t>
  </si>
  <si>
    <t>Total  —  07 Jan 2026</t>
  </si>
  <si>
    <t>Total  —  08 Jan 2026</t>
  </si>
  <si>
    <t>Total  —  09 Jan 2026</t>
  </si>
  <si>
    <t>Total  —  10 Jan 2026</t>
  </si>
  <si>
    <t>Total  —  11 Jan 2026</t>
  </si>
  <si>
    <t>Total  —  12 Jan 2026</t>
  </si>
  <si>
    <t>Total  —  13 Jan 2026</t>
  </si>
  <si>
    <t>Total  —  14 Jan 2026</t>
  </si>
  <si>
    <t>Total  —  15 Jan 2026</t>
  </si>
  <si>
    <t>Total  —  16 Jan 2026</t>
  </si>
  <si>
    <t>Total  —  17 Jan 2026</t>
  </si>
  <si>
    <t>Total  —  18 Jan 2026</t>
  </si>
  <si>
    <t>Total  —  19 Jan 2026</t>
  </si>
  <si>
    <t>Total  —  20 Jan 2026</t>
  </si>
  <si>
    <t>Total  —  21 Jan 2026</t>
  </si>
  <si>
    <t>Total  —  22 Jan 2026</t>
  </si>
  <si>
    <t>Total  —  23 Jan 2026</t>
  </si>
  <si>
    <t>Total  —  24 Jan 2026</t>
  </si>
  <si>
    <t>Total  —  25 Jan 2026</t>
  </si>
  <si>
    <t>Total  —  26 Jan 2026</t>
  </si>
  <si>
    <t>Total  —  27 Jan 2026</t>
  </si>
  <si>
    <t>Total  —  28 Jan 2026</t>
  </si>
  <si>
    <t>Total  —  29 Jan 2026</t>
  </si>
  <si>
    <t>Total  —  30 Jan 2026</t>
  </si>
  <si>
    <t>Total  —  31 Jan 2026</t>
  </si>
  <si>
    <t>MONTHLY TOTAL  —  JANUARY 2026</t>
  </si>
  <si>
    <t>DAILY PRODUCTION AND DISPATCH REGISTER  —  FEBRUARY 2026</t>
  </si>
  <si>
    <t>Total  —  01 Feb 2026</t>
  </si>
  <si>
    <t>Total  —  02 Feb 2026</t>
  </si>
  <si>
    <t>Total  —  03 Feb 2026</t>
  </si>
  <si>
    <t>Total  —  04 Feb 2026</t>
  </si>
  <si>
    <t>Total  —  05 Feb 2026</t>
  </si>
  <si>
    <t>Total  —  06 Feb 2026</t>
  </si>
  <si>
    <t>Total  —  07 Feb 2026</t>
  </si>
  <si>
    <t>Total  —  08 Feb 2026</t>
  </si>
  <si>
    <t>Total  —  09 Feb 2026</t>
  </si>
  <si>
    <t>Total  —  10 Feb 2026</t>
  </si>
  <si>
    <t>Total  —  11 Feb 2026</t>
  </si>
  <si>
    <t>Total  —  12 Feb 2026</t>
  </si>
  <si>
    <t>Total  —  13 Feb 2026</t>
  </si>
  <si>
    <t>Total  —  14 Feb 2026</t>
  </si>
  <si>
    <t>Total  —  15 Feb 2026</t>
  </si>
  <si>
    <t>Total  —  16 Feb 2026</t>
  </si>
  <si>
    <t>Total  —  17 Feb 2026</t>
  </si>
  <si>
    <t>Total  —  18 Feb 2026</t>
  </si>
  <si>
    <t>Total  —  19 Feb 2026</t>
  </si>
  <si>
    <t>Total  —  20 Feb 2026</t>
  </si>
  <si>
    <t>Total  —  21 Feb 2026</t>
  </si>
  <si>
    <t>Total  —  22 Feb 2026</t>
  </si>
  <si>
    <t>Total  —  23 Feb 2026</t>
  </si>
  <si>
    <t>Total  —  24 Feb 2026</t>
  </si>
  <si>
    <t>Total  —  25 Feb 2026</t>
  </si>
  <si>
    <t>Total  —  26 Feb 2026</t>
  </si>
  <si>
    <t>Total  —  27 Feb 2026</t>
  </si>
  <si>
    <t>Total  —  28 Feb 2026</t>
  </si>
  <si>
    <t>MONTHLY TOTAL  —  FEBRUARY 2026</t>
  </si>
  <si>
    <t>DAILY PRODUCTION AND DISPATCH REGISTER  —  MARCH 2026</t>
  </si>
  <si>
    <t>Total  —  01 Mar 2026</t>
  </si>
  <si>
    <t>Total  —  02 Mar 2026</t>
  </si>
  <si>
    <t>Total  —  03 Mar 2026</t>
  </si>
  <si>
    <t>Total  —  04 Mar 2026</t>
  </si>
  <si>
    <t>Total  —  05 Mar 2026</t>
  </si>
  <si>
    <t>Total  —  06 Mar 2026</t>
  </si>
  <si>
    <t>Total  —  07 Mar 2026</t>
  </si>
  <si>
    <t>Total  —  08 Mar 2026</t>
  </si>
  <si>
    <t>Total  —  09 Mar 2026</t>
  </si>
  <si>
    <t>Total  —  10 Mar 2026</t>
  </si>
  <si>
    <t>Total  —  11 Mar 2026</t>
  </si>
  <si>
    <t>Total  —  12 Mar 2026</t>
  </si>
  <si>
    <t>Total  —  13 Mar 2026</t>
  </si>
  <si>
    <t>Total  —  14 Mar 2026</t>
  </si>
  <si>
    <t>Total  —  15 Mar 2026</t>
  </si>
  <si>
    <t>Total  —  16 Mar 2026</t>
  </si>
  <si>
    <t>Total  —  17 Mar 2026</t>
  </si>
  <si>
    <t>Total  —  18 Mar 2026</t>
  </si>
  <si>
    <t>Total  —  19 Mar 2026</t>
  </si>
  <si>
    <t>Total  —  20 Mar 2026</t>
  </si>
  <si>
    <t>Total  —  21 Mar 2026</t>
  </si>
  <si>
    <t>Total  —  22 Mar 2026</t>
  </si>
  <si>
    <t>Total  —  23 Mar 2026</t>
  </si>
  <si>
    <t>Total  —  24 Mar 2026</t>
  </si>
  <si>
    <t>Total  —  25 Mar 2026</t>
  </si>
  <si>
    <t>Total  —  26 Mar 2026</t>
  </si>
  <si>
    <t>Total  —  27 Mar 2026</t>
  </si>
  <si>
    <t>Total  —  28 Mar 2026</t>
  </si>
  <si>
    <t>Total  —  29 Mar 2026</t>
  </si>
  <si>
    <t>Total  —  30 Mar 2026</t>
  </si>
  <si>
    <t>Total  —  31 Mar 2026</t>
  </si>
  <si>
    <t>MONTHLY TOTAL  —  MARCH 2026</t>
  </si>
  <si>
    <t>DAILY PRODUCTION AND DISPATCH REGISTER  —  APRIL 2026</t>
  </si>
  <si>
    <t>Total  —  01 Apr 2026</t>
  </si>
  <si>
    <t>Total  —  02 Apr 2026</t>
  </si>
  <si>
    <t>Total  —  03 Apr 2026</t>
  </si>
  <si>
    <t>Total  —  04 Apr 2026</t>
  </si>
  <si>
    <t>Total  —  05 Apr 2026</t>
  </si>
  <si>
    <t>Total  —  06 Apr 2026</t>
  </si>
  <si>
    <t>Total  —  07 Apr 2026</t>
  </si>
  <si>
    <t>Total  —  08 Apr 2026</t>
  </si>
  <si>
    <t>Total  —  09 Apr 2026</t>
  </si>
  <si>
    <t>Total  —  10 Apr 2026</t>
  </si>
  <si>
    <t>Total  —  11 Apr 2026</t>
  </si>
  <si>
    <t>Total  —  12 Apr 2026</t>
  </si>
  <si>
    <t>Total  —  13 Apr 2026</t>
  </si>
  <si>
    <t>Total  —  14 Apr 2026</t>
  </si>
  <si>
    <t>Total  —  15 Apr 2026</t>
  </si>
  <si>
    <t>Total  —  16 Apr 2026</t>
  </si>
  <si>
    <t>Total  —  17 Apr 2026</t>
  </si>
  <si>
    <t>Total  —  18 Apr 2026</t>
  </si>
  <si>
    <t>Total  —  19 Apr 2026</t>
  </si>
  <si>
    <t>Total  —  20 Apr 2026</t>
  </si>
  <si>
    <t>Total  —  21 Apr 2026</t>
  </si>
  <si>
    <t>Total  —  22 Apr 2026</t>
  </si>
  <si>
    <t>Total  —  23 Apr 2026</t>
  </si>
  <si>
    <t>Total  —  24 Apr 2026</t>
  </si>
  <si>
    <t>Total  —  25 Apr 2026</t>
  </si>
  <si>
    <t>Total  —  26 Apr 2026</t>
  </si>
  <si>
    <t>Total  —  27 Apr 2026</t>
  </si>
  <si>
    <t>Total  —  28 Apr 2026</t>
  </si>
  <si>
    <t>Total  —  29 Apr 2026</t>
  </si>
  <si>
    <t>Total  —  30 Apr 2026</t>
  </si>
  <si>
    <t>MONTHLY TOTAL  —  APRIL 2026</t>
  </si>
  <si>
    <t>DAILY PRODUCTION AND DISPATCH REGISTER  —  MAY 2026</t>
  </si>
  <si>
    <t>Total  —  01 May 2026</t>
  </si>
  <si>
    <t>Total  —  02 May 2026</t>
  </si>
  <si>
    <t>Total  —  03 May 2026</t>
  </si>
  <si>
    <t>Total  —  04 May 2026</t>
  </si>
  <si>
    <t>Total  —  05 May 2026</t>
  </si>
  <si>
    <t>Total  —  06 May 2026</t>
  </si>
  <si>
    <t>Total  —  07 May 2026</t>
  </si>
  <si>
    <t>Total  —  08 May 2026</t>
  </si>
  <si>
    <t>Total  —  09 May 2026</t>
  </si>
  <si>
    <t>Total  —  10 May 2026</t>
  </si>
  <si>
    <t>Total  —  11 May 2026</t>
  </si>
  <si>
    <t>Total  —  12 May 2026</t>
  </si>
  <si>
    <t>Total  —  13 May 2026</t>
  </si>
  <si>
    <t>Total  —  14 May 2026</t>
  </si>
  <si>
    <t>Total  —  15 May 2026</t>
  </si>
  <si>
    <t>Total  —  16 May 2026</t>
  </si>
  <si>
    <t>Total  —  17 May 2026</t>
  </si>
  <si>
    <t>Total  —  18 May 2026</t>
  </si>
  <si>
    <t>Total  —  19 May 2026</t>
  </si>
  <si>
    <t>Total  —  20 May 2026</t>
  </si>
  <si>
    <t>Total  —  21 May 2026</t>
  </si>
  <si>
    <t>Total  —  22 May 2026</t>
  </si>
  <si>
    <t>Total  —  23 May 2026</t>
  </si>
  <si>
    <t>Total  —  24 May 2026</t>
  </si>
  <si>
    <t>Total  —  25 May 2026</t>
  </si>
  <si>
    <t>Total  —  26 May 2026</t>
  </si>
  <si>
    <t>Total  —  27 May 2026</t>
  </si>
  <si>
    <t>Total  —  28 May 2026</t>
  </si>
  <si>
    <t>Total  —  29 May 2026</t>
  </si>
  <si>
    <t>Total  —  30 May 2026</t>
  </si>
  <si>
    <t>Total  —  31 May 2026</t>
  </si>
  <si>
    <t>MONTHLY TOTAL  —  MAY 2026</t>
  </si>
  <si>
    <t>DAILY PRODUCTION AND DISPATCH REGISTER  —  JUNE 2026</t>
  </si>
  <si>
    <t>Total  —  01 Jun 2026</t>
  </si>
  <si>
    <t>Total  —  02 Jun 2026</t>
  </si>
  <si>
    <t>Total  —  03 Jun 2026</t>
  </si>
  <si>
    <t>Total  —  04 Jun 2026</t>
  </si>
  <si>
    <t>Total  —  05 Jun 2026</t>
  </si>
  <si>
    <t>Total  —  06 Jun 2026</t>
  </si>
  <si>
    <t>Total  —  07 Jun 2026</t>
  </si>
  <si>
    <t>Total  —  08 Jun 2026</t>
  </si>
  <si>
    <t>Total  —  09 Jun 2026</t>
  </si>
  <si>
    <t>Total  —  10 Jun 2026</t>
  </si>
  <si>
    <t>Total  —  11 Jun 2026</t>
  </si>
  <si>
    <t>Total  —  12 Jun 2026</t>
  </si>
  <si>
    <t>Total  —  13 Jun 2026</t>
  </si>
  <si>
    <t>Total  —  14 Jun 2026</t>
  </si>
  <si>
    <t>Total  —  15 Jun 2026</t>
  </si>
  <si>
    <t>Total  —  16 Jun 2026</t>
  </si>
  <si>
    <t>Total  —  17 Jun 2026</t>
  </si>
  <si>
    <t>Total  —  18 Jun 2026</t>
  </si>
  <si>
    <t>Total  —  19 Jun 2026</t>
  </si>
  <si>
    <t>Total  —  20 Jun 2026</t>
  </si>
  <si>
    <t>Total  —  21 Jun 2026</t>
  </si>
  <si>
    <t>Total  —  22 Jun 2026</t>
  </si>
  <si>
    <t>Total  —  23 Jun 2026</t>
  </si>
  <si>
    <t>Total  —  24 Jun 2026</t>
  </si>
  <si>
    <t>Total  —  25 Jun 2026</t>
  </si>
  <si>
    <t>Total  —  26 Jun 2026</t>
  </si>
  <si>
    <t>Total  —  27 Jun 2026</t>
  </si>
  <si>
    <t>Total  —  28 Jun 2026</t>
  </si>
  <si>
    <t>Total  —  29 Jun 2026</t>
  </si>
  <si>
    <t>Total  —  30 Jun 2026</t>
  </si>
  <si>
    <t>MONTHLY TOTAL  — 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</si>
</sst>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\%"/>
    <numFmt numFmtId="166" formatCode="yyyy\-mm\-dd"/>
  </numFmts>
  <fonts count="27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12"/>
      <color rgb="FFFFFFFF"/>
      <name val="Arial"/>
      <charset val="1"/>
    </font>
    <font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375623"/>
      <name val="Arial"/>
      <charset val="1"/>
    </font>
    <font>
      <b/>
      <sz val="10"/>
      <color rgb="FF1F3864"/>
      <name val="Arial"/>
      <charset val="1"/>
    </font>
    <font>
      <sz val="10"/>
      <color rgb="FFE67E00"/>
      <name val="Arial"/>
      <charset val="1"/>
    </font>
    <font>
      <sz val="10"/>
      <color rgb="FF8B0000"/>
      <name val="Arial"/>
      <charset val="1"/>
    </font>
    <font>
      <b/>
      <sz val="10"/>
      <color rgb="FF000000"/>
      <name val="Arial"/>
      <charset val="1"/>
    </font>
    <font>
      <sz val="10"/>
      <color rgb="FFC00000"/>
      <name val="Arial"/>
      <charset val="1"/>
    </font>
    <font>
      <b/>
      <sz val="10"/>
      <color rgb="FFC00000"/>
      <name val="Arial"/>
      <charset val="1"/>
    </font>
    <font>
      <sz val="48"/>
      <color theme="9" tint="-0.249977111117893"/>
      <name val="Arial"/>
      <charset val="1"/>
    </font>
    <font>
      <b/>
      <sz val="14"/>
      <color rgb="FFFFFFFF"/>
      <name val="Arial"/>
      <charset val="1"/>
    </font>
    <font>
      <b/>
      <sz val="11"/>
      <color theme="0"/>
      <name val="Arial"/>
      <charset val="1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  <font>
      <b/>
      <sz val="12"/>
      <color rgb="FF1E5631"/>
      <name val="Arial"/>
      <charset val="1"/>
    </font>
    <font>
      <b/>
      <sz val="12"/>
      <color rgb="FFE67E00"/>
      <name val="Arial"/>
      <charset val="1"/>
    </font>
    <font>
      <b/>
      <sz val="12"/>
      <color rgb="FF8B0000"/>
      <name val="Arial"/>
      <charset val="1"/>
    </font>
    <font>
      <b/>
      <sz val="12"/>
      <color rgb="FF000000"/>
      <name val="Arial"/>
      <charset val="1"/>
    </font>
    <font>
      <b/>
      <sz val="13"/>
      <color rgb="FFC00000"/>
      <name val="Arial"/>
      <charset val="1"/>
    </font>
    <font>
      <b/>
      <sz val="12"/>
      <color theme="1"/>
      <name val="Cambria"/>
      <scheme val="major"/>
    </font>
    <font>
      <b/>
      <sz val="14"/>
      <color theme="1"/>
      <name val="Cambria"/>
      <scheme val="major"/>
    </font>
    <font>
      <b/>
      <sz val="26"/>
      <color theme="1"/>
      <name val="Cambria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rgb="FFE67E00"/>
      </patternFill>
    </fill>
    <fill>
      <patternFill patternType="solid">
        <fgColor theme="6" tint="-0.249977111117893"/>
        <bgColor rgb="FF70AD4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5EB"/>
      </patternFill>
    </fill>
    <fill>
      <patternFill patternType="solid">
        <fgColor theme="4" tint="-0.499984740745262"/>
        <bgColor rgb="FF1F3864"/>
      </patternFill>
    </fill>
    <fill>
      <patternFill patternType="solid">
        <fgColor rgb="FF1F3864"/>
        <bgColor rgb="FF254061"/>
      </patternFill>
    </fill>
    <fill>
      <patternFill patternType="solid">
        <fgColor rgb="FFEBF5EB"/>
        <bgColor rgb="FFF2F2F2"/>
      </patternFill>
    </fill>
    <fill>
      <patternFill patternType="solid">
        <fgColor rgb="FFD9E1F2"/>
        <bgColor rgb="FFD6E4B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9" tint="0.39988402966399123"/>
        <bgColor rgb="FFBFBFBF"/>
      </patternFill>
    </fill>
    <fill>
      <patternFill patternType="solid">
        <fgColor theme="3" tint="0.39988402966399123"/>
        <bgColor rgb="FF4472C4"/>
      </patternFill>
    </fill>
    <fill>
      <patternFill patternType="solid">
        <fgColor theme="4" tint="-0.249977111117893"/>
        <bgColor rgb="FF4472C4"/>
      </patternFill>
    </fill>
    <fill>
      <patternFill patternType="solid">
        <fgColor rgb="FFD6E4BC"/>
        <bgColor rgb="FFD9E1F2"/>
      </patternFill>
    </fill>
    <fill>
      <patternFill patternType="solid">
        <fgColor theme="3" tint="0.59987182226020086"/>
        <bgColor rgb="FF9999FF"/>
      </patternFill>
    </fill>
    <fill>
      <patternFill patternType="solid">
        <fgColor rgb="FF50918E"/>
        <bgColor indexed="64"/>
      </patternFill>
    </fill>
    <fill>
      <patternFill patternType="solid">
        <fgColor rgb="FF3B90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164" fontId="6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12" fillId="11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3" fontId="19" fillId="15" borderId="1" xfId="0" applyNumberFormat="1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 wrapText="1"/>
    </xf>
    <xf numFmtId="3" fontId="21" fillId="4" borderId="1" xfId="0" applyNumberFormat="1" applyFont="1" applyFill="1" applyBorder="1" applyAlignment="1">
      <alignment horizontal="center" vertical="center" wrapText="1"/>
    </xf>
    <xf numFmtId="3" fontId="22" fillId="4" borderId="1" xfId="0" applyNumberFormat="1" applyFont="1" applyFill="1" applyBorder="1" applyAlignment="1">
      <alignment horizontal="center" vertical="center" wrapText="1"/>
    </xf>
    <xf numFmtId="3" fontId="2" fillId="7" borderId="6" xfId="0" applyNumberFormat="1" applyFont="1" applyFill="1" applyBorder="1" applyAlignment="1">
      <alignment horizontal="center" vertical="center" wrapText="1"/>
    </xf>
    <xf numFmtId="3" fontId="19" fillId="4" borderId="1" xfId="0" applyNumberFormat="1" applyFont="1" applyFill="1" applyBorder="1" applyAlignment="1">
      <alignment horizontal="center" vertical="center" wrapText="1"/>
    </xf>
    <xf numFmtId="3" fontId="1" fillId="16" borderId="6" xfId="0" applyNumberFormat="1" applyFont="1" applyFill="1" applyBorder="1" applyAlignment="1">
      <alignment horizontal="center" vertical="center" wrapText="1"/>
    </xf>
    <xf numFmtId="0" fontId="0" fillId="0" borderId="0" xfId="0" pivotButton="1"/>
    <xf numFmtId="3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17" borderId="0" xfId="0" applyFill="1"/>
    <xf numFmtId="0" fontId="25" fillId="20" borderId="9" xfId="0" applyFont="1" applyFill="1" applyBorder="1" applyAlignment="1">
      <alignment horizontal="center"/>
    </xf>
    <xf numFmtId="165" fontId="25" fillId="20" borderId="9" xfId="0" applyNumberFormat="1" applyFont="1" applyFill="1" applyBorder="1" applyAlignment="1">
      <alignment horizontal="center"/>
    </xf>
    <xf numFmtId="0" fontId="26" fillId="18" borderId="0" xfId="0" applyFont="1" applyFill="1" applyAlignment="1">
      <alignment horizontal="center" vertical="center"/>
    </xf>
    <xf numFmtId="0" fontId="26" fillId="18" borderId="8" xfId="0" applyFont="1" applyFill="1" applyBorder="1" applyAlignment="1">
      <alignment horizontal="center" vertical="center"/>
    </xf>
    <xf numFmtId="0" fontId="24" fillId="19" borderId="9" xfId="0" applyFont="1" applyFill="1" applyBorder="1" applyAlignment="1">
      <alignment horizontal="center" vertical="center"/>
    </xf>
    <xf numFmtId="3" fontId="25" fillId="20" borderId="9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166" fontId="17" fillId="10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166" fontId="23" fillId="11" borderId="4" xfId="0" applyNumberFormat="1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7933C"/>
      <rgbColor rgb="FF800080"/>
      <rgbColor rgb="FF008080"/>
      <rgbColor rgb="FFBFBFBF"/>
      <rgbColor rgb="FF558ED5"/>
      <rgbColor rgb="FF9999FF"/>
      <rgbColor rgb="FF993366"/>
      <rgbColor rgb="FFFFF2CC"/>
      <rgbColor rgb="FFEBF5E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4BC"/>
      <rgbColor rgb="FFFCE4D6"/>
      <rgbColor rgb="FF8EB4E3"/>
      <rgbColor rgb="FFFF99CC"/>
      <rgbColor rgb="FFCC99FF"/>
      <rgbColor rgb="FFFAC090"/>
      <rgbColor rgb="FF4472C4"/>
      <rgbColor rgb="FF33CCCC"/>
      <rgbColor rgb="FF99CC00"/>
      <rgbColor rgb="FFFFD700"/>
      <rgbColor rgb="FFE67E00"/>
      <rgbColor rgb="FFE46C0A"/>
      <rgbColor rgb="FF376092"/>
      <rgbColor rgb="FF70AD47"/>
      <rgbColor rgb="FF1F3864"/>
      <rgbColor rgb="FF339966"/>
      <rgbColor rgb="FF1E5631"/>
      <rgbColor rgb="FF375623"/>
      <rgbColor rgb="FF833C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B90A3"/>
      <color rgb="FF9BE2F2"/>
      <color rgb="FF50918E"/>
      <color rgb="FF7EE6E0"/>
      <color rgb="FF61FAF2"/>
      <color rgb="FF68DED8"/>
      <color rgb="FF72C4C0"/>
      <color rgb="FF67CFC4"/>
      <color rgb="FFD1F9FF"/>
      <color rgb="FF6CBA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Total Sales Vs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PIVOT!$FB$10</c:f>
              <c:strCache>
                <c:ptCount val="1"/>
                <c:pt idx="0">
                  <c:v>Sum of Production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PIVOT!$FA$11:$FA$22</c:f>
              <c:strCache>
                <c:ptCount val="11"/>
                <c:pt idx="0">
                  <c:v>-100#</c:v>
                </c:pt>
                <c:pt idx="1">
                  <c:v>14/30#</c:v>
                </c:pt>
                <c:pt idx="2">
                  <c:v>16/30#</c:v>
                </c:pt>
                <c:pt idx="3">
                  <c:v>1mm</c:v>
                </c:pt>
                <c:pt idx="4">
                  <c:v>24/60#</c:v>
                </c:pt>
                <c:pt idx="5">
                  <c:v>2mm</c:v>
                </c:pt>
                <c:pt idx="6">
                  <c:v>30/80#</c:v>
                </c:pt>
                <c:pt idx="7">
                  <c:v>3mm</c:v>
                </c:pt>
                <c:pt idx="8">
                  <c:v>50/150#</c:v>
                </c:pt>
                <c:pt idx="9">
                  <c:v>5mm</c:v>
                </c:pt>
                <c:pt idx="10">
                  <c:v>Dust/150#</c:v>
                </c:pt>
              </c:strCache>
            </c:strRef>
          </c:cat>
          <c:val>
            <c:numRef>
              <c:f>PIVOT!$FB$11:$FB$22</c:f>
              <c:numCache>
                <c:formatCode>#,##0</c:formatCode>
                <c:ptCount val="11"/>
                <c:pt idx="0">
                  <c:v>12422</c:v>
                </c:pt>
                <c:pt idx="1">
                  <c:v>17548</c:v>
                </c:pt>
                <c:pt idx="2">
                  <c:v>15432</c:v>
                </c:pt>
                <c:pt idx="3">
                  <c:v>14308</c:v>
                </c:pt>
                <c:pt idx="4">
                  <c:v>18766</c:v>
                </c:pt>
                <c:pt idx="5">
                  <c:v>18545</c:v>
                </c:pt>
                <c:pt idx="6">
                  <c:v>13725</c:v>
                </c:pt>
                <c:pt idx="7">
                  <c:v>12285</c:v>
                </c:pt>
                <c:pt idx="8">
                  <c:v>20959</c:v>
                </c:pt>
                <c:pt idx="9">
                  <c:v>16542</c:v>
                </c:pt>
                <c:pt idx="10">
                  <c:v>20760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46-4793-AA5E-328F538E1976}"/>
            </c:ext>
          </c:extLst>
        </c:ser>
        <c:ser>
          <c:idx val="1"/>
          <c:order val="1"/>
          <c:tx>
            <c:strRef>
              <c:f>PIVOT!$FC$10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6933C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PIVOT!$FA$11:$FA$22</c:f>
              <c:strCache>
                <c:ptCount val="11"/>
                <c:pt idx="0">
                  <c:v>-100#</c:v>
                </c:pt>
                <c:pt idx="1">
                  <c:v>14/30#</c:v>
                </c:pt>
                <c:pt idx="2">
                  <c:v>16/30#</c:v>
                </c:pt>
                <c:pt idx="3">
                  <c:v>1mm</c:v>
                </c:pt>
                <c:pt idx="4">
                  <c:v>24/60#</c:v>
                </c:pt>
                <c:pt idx="5">
                  <c:v>2mm</c:v>
                </c:pt>
                <c:pt idx="6">
                  <c:v>30/80#</c:v>
                </c:pt>
                <c:pt idx="7">
                  <c:v>3mm</c:v>
                </c:pt>
                <c:pt idx="8">
                  <c:v>50/150#</c:v>
                </c:pt>
                <c:pt idx="9">
                  <c:v>5mm</c:v>
                </c:pt>
                <c:pt idx="10">
                  <c:v>Dust/150#</c:v>
                </c:pt>
              </c:strCache>
            </c:strRef>
          </c:cat>
          <c:val>
            <c:numRef>
              <c:f>PIVOT!$FC$11:$FC$22</c:f>
              <c:numCache>
                <c:formatCode>#,##0</c:formatCode>
                <c:ptCount val="11"/>
                <c:pt idx="0">
                  <c:v>9668</c:v>
                </c:pt>
                <c:pt idx="1">
                  <c:v>12934</c:v>
                </c:pt>
                <c:pt idx="2">
                  <c:v>12156</c:v>
                </c:pt>
                <c:pt idx="3">
                  <c:v>10665</c:v>
                </c:pt>
                <c:pt idx="4">
                  <c:v>12996</c:v>
                </c:pt>
                <c:pt idx="5">
                  <c:v>13668</c:v>
                </c:pt>
                <c:pt idx="6">
                  <c:v>11657</c:v>
                </c:pt>
                <c:pt idx="7">
                  <c:v>10712</c:v>
                </c:pt>
                <c:pt idx="8">
                  <c:v>14990</c:v>
                </c:pt>
                <c:pt idx="9">
                  <c:v>13498</c:v>
                </c:pt>
                <c:pt idx="10">
                  <c:v>14723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46-4793-AA5E-328F538E1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2103"/>
        <c:axId val="77254151"/>
      </c:lineChart>
      <c:catAx>
        <c:axId val="7725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54151"/>
        <c:crosses val="autoZero"/>
        <c:auto val="1"/>
        <c:lblAlgn val="ctr"/>
        <c:lblOffset val="100"/>
        <c:noMultiLvlLbl val="0"/>
      </c:catAx>
      <c:valAx>
        <c:axId val="77254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5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Efficiency Percentage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PIVOT!$FB$25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4-4A4D-8BCE-24732CA842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4-4A4D-8BCE-24732CA842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E4-4A4D-8BCE-24732CA842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E4-4A4D-8BCE-24732CA842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E4-4A4D-8BCE-24732CA8428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E4-4A4D-8BCE-24732CA8428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E4-4A4D-8BCE-24732CA8428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E4-4A4D-8BCE-24732CA8428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E4-4A4D-8BCE-24732CA8428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0E4-4A4D-8BCE-24732CA8428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0E4-4A4D-8BCE-24732CA842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PIVOT!$FA$26:$FA$37</c:f>
              <c:strCache>
                <c:ptCount val="11"/>
                <c:pt idx="0">
                  <c:v>3mm</c:v>
                </c:pt>
                <c:pt idx="1">
                  <c:v>30/80#</c:v>
                </c:pt>
                <c:pt idx="2">
                  <c:v>5mm</c:v>
                </c:pt>
                <c:pt idx="3">
                  <c:v>16/30#</c:v>
                </c:pt>
                <c:pt idx="4">
                  <c:v>-100#</c:v>
                </c:pt>
                <c:pt idx="5">
                  <c:v>1mm</c:v>
                </c:pt>
                <c:pt idx="6">
                  <c:v>14/30#</c:v>
                </c:pt>
                <c:pt idx="7">
                  <c:v>2mm</c:v>
                </c:pt>
                <c:pt idx="8">
                  <c:v>50/150#</c:v>
                </c:pt>
                <c:pt idx="9">
                  <c:v>Dust/150#</c:v>
                </c:pt>
                <c:pt idx="10">
                  <c:v>24/60#</c:v>
                </c:pt>
              </c:strCache>
            </c:strRef>
          </c:cat>
          <c:val>
            <c:numRef>
              <c:f>PIVOT!$FB$26:$FB$37</c:f>
              <c:numCache>
                <c:formatCode>0.0\%</c:formatCode>
                <c:ptCount val="11"/>
                <c:pt idx="0">
                  <c:v>86.660773480662982</c:v>
                </c:pt>
                <c:pt idx="1">
                  <c:v>84.771823204419846</c:v>
                </c:pt>
                <c:pt idx="2">
                  <c:v>81.559116022099431</c:v>
                </c:pt>
                <c:pt idx="3">
                  <c:v>78.917127071823188</c:v>
                </c:pt>
                <c:pt idx="4">
                  <c:v>77.440331491712755</c:v>
                </c:pt>
                <c:pt idx="5">
                  <c:v>74.641988950276243</c:v>
                </c:pt>
                <c:pt idx="6">
                  <c:v>73.669613259668509</c:v>
                </c:pt>
                <c:pt idx="7">
                  <c:v>73.610497237569078</c:v>
                </c:pt>
                <c:pt idx="8">
                  <c:v>71.423756906077315</c:v>
                </c:pt>
                <c:pt idx="9">
                  <c:v>70.90055248618782</c:v>
                </c:pt>
                <c:pt idx="10">
                  <c:v>69.327624309392277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D-4DF0-BD03-ABBBC6AC2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Product  Vise Total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PIVOT!$FK$28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12700" cap="flat" cmpd="sng" algn="ctr">
              <a:solidFill>
                <a:srgbClr val="FFC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PIVOT!$FJ$29:$FJ$40</c:f>
              <c:strCache>
                <c:ptCount val="11"/>
                <c:pt idx="0">
                  <c:v>50/150#</c:v>
                </c:pt>
                <c:pt idx="1">
                  <c:v>Dust/150#</c:v>
                </c:pt>
                <c:pt idx="2">
                  <c:v>24/60#</c:v>
                </c:pt>
                <c:pt idx="3">
                  <c:v>2mm</c:v>
                </c:pt>
                <c:pt idx="4">
                  <c:v>14/30#</c:v>
                </c:pt>
                <c:pt idx="5">
                  <c:v>5mm</c:v>
                </c:pt>
                <c:pt idx="6">
                  <c:v>16/30#</c:v>
                </c:pt>
                <c:pt idx="7">
                  <c:v>1mm</c:v>
                </c:pt>
                <c:pt idx="8">
                  <c:v>30/80#</c:v>
                </c:pt>
                <c:pt idx="9">
                  <c:v>-100#</c:v>
                </c:pt>
                <c:pt idx="10">
                  <c:v>3mm</c:v>
                </c:pt>
              </c:strCache>
            </c:strRef>
          </c:cat>
          <c:val>
            <c:numRef>
              <c:f>PIVOT!$FK$29:$FK$40</c:f>
              <c:numCache>
                <c:formatCode>#,##0</c:formatCode>
                <c:ptCount val="11"/>
                <c:pt idx="0">
                  <c:v>20959</c:v>
                </c:pt>
                <c:pt idx="1">
                  <c:v>20760</c:v>
                </c:pt>
                <c:pt idx="2">
                  <c:v>18766</c:v>
                </c:pt>
                <c:pt idx="3">
                  <c:v>18545</c:v>
                </c:pt>
                <c:pt idx="4">
                  <c:v>17548</c:v>
                </c:pt>
                <c:pt idx="5">
                  <c:v>16542</c:v>
                </c:pt>
                <c:pt idx="6">
                  <c:v>15432</c:v>
                </c:pt>
                <c:pt idx="7">
                  <c:v>14308</c:v>
                </c:pt>
                <c:pt idx="8">
                  <c:v>13725</c:v>
                </c:pt>
                <c:pt idx="9">
                  <c:v>12422</c:v>
                </c:pt>
                <c:pt idx="10">
                  <c:v>12285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4-4AC8-ADE9-A6A22030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axId val="77264903"/>
        <c:axId val="84500999"/>
      </c:barChart>
      <c:catAx>
        <c:axId val="77264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84500999"/>
        <c:crosses val="autoZero"/>
        <c:auto val="1"/>
        <c:lblAlgn val="ctr"/>
        <c:lblOffset val="100"/>
        <c:noMultiLvlLbl val="0"/>
      </c:catAx>
      <c:valAx>
        <c:axId val="84500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Production(in bags)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6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Total Sales Vs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>
              <a:solidFill>
                <a:srgbClr val="76933C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PIVOT!$FB$10</c:f>
              <c:strCache>
                <c:ptCount val="1"/>
                <c:pt idx="0">
                  <c:v>Sum of Production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PIVOT!$FA$11:$FA$22</c:f>
              <c:strCache>
                <c:ptCount val="11"/>
                <c:pt idx="0">
                  <c:v>-100#</c:v>
                </c:pt>
                <c:pt idx="1">
                  <c:v>14/30#</c:v>
                </c:pt>
                <c:pt idx="2">
                  <c:v>16/30#</c:v>
                </c:pt>
                <c:pt idx="3">
                  <c:v>1mm</c:v>
                </c:pt>
                <c:pt idx="4">
                  <c:v>24/60#</c:v>
                </c:pt>
                <c:pt idx="5">
                  <c:v>2mm</c:v>
                </c:pt>
                <c:pt idx="6">
                  <c:v>30/80#</c:v>
                </c:pt>
                <c:pt idx="7">
                  <c:v>3mm</c:v>
                </c:pt>
                <c:pt idx="8">
                  <c:v>50/150#</c:v>
                </c:pt>
                <c:pt idx="9">
                  <c:v>5mm</c:v>
                </c:pt>
                <c:pt idx="10">
                  <c:v>Dust/150#</c:v>
                </c:pt>
              </c:strCache>
            </c:strRef>
          </c:cat>
          <c:val>
            <c:numRef>
              <c:f>PIVOT!$FB$11:$FB$22</c:f>
              <c:numCache>
                <c:formatCode>#,##0</c:formatCode>
                <c:ptCount val="11"/>
                <c:pt idx="0">
                  <c:v>12422</c:v>
                </c:pt>
                <c:pt idx="1">
                  <c:v>17548</c:v>
                </c:pt>
                <c:pt idx="2">
                  <c:v>15432</c:v>
                </c:pt>
                <c:pt idx="3">
                  <c:v>14308</c:v>
                </c:pt>
                <c:pt idx="4">
                  <c:v>18766</c:v>
                </c:pt>
                <c:pt idx="5">
                  <c:v>18545</c:v>
                </c:pt>
                <c:pt idx="6">
                  <c:v>13725</c:v>
                </c:pt>
                <c:pt idx="7">
                  <c:v>12285</c:v>
                </c:pt>
                <c:pt idx="8">
                  <c:v>20959</c:v>
                </c:pt>
                <c:pt idx="9">
                  <c:v>16542</c:v>
                </c:pt>
                <c:pt idx="10">
                  <c:v>20760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F-4618-B430-930311559AE0}"/>
            </c:ext>
          </c:extLst>
        </c:ser>
        <c:ser>
          <c:idx val="1"/>
          <c:order val="1"/>
          <c:tx>
            <c:strRef>
              <c:f>PIVOT!$FC$10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6933C"/>
              </a:solidFill>
              <a:ln w="9525">
                <a:solidFill>
                  <a:srgbClr val="76933C"/>
                </a:solidFill>
                <a:prstDash val="solid"/>
              </a:ln>
              <a:effectLst/>
            </c:spPr>
          </c:marker>
          <c:cat>
            <c:strRef>
              <c:f>PIVOT!$FA$11:$FA$22</c:f>
              <c:strCache>
                <c:ptCount val="11"/>
                <c:pt idx="0">
                  <c:v>-100#</c:v>
                </c:pt>
                <c:pt idx="1">
                  <c:v>14/30#</c:v>
                </c:pt>
                <c:pt idx="2">
                  <c:v>16/30#</c:v>
                </c:pt>
                <c:pt idx="3">
                  <c:v>1mm</c:v>
                </c:pt>
                <c:pt idx="4">
                  <c:v>24/60#</c:v>
                </c:pt>
                <c:pt idx="5">
                  <c:v>2mm</c:v>
                </c:pt>
                <c:pt idx="6">
                  <c:v>30/80#</c:v>
                </c:pt>
                <c:pt idx="7">
                  <c:v>3mm</c:v>
                </c:pt>
                <c:pt idx="8">
                  <c:v>50/150#</c:v>
                </c:pt>
                <c:pt idx="9">
                  <c:v>5mm</c:v>
                </c:pt>
                <c:pt idx="10">
                  <c:v>Dust/150#</c:v>
                </c:pt>
              </c:strCache>
            </c:strRef>
          </c:cat>
          <c:val>
            <c:numRef>
              <c:f>PIVOT!$FC$11:$FC$22</c:f>
              <c:numCache>
                <c:formatCode>#,##0</c:formatCode>
                <c:ptCount val="11"/>
                <c:pt idx="0">
                  <c:v>9668</c:v>
                </c:pt>
                <c:pt idx="1">
                  <c:v>12934</c:v>
                </c:pt>
                <c:pt idx="2">
                  <c:v>12156</c:v>
                </c:pt>
                <c:pt idx="3">
                  <c:v>10665</c:v>
                </c:pt>
                <c:pt idx="4">
                  <c:v>12996</c:v>
                </c:pt>
                <c:pt idx="5">
                  <c:v>13668</c:v>
                </c:pt>
                <c:pt idx="6">
                  <c:v>11657</c:v>
                </c:pt>
                <c:pt idx="7">
                  <c:v>10712</c:v>
                </c:pt>
                <c:pt idx="8">
                  <c:v>14990</c:v>
                </c:pt>
                <c:pt idx="9">
                  <c:v>13498</c:v>
                </c:pt>
                <c:pt idx="10">
                  <c:v>14723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F-4618-B430-930311559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2103"/>
        <c:axId val="77254151"/>
      </c:lineChart>
      <c:catAx>
        <c:axId val="7725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54151"/>
        <c:crosses val="autoZero"/>
        <c:auto val="1"/>
        <c:lblAlgn val="ctr"/>
        <c:lblOffset val="100"/>
        <c:noMultiLvlLbl val="0"/>
      </c:catAx>
      <c:valAx>
        <c:axId val="77254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5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Efficiency Percentage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PIVOT!$FB$25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A4-4D26-B3DF-C446541F9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A4-4D26-B3DF-C446541F9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A4-4D26-B3DF-C446541F9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A4-4D26-B3DF-C446541F9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A4-4D26-B3DF-C446541F93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A4-4D26-B3DF-C446541F93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FA4-4D26-B3DF-C446541F93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FA4-4D26-B3DF-C446541F93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FA4-4D26-B3DF-C446541F93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FA4-4D26-B3DF-C446541F93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FA4-4D26-B3DF-C446541F9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mbria"/>
                    <a:ea typeface="Cambria"/>
                    <a:cs typeface="Cambr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PIVOT!$FA$26:$FA$37</c:f>
              <c:strCache>
                <c:ptCount val="11"/>
                <c:pt idx="0">
                  <c:v>3mm</c:v>
                </c:pt>
                <c:pt idx="1">
                  <c:v>30/80#</c:v>
                </c:pt>
                <c:pt idx="2">
                  <c:v>5mm</c:v>
                </c:pt>
                <c:pt idx="3">
                  <c:v>16/30#</c:v>
                </c:pt>
                <c:pt idx="4">
                  <c:v>-100#</c:v>
                </c:pt>
                <c:pt idx="5">
                  <c:v>1mm</c:v>
                </c:pt>
                <c:pt idx="6">
                  <c:v>14/30#</c:v>
                </c:pt>
                <c:pt idx="7">
                  <c:v>2mm</c:v>
                </c:pt>
                <c:pt idx="8">
                  <c:v>50/150#</c:v>
                </c:pt>
                <c:pt idx="9">
                  <c:v>Dust/150#</c:v>
                </c:pt>
                <c:pt idx="10">
                  <c:v>24/60#</c:v>
                </c:pt>
              </c:strCache>
            </c:strRef>
          </c:cat>
          <c:val>
            <c:numRef>
              <c:f>PIVOT!$FB$26:$FB$37</c:f>
              <c:numCache>
                <c:formatCode>0.0\%</c:formatCode>
                <c:ptCount val="11"/>
                <c:pt idx="0">
                  <c:v>86.660773480662982</c:v>
                </c:pt>
                <c:pt idx="1">
                  <c:v>84.771823204419846</c:v>
                </c:pt>
                <c:pt idx="2">
                  <c:v>81.559116022099431</c:v>
                </c:pt>
                <c:pt idx="3">
                  <c:v>78.917127071823188</c:v>
                </c:pt>
                <c:pt idx="4">
                  <c:v>77.440331491712755</c:v>
                </c:pt>
                <c:pt idx="5">
                  <c:v>74.641988950276243</c:v>
                </c:pt>
                <c:pt idx="6">
                  <c:v>73.669613259668509</c:v>
                </c:pt>
                <c:pt idx="7">
                  <c:v>73.610497237569078</c:v>
                </c:pt>
                <c:pt idx="8">
                  <c:v>71.423756906077315</c:v>
                </c:pt>
                <c:pt idx="9">
                  <c:v>70.90055248618782</c:v>
                </c:pt>
                <c:pt idx="10">
                  <c:v>69.327624309392277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FA4-4D26-B3DF-C446541F9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D0D0D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Product Vise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D0D0D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solidFill>
              <a:srgbClr val="1F497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PIVOT!$FE$27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1F497D"/>
              </a:solidFill>
              <a:prstDash val="solid"/>
            </a:ln>
            <a:effectLst/>
          </c:spPr>
          <c:invertIfNegative val="0"/>
          <c:cat>
            <c:strRef>
              <c:f>PIVOT!$FD$28:$FD$39</c:f>
              <c:strCache>
                <c:ptCount val="11"/>
                <c:pt idx="0">
                  <c:v>50/150#</c:v>
                </c:pt>
                <c:pt idx="1">
                  <c:v>Dust/150#</c:v>
                </c:pt>
                <c:pt idx="2">
                  <c:v>2mm</c:v>
                </c:pt>
                <c:pt idx="3">
                  <c:v>5mm</c:v>
                </c:pt>
                <c:pt idx="4">
                  <c:v>24/60#</c:v>
                </c:pt>
                <c:pt idx="5">
                  <c:v>14/30#</c:v>
                </c:pt>
                <c:pt idx="6">
                  <c:v>16/30#</c:v>
                </c:pt>
                <c:pt idx="7">
                  <c:v>30/80#</c:v>
                </c:pt>
                <c:pt idx="8">
                  <c:v>3mm</c:v>
                </c:pt>
                <c:pt idx="9">
                  <c:v>1mm</c:v>
                </c:pt>
                <c:pt idx="10">
                  <c:v>-100#</c:v>
                </c:pt>
              </c:strCache>
            </c:strRef>
          </c:cat>
          <c:val>
            <c:numRef>
              <c:f>PIVOT!$FE$28:$FE$39</c:f>
              <c:numCache>
                <c:formatCode>#,##0</c:formatCode>
                <c:ptCount val="11"/>
                <c:pt idx="0">
                  <c:v>14990</c:v>
                </c:pt>
                <c:pt idx="1">
                  <c:v>14723</c:v>
                </c:pt>
                <c:pt idx="2">
                  <c:v>13668</c:v>
                </c:pt>
                <c:pt idx="3">
                  <c:v>13498</c:v>
                </c:pt>
                <c:pt idx="4">
                  <c:v>12996</c:v>
                </c:pt>
                <c:pt idx="5">
                  <c:v>12934</c:v>
                </c:pt>
                <c:pt idx="6">
                  <c:v>12156</c:v>
                </c:pt>
                <c:pt idx="7">
                  <c:v>11657</c:v>
                </c:pt>
                <c:pt idx="8">
                  <c:v>10712</c:v>
                </c:pt>
                <c:pt idx="9">
                  <c:v>10665</c:v>
                </c:pt>
                <c:pt idx="10">
                  <c:v>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8-4D48-A1E3-72982D2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axId val="80432135"/>
        <c:axId val="80442375"/>
      </c:barChart>
      <c:catAx>
        <c:axId val="80432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80442375"/>
        <c:crosses val="autoZero"/>
        <c:auto val="1"/>
        <c:lblAlgn val="ctr"/>
        <c:lblOffset val="100"/>
        <c:noMultiLvlLbl val="0"/>
      </c:catAx>
      <c:valAx>
        <c:axId val="80442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8043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Product  Vise Total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 w="12700" cap="flat" cmpd="sng" algn="ctr">
            <a:solidFill>
              <a:srgbClr val="FFC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PIVOT!$FK$28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12700" cap="flat" cmpd="sng" algn="ctr">
              <a:solidFill>
                <a:srgbClr val="FFC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PIVOT!$FJ$29:$FJ$40</c:f>
              <c:strCache>
                <c:ptCount val="11"/>
                <c:pt idx="0">
                  <c:v>50/150#</c:v>
                </c:pt>
                <c:pt idx="1">
                  <c:v>Dust/150#</c:v>
                </c:pt>
                <c:pt idx="2">
                  <c:v>24/60#</c:v>
                </c:pt>
                <c:pt idx="3">
                  <c:v>2mm</c:v>
                </c:pt>
                <c:pt idx="4">
                  <c:v>14/30#</c:v>
                </c:pt>
                <c:pt idx="5">
                  <c:v>5mm</c:v>
                </c:pt>
                <c:pt idx="6">
                  <c:v>16/30#</c:v>
                </c:pt>
                <c:pt idx="7">
                  <c:v>1mm</c:v>
                </c:pt>
                <c:pt idx="8">
                  <c:v>30/80#</c:v>
                </c:pt>
                <c:pt idx="9">
                  <c:v>-100#</c:v>
                </c:pt>
                <c:pt idx="10">
                  <c:v>3mm</c:v>
                </c:pt>
              </c:strCache>
            </c:strRef>
          </c:cat>
          <c:val>
            <c:numRef>
              <c:f>PIVOT!$FK$29:$FK$40</c:f>
              <c:numCache>
                <c:formatCode>#,##0</c:formatCode>
                <c:ptCount val="11"/>
                <c:pt idx="0">
                  <c:v>20959</c:v>
                </c:pt>
                <c:pt idx="1">
                  <c:v>20760</c:v>
                </c:pt>
                <c:pt idx="2">
                  <c:v>18766</c:v>
                </c:pt>
                <c:pt idx="3">
                  <c:v>18545</c:v>
                </c:pt>
                <c:pt idx="4">
                  <c:v>17548</c:v>
                </c:pt>
                <c:pt idx="5">
                  <c:v>16542</c:v>
                </c:pt>
                <c:pt idx="6">
                  <c:v>15432</c:v>
                </c:pt>
                <c:pt idx="7">
                  <c:v>14308</c:v>
                </c:pt>
                <c:pt idx="8">
                  <c:v>13725</c:v>
                </c:pt>
                <c:pt idx="9">
                  <c:v>12422</c:v>
                </c:pt>
                <c:pt idx="10">
                  <c:v>12285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F-408A-971B-37E082EFD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axId val="77264903"/>
        <c:axId val="84500999"/>
      </c:barChart>
      <c:catAx>
        <c:axId val="77264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84500999"/>
        <c:crosses val="autoZero"/>
        <c:auto val="1"/>
        <c:lblAlgn val="ctr"/>
        <c:lblOffset val="100"/>
        <c:noMultiLvlLbl val="0"/>
      </c:catAx>
      <c:valAx>
        <c:axId val="84500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Production(in bags)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Cambria"/>
                  <a:ea typeface="Cambria"/>
                  <a:cs typeface="Cambria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7726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Month Vise Max Closing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PIVOT!$FR$13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cat>
            <c:strRef>
              <c:f>PIVOT!$FQ$14:$FQ$20</c:f>
              <c:strCache>
                <c:ptCount val="6"/>
                <c:pt idx="0">
                  <c:v>April 2026</c:v>
                </c:pt>
                <c:pt idx="1">
                  <c:v>February 2026</c:v>
                </c:pt>
                <c:pt idx="2">
                  <c:v>January 2026</c:v>
                </c:pt>
                <c:pt idx="3">
                  <c:v>June 2026</c:v>
                </c:pt>
                <c:pt idx="4">
                  <c:v>March 2026</c:v>
                </c:pt>
                <c:pt idx="5">
                  <c:v>May 2026</c:v>
                </c:pt>
              </c:strCache>
            </c:strRef>
          </c:cat>
          <c:val>
            <c:numRef>
              <c:f>PIVOT!$FR$14:$FR$20</c:f>
              <c:numCache>
                <c:formatCode>#,##0</c:formatCode>
                <c:ptCount val="6"/>
                <c:pt idx="0">
                  <c:v>4514</c:v>
                </c:pt>
                <c:pt idx="1">
                  <c:v>2440</c:v>
                </c:pt>
                <c:pt idx="2">
                  <c:v>1529</c:v>
                </c:pt>
                <c:pt idx="3">
                  <c:v>6487</c:v>
                </c:pt>
                <c:pt idx="4">
                  <c:v>3400</c:v>
                </c:pt>
                <c:pt idx="5">
                  <c:v>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A-4DA8-8819-0981BDAD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1303"/>
        <c:axId val="159945223"/>
      </c:areaChart>
      <c:catAx>
        <c:axId val="239671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159945223"/>
        <c:crosses val="autoZero"/>
        <c:auto val="1"/>
        <c:lblAlgn val="ctr"/>
        <c:lblOffset val="100"/>
        <c:noMultiLvlLbl val="0"/>
      </c:catAx>
      <c:valAx>
        <c:axId val="1599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239671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Month Vise Max Closing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26B0A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PIVOT!$FR$13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cat>
            <c:strRef>
              <c:f>PIVOT!$FQ$14:$FQ$20</c:f>
              <c:strCache>
                <c:ptCount val="6"/>
                <c:pt idx="0">
                  <c:v>April 2026</c:v>
                </c:pt>
                <c:pt idx="1">
                  <c:v>February 2026</c:v>
                </c:pt>
                <c:pt idx="2">
                  <c:v>January 2026</c:v>
                </c:pt>
                <c:pt idx="3">
                  <c:v>June 2026</c:v>
                </c:pt>
                <c:pt idx="4">
                  <c:v>March 2026</c:v>
                </c:pt>
                <c:pt idx="5">
                  <c:v>May 2026</c:v>
                </c:pt>
              </c:strCache>
            </c:strRef>
          </c:cat>
          <c:val>
            <c:numRef>
              <c:f>PIVOT!$FR$14:$FR$20</c:f>
              <c:numCache>
                <c:formatCode>#,##0</c:formatCode>
                <c:ptCount val="6"/>
                <c:pt idx="0">
                  <c:v>4514</c:v>
                </c:pt>
                <c:pt idx="1">
                  <c:v>2440</c:v>
                </c:pt>
                <c:pt idx="2">
                  <c:v>1529</c:v>
                </c:pt>
                <c:pt idx="3">
                  <c:v>6487</c:v>
                </c:pt>
                <c:pt idx="4">
                  <c:v>3400</c:v>
                </c:pt>
                <c:pt idx="5">
                  <c:v>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F-477C-A041-3960DF91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1303"/>
        <c:axId val="159945223"/>
      </c:areaChart>
      <c:catAx>
        <c:axId val="239671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159945223"/>
        <c:crosses val="autoZero"/>
        <c:auto val="1"/>
        <c:lblAlgn val="ctr"/>
        <c:lblOffset val="100"/>
        <c:noMultiLvlLbl val="0"/>
      </c:catAx>
      <c:valAx>
        <c:axId val="1599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239671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[Precious_register_Dashboard.xlsx]PIVOT!PivotTable13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Month Vise Max Closing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26B0A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6B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PIVOT!$FR$13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26B0A"/>
            </a:solidFill>
            <a:ln>
              <a:noFill/>
            </a:ln>
            <a:effectLst/>
          </c:spPr>
          <c:cat>
            <c:strRef>
              <c:f>PIVOT!$FQ$14:$FQ$20</c:f>
              <c:strCache>
                <c:ptCount val="6"/>
                <c:pt idx="0">
                  <c:v>April 2026</c:v>
                </c:pt>
                <c:pt idx="1">
                  <c:v>February 2026</c:v>
                </c:pt>
                <c:pt idx="2">
                  <c:v>January 2026</c:v>
                </c:pt>
                <c:pt idx="3">
                  <c:v>June 2026</c:v>
                </c:pt>
                <c:pt idx="4">
                  <c:v>March 2026</c:v>
                </c:pt>
                <c:pt idx="5">
                  <c:v>May 2026</c:v>
                </c:pt>
              </c:strCache>
            </c:strRef>
          </c:cat>
          <c:val>
            <c:numRef>
              <c:f>PIVOT!$FR$14:$FR$20</c:f>
              <c:numCache>
                <c:formatCode>#,##0</c:formatCode>
                <c:ptCount val="6"/>
                <c:pt idx="0">
                  <c:v>4514</c:v>
                </c:pt>
                <c:pt idx="1">
                  <c:v>2440</c:v>
                </c:pt>
                <c:pt idx="2">
                  <c:v>1529</c:v>
                </c:pt>
                <c:pt idx="3">
                  <c:v>6487</c:v>
                </c:pt>
                <c:pt idx="4">
                  <c:v>3400</c:v>
                </c:pt>
                <c:pt idx="5">
                  <c:v>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C-4B7B-82C7-086ADC39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71303"/>
        <c:axId val="159945223"/>
      </c:areaChart>
      <c:catAx>
        <c:axId val="239671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159945223"/>
        <c:crosses val="autoZero"/>
        <c:auto val="1"/>
        <c:lblAlgn val="ctr"/>
        <c:lblOffset val="100"/>
        <c:noMultiLvlLbl val="0"/>
      </c:catAx>
      <c:valAx>
        <c:axId val="1599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Cambria"/>
                <a:ea typeface="Cambria"/>
                <a:cs typeface="Cambria"/>
              </a:defRPr>
            </a:pPr>
            <a:endParaRPr lang="en-US"/>
          </a:p>
        </c:txPr>
        <c:crossAx val="239671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0000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123825</xdr:rowOff>
    </xdr:from>
    <xdr:to>
      <xdr:col>15</xdr:col>
      <xdr:colOff>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nth">
              <a:extLst>
                <a:ext uri="{FF2B5EF4-FFF2-40B4-BE49-F238E27FC236}">
                  <a16:creationId xmlns:a16="http://schemas.microsoft.com/office/drawing/2014/main" id="{9107BE38-91AC-CAB9-EBF8-88F2A1A0A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6675" y="1838325"/>
              <a:ext cx="36385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9</xdr:row>
      <xdr:rowOff>123825</xdr:rowOff>
    </xdr:from>
    <xdr:to>
      <xdr:col>9</xdr:col>
      <xdr:colOff>523875</xdr:colOff>
      <xdr:row>14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">
              <a:extLst>
                <a:ext uri="{FF2B5EF4-FFF2-40B4-BE49-F238E27FC236}">
                  <a16:creationId xmlns:a16="http://schemas.microsoft.com/office/drawing/2014/main" id="{970F909C-229A-E3A0-0018-FE7473B17628}"/>
                </a:ext>
                <a:ext uri="{147F2762-F138-4A5C-976F-8EAC2B608ADB}">
                  <a16:predDERef xmlns:a16="http://schemas.microsoft.com/office/drawing/2014/main" pred="{9107BE38-91AC-CAB9-EBF8-88F2A1A0A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38325"/>
              <a:ext cx="762952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147</xdr:col>
      <xdr:colOff>152400</xdr:colOff>
      <xdr:row>0</xdr:row>
      <xdr:rowOff>104775</xdr:rowOff>
    </xdr:from>
    <xdr:to>
      <xdr:col>154</xdr:col>
      <xdr:colOff>371475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9C58F9-1DBA-B5EC-4CF5-AB46E2C98F0B}"/>
            </a:ext>
            <a:ext uri="{147F2762-F138-4A5C-976F-8EAC2B608ADB}">
              <a16:predDERef xmlns:a16="http://schemas.microsoft.com/office/drawing/2014/main" pred="{970F909C-229A-E3A0-0018-FE7473B17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146</xdr:col>
      <xdr:colOff>409575</xdr:colOff>
      <xdr:row>15</xdr:row>
      <xdr:rowOff>38100</xdr:rowOff>
    </xdr:from>
    <xdr:to>
      <xdr:col>154</xdr:col>
      <xdr:colOff>333375</xdr:colOff>
      <xdr:row>29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86219-FEE4-5048-D59C-7ADCFFD30B8C}"/>
            </a:ext>
            <a:ext uri="{147F2762-F138-4A5C-976F-8EAC2B608ADB}">
              <a16:predDERef xmlns:a16="http://schemas.microsoft.com/office/drawing/2014/main" pred="{DD9C58F9-1DBA-B5EC-4CF5-AB46E2C98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159</xdr:col>
      <xdr:colOff>704850</xdr:colOff>
      <xdr:row>43</xdr:row>
      <xdr:rowOff>85725</xdr:rowOff>
    </xdr:from>
    <xdr:to>
      <xdr:col>167</xdr:col>
      <xdr:colOff>485775</xdr:colOff>
      <xdr:row>60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68EF20-FD02-EF17-0631-6053BB7EA785}"/>
            </a:ext>
            <a:ext uri="{147F2762-F138-4A5C-976F-8EAC2B608ADB}">
              <a16:predDERef xmlns:a16="http://schemas.microsoft.com/office/drawing/2014/main" pred="{060D4E49-C469-6C6A-2F0D-B493AAA4E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28575</xdr:rowOff>
    </xdr:from>
    <xdr:to>
      <xdr:col>4</xdr:col>
      <xdr:colOff>123825</xdr:colOff>
      <xdr:row>27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CC515D-EE00-47C2-8E3C-FC409194127E}"/>
            </a:ext>
            <a:ext uri="{147F2762-F138-4A5C-976F-8EAC2B608ADB}">
              <a16:predDERef xmlns:a16="http://schemas.microsoft.com/office/drawing/2014/main" pred="{D9F85625-2343-8B7A-C258-2DC91F3EC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152400</xdr:colOff>
      <xdr:row>15</xdr:row>
      <xdr:rowOff>28575</xdr:rowOff>
    </xdr:from>
    <xdr:to>
      <xdr:col>9</xdr:col>
      <xdr:colOff>390525</xdr:colOff>
      <xdr:row>27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43668F-2122-42BC-B281-56D0AFEDBE36}"/>
            </a:ext>
            <a:ext uri="{147F2762-F138-4A5C-976F-8EAC2B608ADB}">
              <a16:predDERef xmlns:a16="http://schemas.microsoft.com/office/drawing/2014/main" pred="{79CC515D-EE00-47C2-8E3C-FC4091941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27</xdr:row>
      <xdr:rowOff>142875</xdr:rowOff>
    </xdr:from>
    <xdr:to>
      <xdr:col>8</xdr:col>
      <xdr:colOff>0</xdr:colOff>
      <xdr:row>43</xdr:row>
      <xdr:rowOff>95250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7FBD767-8F55-4276-B294-66654AD54C2D}"/>
            </a:ext>
            <a:ext uri="{147F2762-F138-4A5C-976F-8EAC2B608ADB}">
              <a16:predDERef xmlns:a16="http://schemas.microsoft.com/office/drawing/2014/main" pred="{93E7761A-68E3-4C13-923D-9D8669402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27</xdr:row>
      <xdr:rowOff>142875</xdr:rowOff>
    </xdr:from>
    <xdr:to>
      <xdr:col>14</xdr:col>
      <xdr:colOff>571500</xdr:colOff>
      <xdr:row>43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6A556CD-1C6C-4B16-A5CE-71D99B1B4528}"/>
            </a:ext>
            <a:ext uri="{147F2762-F138-4A5C-976F-8EAC2B608ADB}">
              <a16:predDERef xmlns:a16="http://schemas.microsoft.com/office/drawing/2014/main" pred="{A7FBD767-8F55-4276-B294-66654AD54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28575</xdr:colOff>
      <xdr:row>0</xdr:row>
      <xdr:rowOff>123825</xdr:rowOff>
    </xdr:from>
    <xdr:to>
      <xdr:col>14</xdr:col>
      <xdr:colOff>28575</xdr:colOff>
      <xdr:row>4</xdr:row>
      <xdr:rowOff>76200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E1E4D8A-B4FB-4A95-8DB9-2715457E1897}"/>
            </a:ext>
            <a:ext uri="{147F2762-F138-4A5C-976F-8EAC2B608ADB}">
              <a16:predDERef xmlns:a16="http://schemas.microsoft.com/office/drawing/2014/main" pred="{CCF91EBB-8D0F-A8C4-AD45-BAA6B5756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10725" y="123825"/>
          <a:ext cx="1162050" cy="714375"/>
        </a:xfrm>
        <a:prstGeom prst="rect">
          <a:avLst/>
        </a:prstGeom>
      </xdr:spPr>
    </xdr:pic>
    <xdr:clientData/>
  </xdr:twoCellAnchor>
  <xdr:twoCellAnchor>
    <xdr:from>
      <xdr:col>160</xdr:col>
      <xdr:colOff>714375</xdr:colOff>
      <xdr:row>4</xdr:row>
      <xdr:rowOff>142875</xdr:rowOff>
    </xdr:from>
    <xdr:to>
      <xdr:col>167</xdr:col>
      <xdr:colOff>228600</xdr:colOff>
      <xdr:row>19</xdr:row>
      <xdr:rowOff>28575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7C9D5C8-7D2E-91FB-9509-07A49C469F77}"/>
            </a:ext>
            <a:ext uri="{147F2762-F138-4A5C-976F-8EAC2B608ADB}">
              <a16:predDERef xmlns:a16="http://schemas.microsoft.com/office/drawing/2014/main" pred="{2E1E4D8A-B4FB-4A95-8DB9-2715457E1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185</xdr:col>
      <xdr:colOff>0</xdr:colOff>
      <xdr:row>7</xdr:row>
      <xdr:rowOff>0</xdr:rowOff>
    </xdr:from>
    <xdr:to>
      <xdr:col>192</xdr:col>
      <xdr:colOff>504825</xdr:colOff>
      <xdr:row>21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403C04E-5D0C-4728-A64D-AE67B3D161FF}"/>
            </a:ext>
            <a:ext uri="{147F2762-F138-4A5C-976F-8EAC2B608ADB}">
              <a16:predDERef xmlns:a16="http://schemas.microsoft.com/office/drawing/2014/main" pred="{57C9D5C8-7D2E-91FB-9509-07A49C469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419100</xdr:colOff>
      <xdr:row>15</xdr:row>
      <xdr:rowOff>28575</xdr:rowOff>
    </xdr:from>
    <xdr:to>
      <xdr:col>15</xdr:col>
      <xdr:colOff>0</xdr:colOff>
      <xdr:row>27</xdr:row>
      <xdr:rowOff>104775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1CABDFA-C493-4FB7-BCB0-26C0622EAAA8}"/>
            </a:ext>
            <a:ext uri="{147F2762-F138-4A5C-976F-8EAC2B608ADB}">
              <a16:predDERef xmlns:a16="http://schemas.microsoft.com/office/drawing/2014/main" pred="{F403C04E-5D0C-4728-A64D-AE67B3D16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114300</xdr:colOff>
      <xdr:row>0</xdr:row>
      <xdr:rowOff>28575</xdr:rowOff>
    </xdr:from>
    <xdr:to>
      <xdr:col>1</xdr:col>
      <xdr:colOff>1228725</xdr:colOff>
      <xdr:row>4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B13A411-E877-4B55-BB76-612BC24211E8}"/>
            </a:ext>
            <a:ext uri="{147F2762-F138-4A5C-976F-8EAC2B608ADB}">
              <a16:predDERef xmlns:a16="http://schemas.microsoft.com/office/drawing/2014/main" pred="{A0D838B0-1C76-8CE2-AA2A-99668AD41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28575"/>
          <a:ext cx="1114425" cy="8953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478161921295" createdVersion="8" refreshedVersion="8" minRefreshableVersion="3" recordCount="1991" xr:uid="{33E72A58-3E38-4C06-88D9-59E311F64E43}">
  <cacheSource type="worksheet">
    <worksheetSource name="ProductionData"/>
  </cacheSource>
  <cacheFields count="10">
    <cacheField name="Month" numFmtId="0">
      <sharedItems count="6">
        <s v="January 2026"/>
        <s v="February 2026"/>
        <s v="March 2026"/>
        <s v="April 2026"/>
        <s v="May 2026"/>
        <s v="June 2026"/>
      </sharedItems>
    </cacheField>
    <cacheField name="Date" numFmtId="164">
      <sharedItems containsSemiMixedTypes="0" containsNonDate="0" containsDate="1" containsString="0" minDate="2026-01-01T00:00:00" maxDate="2026-07-01T00:00:00"/>
    </cacheField>
    <cacheField name="Day" numFmtId="0">
      <sharedItems/>
    </cacheField>
    <cacheField name="Weekday/Weekend" numFmtId="0">
      <sharedItems/>
    </cacheField>
    <cacheField name="Product" numFmtId="0">
      <sharedItems count="11">
        <s v="14/30#"/>
        <s v="16/30#"/>
        <s v="24/60#"/>
        <s v="30/80#"/>
        <s v="50/150#"/>
        <s v="-100#"/>
        <s v="5mm"/>
        <s v="1mm"/>
        <s v="2mm"/>
        <s v="3mm"/>
        <s v="Dust/150#"/>
      </sharedItems>
    </cacheField>
    <cacheField name="Opening Stock" numFmtId="3">
      <sharedItems containsSemiMixedTypes="0" containsString="0" containsNumber="1" containsInteger="1" minValue="270" maxValue="6435"/>
    </cacheField>
    <cacheField name="Production" numFmtId="3">
      <sharedItems containsSemiMixedTypes="0" containsString="0" containsNumber="1" containsInteger="1" minValue="20" maxValue="180"/>
    </cacheField>
    <cacheField name="Sales" numFmtId="3">
      <sharedItems containsSemiMixedTypes="0" containsString="0" containsNumber="1" containsInteger="1" minValue="14" maxValue="143"/>
    </cacheField>
    <cacheField name="Closing Stock" numFmtId="3">
      <sharedItems containsSemiMixedTypes="0" containsString="0" containsNumber="1" containsInteger="1" minValue="280" maxValue="6487"/>
    </cacheField>
    <cacheField name="Efficiency %" numFmtId="165">
      <sharedItems containsSemiMixedTypes="0" containsString="0" containsNumber="1" minValue="58.8" maxValue="97.9"/>
    </cacheField>
  </cacheFields>
  <extLst>
    <ext xmlns:x14="http://schemas.microsoft.com/office/spreadsheetml/2009/9/main" uri="{725AE2AE-9491-48be-B2B4-4EB974FC3084}">
      <x14:pivotCacheDefinition pivotCacheId="5431119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584961574074" createdVersion="8" refreshedVersion="8" minRefreshableVersion="3" recordCount="7" xr:uid="{E12941D9-D1F6-463B-B480-32CBAA81F0D4}">
  <cacheSource type="worksheet">
    <worksheetSource ref="A2:E9" sheet="FY Summary 2026-27"/>
  </cacheSource>
  <cacheFields count="5">
    <cacheField name="Month" numFmtId="0">
      <sharedItems count="7">
        <s v="January 2026"/>
        <s v="February 2026"/>
        <s v="March 2026"/>
        <s v="April 2026"/>
        <s v="May 2026"/>
        <s v="June 2026"/>
        <s v="TOTAL  —  Jan to Jun 2026"/>
      </sharedItems>
    </cacheField>
    <cacheField name="Opening Stock" numFmtId="3">
      <sharedItems containsSemiMixedTypes="0" containsString="0" containsNumber="1" containsInteger="1" minValue="4010" maxValue="40408"/>
    </cacheField>
    <cacheField name="Total Production" numFmtId="3">
      <sharedItems containsSemiMixedTypes="0" containsString="0" containsNumber="1" containsInteger="1" minValue="28180" maxValue="181292"/>
    </cacheField>
    <cacheField name="Total Sales" numFmtId="3">
      <sharedItems containsSemiMixedTypes="0" containsString="0" containsNumber="1" containsInteger="1" minValue="21337" maxValue="137667"/>
    </cacheField>
    <cacheField name="Closing Stock" numFmtId="3">
      <sharedItems containsSemiMixedTypes="0" containsString="0" containsNumber="1" containsInteger="1" minValue="11574" maxValue="47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1">
  <r>
    <x v="0"/>
    <d v="2026-01-01T00:00:00"/>
    <s v="Thu"/>
    <s v="Weekday"/>
    <x v="0"/>
    <n v="480"/>
    <n v="86"/>
    <n v="63"/>
    <n v="503"/>
    <n v="73.3"/>
  </r>
  <r>
    <x v="0"/>
    <d v="2026-01-01T00:00:00"/>
    <s v="Thu"/>
    <s v="Weekday"/>
    <x v="1"/>
    <n v="380"/>
    <n v="75"/>
    <n v="65"/>
    <n v="390"/>
    <n v="86.7"/>
  </r>
  <r>
    <x v="0"/>
    <d v="2026-01-01T00:00:00"/>
    <s v="Thu"/>
    <s v="Weekday"/>
    <x v="2"/>
    <n v="330"/>
    <n v="124"/>
    <n v="77"/>
    <n v="377"/>
    <n v="62.1"/>
  </r>
  <r>
    <x v="0"/>
    <d v="2026-01-01T00:00:00"/>
    <s v="Thu"/>
    <s v="Weekday"/>
    <x v="3"/>
    <n v="430"/>
    <n v="113"/>
    <n v="85"/>
    <n v="458"/>
    <n v="75.2"/>
  </r>
  <r>
    <x v="0"/>
    <d v="2026-01-01T00:00:00"/>
    <s v="Thu"/>
    <s v="Weekday"/>
    <x v="4"/>
    <n v="280"/>
    <n v="148"/>
    <n v="108"/>
    <n v="320"/>
    <n v="73"/>
  </r>
  <r>
    <x v="0"/>
    <d v="2026-01-01T00:00:00"/>
    <s v="Thu"/>
    <s v="Weekday"/>
    <x v="5"/>
    <n v="360"/>
    <n v="85"/>
    <n v="67"/>
    <n v="378"/>
    <n v="78.8"/>
  </r>
  <r>
    <x v="0"/>
    <d v="2026-01-01T00:00:00"/>
    <s v="Thu"/>
    <s v="Weekday"/>
    <x v="6"/>
    <n v="400"/>
    <n v="118"/>
    <n v="85"/>
    <n v="433"/>
    <n v="72"/>
  </r>
  <r>
    <x v="0"/>
    <d v="2026-01-01T00:00:00"/>
    <s v="Thu"/>
    <s v="Weekday"/>
    <x v="7"/>
    <n v="340"/>
    <n v="75"/>
    <n v="53"/>
    <n v="362"/>
    <n v="70.7"/>
  </r>
  <r>
    <x v="0"/>
    <d v="2026-01-01T00:00:00"/>
    <s v="Thu"/>
    <s v="Weekday"/>
    <x v="8"/>
    <n v="290"/>
    <n v="128"/>
    <n v="98"/>
    <n v="320"/>
    <n v="76.599999999999994"/>
  </r>
  <r>
    <x v="0"/>
    <d v="2026-01-01T00:00:00"/>
    <s v="Thu"/>
    <s v="Weekday"/>
    <x v="9"/>
    <n v="270"/>
    <n v="76"/>
    <n v="66"/>
    <n v="280"/>
    <n v="86.8"/>
  </r>
  <r>
    <x v="0"/>
    <d v="2026-01-01T00:00:00"/>
    <s v="Thu"/>
    <s v="Weekday"/>
    <x v="10"/>
    <n v="450"/>
    <n v="115"/>
    <n v="70"/>
    <n v="495"/>
    <n v="60.9"/>
  </r>
  <r>
    <x v="0"/>
    <d v="2026-01-02T00:00:00"/>
    <s v="Fri"/>
    <s v="Weekday"/>
    <x v="0"/>
    <n v="503"/>
    <n v="137"/>
    <n v="92"/>
    <n v="548"/>
    <n v="67.2"/>
  </r>
  <r>
    <x v="0"/>
    <d v="2026-01-02T00:00:00"/>
    <s v="Fri"/>
    <s v="Weekday"/>
    <x v="1"/>
    <n v="390"/>
    <n v="127"/>
    <n v="89"/>
    <n v="428"/>
    <n v="70.099999999999994"/>
  </r>
  <r>
    <x v="0"/>
    <d v="2026-01-02T00:00:00"/>
    <s v="Fri"/>
    <s v="Weekday"/>
    <x v="2"/>
    <n v="377"/>
    <n v="101"/>
    <n v="64"/>
    <n v="414"/>
    <n v="63.4"/>
  </r>
  <r>
    <x v="0"/>
    <d v="2026-01-02T00:00:00"/>
    <s v="Fri"/>
    <s v="Weekday"/>
    <x v="3"/>
    <n v="458"/>
    <n v="68"/>
    <n v="63"/>
    <n v="463"/>
    <n v="92.6"/>
  </r>
  <r>
    <x v="0"/>
    <d v="2026-01-02T00:00:00"/>
    <s v="Fri"/>
    <s v="Weekday"/>
    <x v="4"/>
    <n v="320"/>
    <n v="102"/>
    <n v="72"/>
    <n v="350"/>
    <n v="70.599999999999994"/>
  </r>
  <r>
    <x v="0"/>
    <d v="2026-01-02T00:00:00"/>
    <s v="Fri"/>
    <s v="Weekday"/>
    <x v="5"/>
    <n v="378"/>
    <n v="108"/>
    <n v="86"/>
    <n v="400"/>
    <n v="79.599999999999994"/>
  </r>
  <r>
    <x v="0"/>
    <d v="2026-01-02T00:00:00"/>
    <s v="Fri"/>
    <s v="Weekday"/>
    <x v="6"/>
    <n v="433"/>
    <n v="136"/>
    <n v="105"/>
    <n v="464"/>
    <n v="77.2"/>
  </r>
  <r>
    <x v="0"/>
    <d v="2026-01-02T00:00:00"/>
    <s v="Fri"/>
    <s v="Weekday"/>
    <x v="7"/>
    <n v="362"/>
    <n v="95"/>
    <n v="63"/>
    <n v="394"/>
    <n v="66.3"/>
  </r>
  <r>
    <x v="0"/>
    <d v="2026-01-02T00:00:00"/>
    <s v="Fri"/>
    <s v="Weekday"/>
    <x v="8"/>
    <n v="320"/>
    <n v="124"/>
    <n v="89"/>
    <n v="355"/>
    <n v="71.8"/>
  </r>
  <r>
    <x v="0"/>
    <d v="2026-01-02T00:00:00"/>
    <s v="Fri"/>
    <s v="Weekday"/>
    <x v="9"/>
    <n v="280"/>
    <n v="88"/>
    <n v="83"/>
    <n v="285"/>
    <n v="94.3"/>
  </r>
  <r>
    <x v="0"/>
    <d v="2026-01-02T00:00:00"/>
    <s v="Fri"/>
    <s v="Weekday"/>
    <x v="10"/>
    <n v="495"/>
    <n v="121"/>
    <n v="92"/>
    <n v="524"/>
    <n v="76"/>
  </r>
  <r>
    <x v="0"/>
    <d v="2026-01-03T00:00:00"/>
    <s v="Sat"/>
    <s v="Weekend"/>
    <x v="0"/>
    <n v="548"/>
    <n v="66"/>
    <n v="52"/>
    <n v="562"/>
    <n v="78.8"/>
  </r>
  <r>
    <x v="0"/>
    <d v="2026-01-03T00:00:00"/>
    <s v="Sat"/>
    <s v="Weekend"/>
    <x v="1"/>
    <n v="428"/>
    <n v="59"/>
    <n v="49"/>
    <n v="438"/>
    <n v="83.1"/>
  </r>
  <r>
    <x v="0"/>
    <d v="2026-01-03T00:00:00"/>
    <s v="Sat"/>
    <s v="Weekend"/>
    <x v="2"/>
    <n v="414"/>
    <n v="78"/>
    <n v="59"/>
    <n v="433"/>
    <n v="75.599999999999994"/>
  </r>
  <r>
    <x v="0"/>
    <d v="2026-01-03T00:00:00"/>
    <s v="Sat"/>
    <s v="Weekend"/>
    <x v="3"/>
    <n v="463"/>
    <n v="47"/>
    <n v="43"/>
    <n v="467"/>
    <n v="91.5"/>
  </r>
  <r>
    <x v="0"/>
    <d v="2026-01-03T00:00:00"/>
    <s v="Sat"/>
    <s v="Weekend"/>
    <x v="4"/>
    <n v="350"/>
    <n v="42"/>
    <n v="28"/>
    <n v="364"/>
    <n v="66.7"/>
  </r>
  <r>
    <x v="0"/>
    <d v="2026-01-03T00:00:00"/>
    <s v="Sat"/>
    <s v="Weekend"/>
    <x v="5"/>
    <n v="400"/>
    <n v="25"/>
    <n v="20"/>
    <n v="405"/>
    <n v="80"/>
  </r>
  <r>
    <x v="0"/>
    <d v="2026-01-03T00:00:00"/>
    <s v="Sat"/>
    <s v="Weekend"/>
    <x v="6"/>
    <n v="464"/>
    <n v="46"/>
    <n v="35"/>
    <n v="475"/>
    <n v="76.099999999999994"/>
  </r>
  <r>
    <x v="0"/>
    <d v="2026-01-03T00:00:00"/>
    <s v="Sat"/>
    <s v="Weekend"/>
    <x v="7"/>
    <n v="394"/>
    <n v="47"/>
    <n v="36"/>
    <n v="405"/>
    <n v="76.599999999999994"/>
  </r>
  <r>
    <x v="0"/>
    <d v="2026-01-03T00:00:00"/>
    <s v="Sat"/>
    <s v="Weekend"/>
    <x v="8"/>
    <n v="355"/>
    <n v="69"/>
    <n v="50"/>
    <n v="374"/>
    <n v="72.5"/>
  </r>
  <r>
    <x v="0"/>
    <d v="2026-01-03T00:00:00"/>
    <s v="Sat"/>
    <s v="Weekend"/>
    <x v="9"/>
    <n v="285"/>
    <n v="50"/>
    <n v="40"/>
    <n v="295"/>
    <n v="80"/>
  </r>
  <r>
    <x v="0"/>
    <d v="2026-01-03T00:00:00"/>
    <s v="Sat"/>
    <s v="Weekend"/>
    <x v="10"/>
    <n v="524"/>
    <n v="84"/>
    <n v="65"/>
    <n v="543"/>
    <n v="77.400000000000006"/>
  </r>
  <r>
    <x v="0"/>
    <d v="2026-01-04T00:00:00"/>
    <s v="Sun"/>
    <s v="Weekend"/>
    <x v="0"/>
    <n v="562"/>
    <n v="32"/>
    <n v="25"/>
    <n v="569"/>
    <n v="78.099999999999994"/>
  </r>
  <r>
    <x v="0"/>
    <d v="2026-01-04T00:00:00"/>
    <s v="Sun"/>
    <s v="Weekend"/>
    <x v="1"/>
    <n v="438"/>
    <n v="42"/>
    <n v="35"/>
    <n v="445"/>
    <n v="83.3"/>
  </r>
  <r>
    <x v="0"/>
    <d v="2026-01-04T00:00:00"/>
    <s v="Sun"/>
    <s v="Weekend"/>
    <x v="2"/>
    <n v="433"/>
    <n v="70"/>
    <n v="50"/>
    <n v="453"/>
    <n v="71.400000000000006"/>
  </r>
  <r>
    <x v="0"/>
    <d v="2026-01-04T00:00:00"/>
    <s v="Sun"/>
    <s v="Weekend"/>
    <x v="3"/>
    <n v="467"/>
    <n v="27"/>
    <n v="25"/>
    <n v="469"/>
    <n v="92.6"/>
  </r>
  <r>
    <x v="0"/>
    <d v="2026-01-04T00:00:00"/>
    <s v="Sun"/>
    <s v="Weekend"/>
    <x v="4"/>
    <n v="364"/>
    <n v="58"/>
    <n v="42"/>
    <n v="380"/>
    <n v="72.400000000000006"/>
  </r>
  <r>
    <x v="0"/>
    <d v="2026-01-04T00:00:00"/>
    <s v="Sun"/>
    <s v="Weekend"/>
    <x v="5"/>
    <n v="405"/>
    <n v="34"/>
    <n v="27"/>
    <n v="412"/>
    <n v="79.400000000000006"/>
  </r>
  <r>
    <x v="0"/>
    <d v="2026-01-04T00:00:00"/>
    <s v="Sun"/>
    <s v="Weekend"/>
    <x v="6"/>
    <n v="475"/>
    <n v="60"/>
    <n v="45"/>
    <n v="490"/>
    <n v="75"/>
  </r>
  <r>
    <x v="0"/>
    <d v="2026-01-04T00:00:00"/>
    <s v="Sun"/>
    <s v="Weekend"/>
    <x v="7"/>
    <n v="405"/>
    <n v="35"/>
    <n v="30"/>
    <n v="410"/>
    <n v="85.7"/>
  </r>
  <r>
    <x v="0"/>
    <d v="2026-01-04T00:00:00"/>
    <s v="Sun"/>
    <s v="Weekend"/>
    <x v="8"/>
    <n v="374"/>
    <n v="58"/>
    <n v="44"/>
    <n v="388"/>
    <n v="75.900000000000006"/>
  </r>
  <r>
    <x v="0"/>
    <d v="2026-01-04T00:00:00"/>
    <s v="Sun"/>
    <s v="Weekend"/>
    <x v="9"/>
    <n v="295"/>
    <n v="23"/>
    <n v="17"/>
    <n v="301"/>
    <n v="73.900000000000006"/>
  </r>
  <r>
    <x v="0"/>
    <d v="2026-01-04T00:00:00"/>
    <s v="Sun"/>
    <s v="Weekend"/>
    <x v="10"/>
    <n v="543"/>
    <n v="46"/>
    <n v="35"/>
    <n v="554"/>
    <n v="76.099999999999994"/>
  </r>
  <r>
    <x v="0"/>
    <d v="2026-01-05T00:00:00"/>
    <s v="Mon"/>
    <s v="Weekday"/>
    <x v="0"/>
    <n v="569"/>
    <n v="80"/>
    <n v="55"/>
    <n v="594"/>
    <n v="68.8"/>
  </r>
  <r>
    <x v="0"/>
    <d v="2026-01-05T00:00:00"/>
    <s v="Mon"/>
    <s v="Weekday"/>
    <x v="1"/>
    <n v="445"/>
    <n v="109"/>
    <n v="78"/>
    <n v="476"/>
    <n v="71.599999999999994"/>
  </r>
  <r>
    <x v="0"/>
    <d v="2026-01-05T00:00:00"/>
    <s v="Mon"/>
    <s v="Weekday"/>
    <x v="2"/>
    <n v="453"/>
    <n v="155"/>
    <n v="104"/>
    <n v="504"/>
    <n v="67.099999999999994"/>
  </r>
  <r>
    <x v="0"/>
    <d v="2026-01-05T00:00:00"/>
    <s v="Mon"/>
    <s v="Weekday"/>
    <x v="3"/>
    <n v="469"/>
    <n v="105"/>
    <n v="80"/>
    <n v="494"/>
    <n v="76.2"/>
  </r>
  <r>
    <x v="0"/>
    <d v="2026-01-05T00:00:00"/>
    <s v="Mon"/>
    <s v="Weekday"/>
    <x v="4"/>
    <n v="380"/>
    <n v="110"/>
    <n v="81"/>
    <n v="409"/>
    <n v="73.599999999999994"/>
  </r>
  <r>
    <x v="0"/>
    <d v="2026-01-05T00:00:00"/>
    <s v="Mon"/>
    <s v="Weekday"/>
    <x v="5"/>
    <n v="412"/>
    <n v="107"/>
    <n v="72"/>
    <n v="447"/>
    <n v="67.3"/>
  </r>
  <r>
    <x v="0"/>
    <d v="2026-01-05T00:00:00"/>
    <s v="Mon"/>
    <s v="Weekday"/>
    <x v="6"/>
    <n v="490"/>
    <n v="123"/>
    <n v="90"/>
    <n v="523"/>
    <n v="73.2"/>
  </r>
  <r>
    <x v="0"/>
    <d v="2026-01-05T00:00:00"/>
    <s v="Mon"/>
    <s v="Weekday"/>
    <x v="7"/>
    <n v="410"/>
    <n v="99"/>
    <n v="85"/>
    <n v="424"/>
    <n v="85.9"/>
  </r>
  <r>
    <x v="0"/>
    <d v="2026-01-05T00:00:00"/>
    <s v="Mon"/>
    <s v="Weekday"/>
    <x v="8"/>
    <n v="388"/>
    <n v="136"/>
    <n v="87"/>
    <n v="437"/>
    <n v="64"/>
  </r>
  <r>
    <x v="0"/>
    <d v="2026-01-05T00:00:00"/>
    <s v="Mon"/>
    <s v="Weekday"/>
    <x v="9"/>
    <n v="301"/>
    <n v="75"/>
    <n v="66"/>
    <n v="310"/>
    <n v="88"/>
  </r>
  <r>
    <x v="0"/>
    <d v="2026-01-05T00:00:00"/>
    <s v="Mon"/>
    <s v="Weekday"/>
    <x v="10"/>
    <n v="554"/>
    <n v="155"/>
    <n v="96"/>
    <n v="613"/>
    <n v="61.9"/>
  </r>
  <r>
    <x v="0"/>
    <d v="2026-01-06T00:00:00"/>
    <s v="Tue"/>
    <s v="Weekday"/>
    <x v="0"/>
    <n v="594"/>
    <n v="88"/>
    <n v="61"/>
    <n v="621"/>
    <n v="69.3"/>
  </r>
  <r>
    <x v="0"/>
    <d v="2026-01-06T00:00:00"/>
    <s v="Tue"/>
    <s v="Weekday"/>
    <x v="1"/>
    <n v="476"/>
    <n v="93"/>
    <n v="72"/>
    <n v="497"/>
    <n v="77.400000000000006"/>
  </r>
  <r>
    <x v="0"/>
    <d v="2026-01-06T00:00:00"/>
    <s v="Tue"/>
    <s v="Weekday"/>
    <x v="2"/>
    <n v="504"/>
    <n v="100"/>
    <n v="80"/>
    <n v="524"/>
    <n v="80"/>
  </r>
  <r>
    <x v="0"/>
    <d v="2026-01-06T00:00:00"/>
    <s v="Tue"/>
    <s v="Weekday"/>
    <x v="3"/>
    <n v="494"/>
    <n v="63"/>
    <n v="59"/>
    <n v="498"/>
    <n v="93.7"/>
  </r>
  <r>
    <x v="0"/>
    <d v="2026-01-06T00:00:00"/>
    <s v="Tue"/>
    <s v="Weekday"/>
    <x v="4"/>
    <n v="409"/>
    <n v="166"/>
    <n v="126"/>
    <n v="449"/>
    <n v="75.900000000000006"/>
  </r>
  <r>
    <x v="0"/>
    <d v="2026-01-06T00:00:00"/>
    <s v="Tue"/>
    <s v="Weekday"/>
    <x v="5"/>
    <n v="447"/>
    <n v="84"/>
    <n v="66"/>
    <n v="465"/>
    <n v="78.599999999999994"/>
  </r>
  <r>
    <x v="0"/>
    <d v="2026-01-06T00:00:00"/>
    <s v="Tue"/>
    <s v="Weekday"/>
    <x v="6"/>
    <n v="523"/>
    <n v="93"/>
    <n v="75"/>
    <n v="541"/>
    <n v="80.599999999999994"/>
  </r>
  <r>
    <x v="0"/>
    <d v="2026-01-06T00:00:00"/>
    <s v="Tue"/>
    <s v="Weekday"/>
    <x v="7"/>
    <n v="424"/>
    <n v="114"/>
    <n v="87"/>
    <n v="451"/>
    <n v="76.3"/>
  </r>
  <r>
    <x v="0"/>
    <d v="2026-01-06T00:00:00"/>
    <s v="Tue"/>
    <s v="Weekday"/>
    <x v="8"/>
    <n v="437"/>
    <n v="132"/>
    <n v="88"/>
    <n v="481"/>
    <n v="66.7"/>
  </r>
  <r>
    <x v="0"/>
    <d v="2026-01-06T00:00:00"/>
    <s v="Tue"/>
    <s v="Weekday"/>
    <x v="9"/>
    <n v="310"/>
    <n v="89"/>
    <n v="79"/>
    <n v="320"/>
    <n v="88.8"/>
  </r>
  <r>
    <x v="0"/>
    <d v="2026-01-06T00:00:00"/>
    <s v="Tue"/>
    <s v="Weekday"/>
    <x v="10"/>
    <n v="613"/>
    <n v="161"/>
    <n v="105"/>
    <n v="669"/>
    <n v="65.2"/>
  </r>
  <r>
    <x v="0"/>
    <d v="2026-01-07T00:00:00"/>
    <s v="Wed"/>
    <s v="Weekday"/>
    <x v="0"/>
    <n v="621"/>
    <n v="82"/>
    <n v="64"/>
    <n v="639"/>
    <n v="78"/>
  </r>
  <r>
    <x v="0"/>
    <d v="2026-01-07T00:00:00"/>
    <s v="Wed"/>
    <s v="Weekday"/>
    <x v="1"/>
    <n v="497"/>
    <n v="98"/>
    <n v="82"/>
    <n v="513"/>
    <n v="83.7"/>
  </r>
  <r>
    <x v="0"/>
    <d v="2026-01-07T00:00:00"/>
    <s v="Wed"/>
    <s v="Weekday"/>
    <x v="2"/>
    <n v="524"/>
    <n v="128"/>
    <n v="89"/>
    <n v="563"/>
    <n v="69.5"/>
  </r>
  <r>
    <x v="0"/>
    <d v="2026-01-07T00:00:00"/>
    <s v="Wed"/>
    <s v="Weekday"/>
    <x v="3"/>
    <n v="498"/>
    <n v="110"/>
    <n v="82"/>
    <n v="526"/>
    <n v="74.5"/>
  </r>
  <r>
    <x v="0"/>
    <d v="2026-01-07T00:00:00"/>
    <s v="Wed"/>
    <s v="Weekday"/>
    <x v="4"/>
    <n v="449"/>
    <n v="120"/>
    <n v="90"/>
    <n v="479"/>
    <n v="75"/>
  </r>
  <r>
    <x v="0"/>
    <d v="2026-01-07T00:00:00"/>
    <s v="Wed"/>
    <s v="Weekday"/>
    <x v="5"/>
    <n v="465"/>
    <n v="70"/>
    <n v="60"/>
    <n v="475"/>
    <n v="85.7"/>
  </r>
  <r>
    <x v="0"/>
    <d v="2026-01-07T00:00:00"/>
    <s v="Wed"/>
    <s v="Weekday"/>
    <x v="6"/>
    <n v="541"/>
    <n v="140"/>
    <n v="117"/>
    <n v="564"/>
    <n v="83.6"/>
  </r>
  <r>
    <x v="0"/>
    <d v="2026-01-07T00:00:00"/>
    <s v="Wed"/>
    <s v="Weekday"/>
    <x v="7"/>
    <n v="451"/>
    <n v="73"/>
    <n v="53"/>
    <n v="471"/>
    <n v="72.599999999999994"/>
  </r>
  <r>
    <x v="0"/>
    <d v="2026-01-07T00:00:00"/>
    <s v="Wed"/>
    <s v="Weekday"/>
    <x v="8"/>
    <n v="481"/>
    <n v="149"/>
    <n v="98"/>
    <n v="532"/>
    <n v="65.8"/>
  </r>
  <r>
    <x v="0"/>
    <d v="2026-01-07T00:00:00"/>
    <s v="Wed"/>
    <s v="Weekday"/>
    <x v="9"/>
    <n v="320"/>
    <n v="89"/>
    <n v="80"/>
    <n v="329"/>
    <n v="89.9"/>
  </r>
  <r>
    <x v="0"/>
    <d v="2026-01-07T00:00:00"/>
    <s v="Wed"/>
    <s v="Weekday"/>
    <x v="10"/>
    <n v="669"/>
    <n v="123"/>
    <n v="93"/>
    <n v="699"/>
    <n v="75.599999999999994"/>
  </r>
  <r>
    <x v="0"/>
    <d v="2026-01-08T00:00:00"/>
    <s v="Thu"/>
    <s v="Weekday"/>
    <x v="0"/>
    <n v="639"/>
    <n v="130"/>
    <n v="85"/>
    <n v="684"/>
    <n v="65.400000000000006"/>
  </r>
  <r>
    <x v="0"/>
    <d v="2026-01-08T00:00:00"/>
    <s v="Thu"/>
    <s v="Weekday"/>
    <x v="1"/>
    <n v="513"/>
    <n v="130"/>
    <n v="107"/>
    <n v="536"/>
    <n v="82.3"/>
  </r>
  <r>
    <x v="0"/>
    <d v="2026-01-08T00:00:00"/>
    <s v="Thu"/>
    <s v="Weekday"/>
    <x v="2"/>
    <n v="563"/>
    <n v="100"/>
    <n v="66"/>
    <n v="597"/>
    <n v="66"/>
  </r>
  <r>
    <x v="0"/>
    <d v="2026-01-08T00:00:00"/>
    <s v="Thu"/>
    <s v="Weekday"/>
    <x v="3"/>
    <n v="526"/>
    <n v="92"/>
    <n v="75"/>
    <n v="543"/>
    <n v="81.5"/>
  </r>
  <r>
    <x v="0"/>
    <d v="2026-01-08T00:00:00"/>
    <s v="Thu"/>
    <s v="Weekday"/>
    <x v="4"/>
    <n v="479"/>
    <n v="102"/>
    <n v="69"/>
    <n v="512"/>
    <n v="67.599999999999994"/>
  </r>
  <r>
    <x v="0"/>
    <d v="2026-01-08T00:00:00"/>
    <s v="Thu"/>
    <s v="Weekday"/>
    <x v="5"/>
    <n v="475"/>
    <n v="67"/>
    <n v="54"/>
    <n v="488"/>
    <n v="80.599999999999994"/>
  </r>
  <r>
    <x v="0"/>
    <d v="2026-01-08T00:00:00"/>
    <s v="Thu"/>
    <s v="Weekday"/>
    <x v="6"/>
    <n v="564"/>
    <n v="104"/>
    <n v="76"/>
    <n v="592"/>
    <n v="73.099999999999994"/>
  </r>
  <r>
    <x v="0"/>
    <d v="2026-01-08T00:00:00"/>
    <s v="Thu"/>
    <s v="Weekday"/>
    <x v="7"/>
    <n v="471"/>
    <n v="103"/>
    <n v="77"/>
    <n v="497"/>
    <n v="74.8"/>
  </r>
  <r>
    <x v="0"/>
    <d v="2026-01-08T00:00:00"/>
    <s v="Thu"/>
    <s v="Weekday"/>
    <x v="8"/>
    <n v="532"/>
    <n v="95"/>
    <n v="70"/>
    <n v="557"/>
    <n v="73.7"/>
  </r>
  <r>
    <x v="0"/>
    <d v="2026-01-08T00:00:00"/>
    <s v="Thu"/>
    <s v="Weekday"/>
    <x v="9"/>
    <n v="329"/>
    <n v="90"/>
    <n v="87"/>
    <n v="332"/>
    <n v="96.7"/>
  </r>
  <r>
    <x v="0"/>
    <d v="2026-01-08T00:00:00"/>
    <s v="Thu"/>
    <s v="Weekday"/>
    <x v="10"/>
    <n v="699"/>
    <n v="112"/>
    <n v="85"/>
    <n v="726"/>
    <n v="75.900000000000006"/>
  </r>
  <r>
    <x v="0"/>
    <d v="2026-01-09T00:00:00"/>
    <s v="Fri"/>
    <s v="Weekday"/>
    <x v="0"/>
    <n v="684"/>
    <n v="142"/>
    <n v="102"/>
    <n v="724"/>
    <n v="71.8"/>
  </r>
  <r>
    <x v="0"/>
    <d v="2026-01-09T00:00:00"/>
    <s v="Fri"/>
    <s v="Weekday"/>
    <x v="1"/>
    <n v="536"/>
    <n v="95"/>
    <n v="73"/>
    <n v="558"/>
    <n v="76.8"/>
  </r>
  <r>
    <x v="0"/>
    <d v="2026-01-09T00:00:00"/>
    <s v="Fri"/>
    <s v="Weekday"/>
    <x v="2"/>
    <n v="597"/>
    <n v="154"/>
    <n v="100"/>
    <n v="651"/>
    <n v="64.900000000000006"/>
  </r>
  <r>
    <x v="0"/>
    <d v="2026-01-09T00:00:00"/>
    <s v="Fri"/>
    <s v="Weekday"/>
    <x v="3"/>
    <n v="543"/>
    <n v="99"/>
    <n v="94"/>
    <n v="548"/>
    <n v="94.9"/>
  </r>
  <r>
    <x v="0"/>
    <d v="2026-01-09T00:00:00"/>
    <s v="Fri"/>
    <s v="Weekday"/>
    <x v="4"/>
    <n v="512"/>
    <n v="100"/>
    <n v="81"/>
    <n v="531"/>
    <n v="81"/>
  </r>
  <r>
    <x v="0"/>
    <d v="2026-01-09T00:00:00"/>
    <s v="Fri"/>
    <s v="Weekday"/>
    <x v="5"/>
    <n v="488"/>
    <n v="88"/>
    <n v="74"/>
    <n v="502"/>
    <n v="84.1"/>
  </r>
  <r>
    <x v="0"/>
    <d v="2026-01-09T00:00:00"/>
    <s v="Fri"/>
    <s v="Weekday"/>
    <x v="6"/>
    <n v="592"/>
    <n v="118"/>
    <n v="106"/>
    <n v="604"/>
    <n v="89.8"/>
  </r>
  <r>
    <x v="0"/>
    <d v="2026-01-09T00:00:00"/>
    <s v="Fri"/>
    <s v="Weekday"/>
    <x v="7"/>
    <n v="497"/>
    <n v="102"/>
    <n v="70"/>
    <n v="529"/>
    <n v="68.599999999999994"/>
  </r>
  <r>
    <x v="0"/>
    <d v="2026-01-09T00:00:00"/>
    <s v="Fri"/>
    <s v="Weekday"/>
    <x v="8"/>
    <n v="557"/>
    <n v="91"/>
    <n v="69"/>
    <n v="579"/>
    <n v="75.8"/>
  </r>
  <r>
    <x v="0"/>
    <d v="2026-01-09T00:00:00"/>
    <s v="Fri"/>
    <s v="Weekday"/>
    <x v="9"/>
    <n v="332"/>
    <n v="84"/>
    <n v="76"/>
    <n v="340"/>
    <n v="90.5"/>
  </r>
  <r>
    <x v="0"/>
    <d v="2026-01-09T00:00:00"/>
    <s v="Fri"/>
    <s v="Weekday"/>
    <x v="10"/>
    <n v="726"/>
    <n v="148"/>
    <n v="100"/>
    <n v="774"/>
    <n v="67.599999999999994"/>
  </r>
  <r>
    <x v="0"/>
    <d v="2026-01-10T00:00:00"/>
    <s v="Sat"/>
    <s v="Weekend"/>
    <x v="0"/>
    <n v="724"/>
    <n v="35"/>
    <n v="28"/>
    <n v="731"/>
    <n v="80"/>
  </r>
  <r>
    <x v="0"/>
    <d v="2026-01-10T00:00:00"/>
    <s v="Sat"/>
    <s v="Weekend"/>
    <x v="1"/>
    <n v="558"/>
    <n v="52"/>
    <n v="44"/>
    <n v="566"/>
    <n v="84.6"/>
  </r>
  <r>
    <x v="0"/>
    <d v="2026-01-10T00:00:00"/>
    <s v="Sat"/>
    <s v="Weekend"/>
    <x v="2"/>
    <n v="651"/>
    <n v="52"/>
    <n v="33"/>
    <n v="670"/>
    <n v="63.5"/>
  </r>
  <r>
    <x v="0"/>
    <d v="2026-01-10T00:00:00"/>
    <s v="Sat"/>
    <s v="Weekend"/>
    <x v="3"/>
    <n v="548"/>
    <n v="59"/>
    <n v="50"/>
    <n v="557"/>
    <n v="84.7"/>
  </r>
  <r>
    <x v="0"/>
    <d v="2026-01-10T00:00:00"/>
    <s v="Sat"/>
    <s v="Weekend"/>
    <x v="4"/>
    <n v="531"/>
    <n v="63"/>
    <n v="40"/>
    <n v="554"/>
    <n v="63.5"/>
  </r>
  <r>
    <x v="0"/>
    <d v="2026-01-10T00:00:00"/>
    <s v="Sat"/>
    <s v="Weekend"/>
    <x v="5"/>
    <n v="502"/>
    <n v="38"/>
    <n v="26"/>
    <n v="514"/>
    <n v="68.400000000000006"/>
  </r>
  <r>
    <x v="0"/>
    <d v="2026-01-10T00:00:00"/>
    <s v="Sat"/>
    <s v="Weekend"/>
    <x v="6"/>
    <n v="604"/>
    <n v="46"/>
    <n v="41"/>
    <n v="609"/>
    <n v="89.1"/>
  </r>
  <r>
    <x v="0"/>
    <d v="2026-01-10T00:00:00"/>
    <s v="Sat"/>
    <s v="Weekend"/>
    <x v="7"/>
    <n v="529"/>
    <n v="46"/>
    <n v="30"/>
    <n v="545"/>
    <n v="65.2"/>
  </r>
  <r>
    <x v="0"/>
    <d v="2026-01-10T00:00:00"/>
    <s v="Sat"/>
    <s v="Weekend"/>
    <x v="8"/>
    <n v="579"/>
    <n v="58"/>
    <n v="37"/>
    <n v="600"/>
    <n v="63.8"/>
  </r>
  <r>
    <x v="0"/>
    <d v="2026-01-10T00:00:00"/>
    <s v="Sat"/>
    <s v="Weekend"/>
    <x v="9"/>
    <n v="340"/>
    <n v="40"/>
    <n v="37"/>
    <n v="343"/>
    <n v="92.5"/>
  </r>
  <r>
    <x v="0"/>
    <d v="2026-01-10T00:00:00"/>
    <s v="Sat"/>
    <s v="Weekend"/>
    <x v="10"/>
    <n v="774"/>
    <n v="57"/>
    <n v="35"/>
    <n v="796"/>
    <n v="61.4"/>
  </r>
  <r>
    <x v="0"/>
    <d v="2026-01-11T00:00:00"/>
    <s v="Sun"/>
    <s v="Weekend"/>
    <x v="0"/>
    <n v="731"/>
    <n v="68"/>
    <n v="49"/>
    <n v="750"/>
    <n v="72.099999999999994"/>
  </r>
  <r>
    <x v="0"/>
    <d v="2026-01-11T00:00:00"/>
    <s v="Sun"/>
    <s v="Weekend"/>
    <x v="1"/>
    <n v="566"/>
    <n v="43"/>
    <n v="37"/>
    <n v="572"/>
    <n v="86"/>
  </r>
  <r>
    <x v="0"/>
    <d v="2026-01-11T00:00:00"/>
    <s v="Sun"/>
    <s v="Weekend"/>
    <x v="2"/>
    <n v="670"/>
    <n v="68"/>
    <n v="49"/>
    <n v="689"/>
    <n v="72.099999999999994"/>
  </r>
  <r>
    <x v="0"/>
    <d v="2026-01-11T00:00:00"/>
    <s v="Sun"/>
    <s v="Weekend"/>
    <x v="3"/>
    <n v="557"/>
    <n v="41"/>
    <n v="35"/>
    <n v="563"/>
    <n v="85.4"/>
  </r>
  <r>
    <x v="0"/>
    <d v="2026-01-11T00:00:00"/>
    <s v="Sun"/>
    <s v="Weekend"/>
    <x v="4"/>
    <n v="554"/>
    <n v="43"/>
    <n v="28"/>
    <n v="569"/>
    <n v="65.099999999999994"/>
  </r>
  <r>
    <x v="0"/>
    <d v="2026-01-11T00:00:00"/>
    <s v="Sun"/>
    <s v="Weekend"/>
    <x v="5"/>
    <n v="514"/>
    <n v="27"/>
    <n v="18"/>
    <n v="523"/>
    <n v="66.7"/>
  </r>
  <r>
    <x v="0"/>
    <d v="2026-01-11T00:00:00"/>
    <s v="Sun"/>
    <s v="Weekend"/>
    <x v="6"/>
    <n v="609"/>
    <n v="57"/>
    <n v="51"/>
    <n v="615"/>
    <n v="89.5"/>
  </r>
  <r>
    <x v="0"/>
    <d v="2026-01-11T00:00:00"/>
    <s v="Sun"/>
    <s v="Weekend"/>
    <x v="7"/>
    <n v="545"/>
    <n v="57"/>
    <n v="48"/>
    <n v="554"/>
    <n v="84.2"/>
  </r>
  <r>
    <x v="0"/>
    <d v="2026-01-11T00:00:00"/>
    <s v="Sun"/>
    <s v="Weekend"/>
    <x v="8"/>
    <n v="600"/>
    <n v="42"/>
    <n v="33"/>
    <n v="609"/>
    <n v="78.599999999999994"/>
  </r>
  <r>
    <x v="0"/>
    <d v="2026-01-11T00:00:00"/>
    <s v="Sun"/>
    <s v="Weekend"/>
    <x v="9"/>
    <n v="343"/>
    <n v="39"/>
    <n v="30"/>
    <n v="352"/>
    <n v="76.900000000000006"/>
  </r>
  <r>
    <x v="0"/>
    <d v="2026-01-11T00:00:00"/>
    <s v="Sun"/>
    <s v="Weekend"/>
    <x v="10"/>
    <n v="796"/>
    <n v="68"/>
    <n v="49"/>
    <n v="815"/>
    <n v="72.099999999999994"/>
  </r>
  <r>
    <x v="0"/>
    <d v="2026-01-12T00:00:00"/>
    <s v="Mon"/>
    <s v="Weekday"/>
    <x v="0"/>
    <n v="750"/>
    <n v="116"/>
    <n v="97"/>
    <n v="769"/>
    <n v="83.6"/>
  </r>
  <r>
    <x v="0"/>
    <d v="2026-01-12T00:00:00"/>
    <s v="Mon"/>
    <s v="Weekday"/>
    <x v="1"/>
    <n v="572"/>
    <n v="107"/>
    <n v="74"/>
    <n v="605"/>
    <n v="69.2"/>
  </r>
  <r>
    <x v="0"/>
    <d v="2026-01-12T00:00:00"/>
    <s v="Mon"/>
    <s v="Weekday"/>
    <x v="2"/>
    <n v="689"/>
    <n v="131"/>
    <n v="101"/>
    <n v="719"/>
    <n v="77.099999999999994"/>
  </r>
  <r>
    <x v="0"/>
    <d v="2026-01-12T00:00:00"/>
    <s v="Mon"/>
    <s v="Weekday"/>
    <x v="3"/>
    <n v="563"/>
    <n v="84"/>
    <n v="70"/>
    <n v="577"/>
    <n v="83.3"/>
  </r>
  <r>
    <x v="0"/>
    <d v="2026-01-12T00:00:00"/>
    <s v="Mon"/>
    <s v="Weekday"/>
    <x v="4"/>
    <n v="569"/>
    <n v="108"/>
    <n v="74"/>
    <n v="603"/>
    <n v="68.5"/>
  </r>
  <r>
    <x v="0"/>
    <d v="2026-01-12T00:00:00"/>
    <s v="Mon"/>
    <s v="Weekday"/>
    <x v="5"/>
    <n v="523"/>
    <n v="68"/>
    <n v="48"/>
    <n v="543"/>
    <n v="70.599999999999994"/>
  </r>
  <r>
    <x v="0"/>
    <d v="2026-01-12T00:00:00"/>
    <s v="Mon"/>
    <s v="Weekday"/>
    <x v="6"/>
    <n v="615"/>
    <n v="128"/>
    <n v="103"/>
    <n v="640"/>
    <n v="80.5"/>
  </r>
  <r>
    <x v="0"/>
    <d v="2026-01-12T00:00:00"/>
    <s v="Mon"/>
    <s v="Weekday"/>
    <x v="7"/>
    <n v="554"/>
    <n v="92"/>
    <n v="61"/>
    <n v="585"/>
    <n v="66.3"/>
  </r>
  <r>
    <x v="0"/>
    <d v="2026-01-12T00:00:00"/>
    <s v="Mon"/>
    <s v="Weekday"/>
    <x v="8"/>
    <n v="609"/>
    <n v="86"/>
    <n v="70"/>
    <n v="625"/>
    <n v="81.400000000000006"/>
  </r>
  <r>
    <x v="0"/>
    <d v="2026-01-12T00:00:00"/>
    <s v="Mon"/>
    <s v="Weekday"/>
    <x v="9"/>
    <n v="352"/>
    <n v="98"/>
    <n v="81"/>
    <n v="369"/>
    <n v="82.7"/>
  </r>
  <r>
    <x v="0"/>
    <d v="2026-01-12T00:00:00"/>
    <s v="Mon"/>
    <s v="Weekday"/>
    <x v="10"/>
    <n v="815"/>
    <n v="120"/>
    <n v="74"/>
    <n v="861"/>
    <n v="61.7"/>
  </r>
  <r>
    <x v="0"/>
    <d v="2026-01-13T00:00:00"/>
    <s v="Tue"/>
    <s v="Weekday"/>
    <x v="0"/>
    <n v="769"/>
    <n v="139"/>
    <n v="97"/>
    <n v="811"/>
    <n v="69.8"/>
  </r>
  <r>
    <x v="0"/>
    <d v="2026-01-13T00:00:00"/>
    <s v="Tue"/>
    <s v="Weekday"/>
    <x v="1"/>
    <n v="605"/>
    <n v="88"/>
    <n v="77"/>
    <n v="616"/>
    <n v="87.5"/>
  </r>
  <r>
    <x v="0"/>
    <d v="2026-01-13T00:00:00"/>
    <s v="Tue"/>
    <s v="Weekday"/>
    <x v="2"/>
    <n v="719"/>
    <n v="101"/>
    <n v="63"/>
    <n v="757"/>
    <n v="62.4"/>
  </r>
  <r>
    <x v="0"/>
    <d v="2026-01-13T00:00:00"/>
    <s v="Tue"/>
    <s v="Weekday"/>
    <x v="3"/>
    <n v="577"/>
    <n v="88"/>
    <n v="83"/>
    <n v="582"/>
    <n v="94.3"/>
  </r>
  <r>
    <x v="0"/>
    <d v="2026-01-13T00:00:00"/>
    <s v="Tue"/>
    <s v="Weekday"/>
    <x v="4"/>
    <n v="603"/>
    <n v="171"/>
    <n v="123"/>
    <n v="651"/>
    <n v="71.900000000000006"/>
  </r>
  <r>
    <x v="0"/>
    <d v="2026-01-13T00:00:00"/>
    <s v="Tue"/>
    <s v="Weekday"/>
    <x v="5"/>
    <n v="543"/>
    <n v="101"/>
    <n v="74"/>
    <n v="570"/>
    <n v="73.3"/>
  </r>
  <r>
    <x v="0"/>
    <d v="2026-01-13T00:00:00"/>
    <s v="Tue"/>
    <s v="Weekday"/>
    <x v="6"/>
    <n v="640"/>
    <n v="83"/>
    <n v="71"/>
    <n v="652"/>
    <n v="85.5"/>
  </r>
  <r>
    <x v="0"/>
    <d v="2026-01-13T00:00:00"/>
    <s v="Tue"/>
    <s v="Weekday"/>
    <x v="7"/>
    <n v="585"/>
    <n v="91"/>
    <n v="74"/>
    <n v="602"/>
    <n v="81.3"/>
  </r>
  <r>
    <x v="0"/>
    <d v="2026-01-13T00:00:00"/>
    <s v="Tue"/>
    <s v="Weekday"/>
    <x v="8"/>
    <n v="625"/>
    <n v="99"/>
    <n v="64"/>
    <n v="660"/>
    <n v="64.599999999999994"/>
  </r>
  <r>
    <x v="0"/>
    <d v="2026-01-13T00:00:00"/>
    <s v="Tue"/>
    <s v="Weekday"/>
    <x v="9"/>
    <n v="369"/>
    <n v="91"/>
    <n v="83"/>
    <n v="377"/>
    <n v="91.2"/>
  </r>
  <r>
    <x v="0"/>
    <d v="2026-01-13T00:00:00"/>
    <s v="Tue"/>
    <s v="Weekday"/>
    <x v="10"/>
    <n v="861"/>
    <n v="150"/>
    <n v="107"/>
    <n v="904"/>
    <n v="71.3"/>
  </r>
  <r>
    <x v="0"/>
    <d v="2026-01-14T00:00:00"/>
    <s v="Wed"/>
    <s v="Weekday"/>
    <x v="0"/>
    <n v="811"/>
    <n v="111"/>
    <n v="78"/>
    <n v="844"/>
    <n v="70.3"/>
  </r>
  <r>
    <x v="0"/>
    <d v="2026-01-14T00:00:00"/>
    <s v="Wed"/>
    <s v="Weekday"/>
    <x v="1"/>
    <n v="616"/>
    <n v="74"/>
    <n v="63"/>
    <n v="627"/>
    <n v="85.1"/>
  </r>
  <r>
    <x v="0"/>
    <d v="2026-01-14T00:00:00"/>
    <s v="Wed"/>
    <s v="Weekday"/>
    <x v="2"/>
    <n v="757"/>
    <n v="93"/>
    <n v="55"/>
    <n v="795"/>
    <n v="59.1"/>
  </r>
  <r>
    <x v="0"/>
    <d v="2026-01-14T00:00:00"/>
    <s v="Wed"/>
    <s v="Weekday"/>
    <x v="3"/>
    <n v="582"/>
    <n v="86"/>
    <n v="74"/>
    <n v="594"/>
    <n v="86"/>
  </r>
  <r>
    <x v="0"/>
    <d v="2026-01-14T00:00:00"/>
    <s v="Wed"/>
    <s v="Weekday"/>
    <x v="4"/>
    <n v="651"/>
    <n v="170"/>
    <n v="106"/>
    <n v="715"/>
    <n v="62.4"/>
  </r>
  <r>
    <x v="0"/>
    <d v="2026-01-14T00:00:00"/>
    <s v="Wed"/>
    <s v="Weekday"/>
    <x v="5"/>
    <n v="570"/>
    <n v="52"/>
    <n v="38"/>
    <n v="584"/>
    <n v="73.099999999999994"/>
  </r>
  <r>
    <x v="0"/>
    <d v="2026-01-14T00:00:00"/>
    <s v="Wed"/>
    <s v="Weekday"/>
    <x v="6"/>
    <n v="652"/>
    <n v="130"/>
    <n v="115"/>
    <n v="667"/>
    <n v="88.5"/>
  </r>
  <r>
    <x v="0"/>
    <d v="2026-01-14T00:00:00"/>
    <s v="Wed"/>
    <s v="Weekday"/>
    <x v="7"/>
    <n v="602"/>
    <n v="83"/>
    <n v="59"/>
    <n v="626"/>
    <n v="71.099999999999994"/>
  </r>
  <r>
    <x v="0"/>
    <d v="2026-01-14T00:00:00"/>
    <s v="Wed"/>
    <s v="Weekday"/>
    <x v="8"/>
    <n v="660"/>
    <n v="123"/>
    <n v="81"/>
    <n v="702"/>
    <n v="65.900000000000006"/>
  </r>
  <r>
    <x v="0"/>
    <d v="2026-01-14T00:00:00"/>
    <s v="Wed"/>
    <s v="Weekday"/>
    <x v="9"/>
    <n v="377"/>
    <n v="73"/>
    <n v="66"/>
    <n v="384"/>
    <n v="90.4"/>
  </r>
  <r>
    <x v="0"/>
    <d v="2026-01-14T00:00:00"/>
    <s v="Wed"/>
    <s v="Weekday"/>
    <x v="10"/>
    <n v="904"/>
    <n v="122"/>
    <n v="90"/>
    <n v="936"/>
    <n v="73.8"/>
  </r>
  <r>
    <x v="0"/>
    <d v="2026-01-15T00:00:00"/>
    <s v="Thu"/>
    <s v="Weekday"/>
    <x v="0"/>
    <n v="844"/>
    <n v="108"/>
    <n v="86"/>
    <n v="866"/>
    <n v="79.599999999999994"/>
  </r>
  <r>
    <x v="0"/>
    <d v="2026-01-15T00:00:00"/>
    <s v="Thu"/>
    <s v="Weekday"/>
    <x v="1"/>
    <n v="627"/>
    <n v="112"/>
    <n v="91"/>
    <n v="648"/>
    <n v="81.2"/>
  </r>
  <r>
    <x v="0"/>
    <d v="2026-01-15T00:00:00"/>
    <s v="Thu"/>
    <s v="Weekday"/>
    <x v="2"/>
    <n v="795"/>
    <n v="140"/>
    <n v="101"/>
    <n v="834"/>
    <n v="72.099999999999994"/>
  </r>
  <r>
    <x v="0"/>
    <d v="2026-01-15T00:00:00"/>
    <s v="Thu"/>
    <s v="Weekday"/>
    <x v="3"/>
    <n v="594"/>
    <n v="72"/>
    <n v="60"/>
    <n v="606"/>
    <n v="83.3"/>
  </r>
  <r>
    <x v="0"/>
    <d v="2026-01-15T00:00:00"/>
    <s v="Thu"/>
    <s v="Weekday"/>
    <x v="4"/>
    <n v="715"/>
    <n v="109"/>
    <n v="82"/>
    <n v="742"/>
    <n v="75.2"/>
  </r>
  <r>
    <x v="0"/>
    <d v="2026-01-15T00:00:00"/>
    <s v="Thu"/>
    <s v="Weekday"/>
    <x v="5"/>
    <n v="584"/>
    <n v="105"/>
    <n v="72"/>
    <n v="617"/>
    <n v="68.599999999999994"/>
  </r>
  <r>
    <x v="0"/>
    <d v="2026-01-15T00:00:00"/>
    <s v="Thu"/>
    <s v="Weekday"/>
    <x v="6"/>
    <n v="667"/>
    <n v="111"/>
    <n v="83"/>
    <n v="695"/>
    <n v="74.8"/>
  </r>
  <r>
    <x v="0"/>
    <d v="2026-01-15T00:00:00"/>
    <s v="Thu"/>
    <s v="Weekday"/>
    <x v="7"/>
    <n v="626"/>
    <n v="95"/>
    <n v="65"/>
    <n v="656"/>
    <n v="68.400000000000006"/>
  </r>
  <r>
    <x v="0"/>
    <d v="2026-01-15T00:00:00"/>
    <s v="Thu"/>
    <s v="Weekday"/>
    <x v="8"/>
    <n v="702"/>
    <n v="101"/>
    <n v="67"/>
    <n v="736"/>
    <n v="66.3"/>
  </r>
  <r>
    <x v="0"/>
    <d v="2026-01-15T00:00:00"/>
    <s v="Thu"/>
    <s v="Weekday"/>
    <x v="9"/>
    <n v="384"/>
    <n v="84"/>
    <n v="76"/>
    <n v="392"/>
    <n v="90.5"/>
  </r>
  <r>
    <x v="0"/>
    <d v="2026-01-15T00:00:00"/>
    <s v="Thu"/>
    <s v="Weekday"/>
    <x v="10"/>
    <n v="936"/>
    <n v="165"/>
    <n v="101"/>
    <n v="1000"/>
    <n v="61.2"/>
  </r>
  <r>
    <x v="0"/>
    <d v="2026-01-16T00:00:00"/>
    <s v="Fri"/>
    <s v="Weekday"/>
    <x v="0"/>
    <n v="866"/>
    <n v="93"/>
    <n v="76"/>
    <n v="883"/>
    <n v="81.7"/>
  </r>
  <r>
    <x v="0"/>
    <d v="2026-01-16T00:00:00"/>
    <s v="Fri"/>
    <s v="Weekday"/>
    <x v="1"/>
    <n v="648"/>
    <n v="123"/>
    <n v="110"/>
    <n v="661"/>
    <n v="89.4"/>
  </r>
  <r>
    <x v="0"/>
    <d v="2026-01-16T00:00:00"/>
    <s v="Fri"/>
    <s v="Weekday"/>
    <x v="2"/>
    <n v="834"/>
    <n v="102"/>
    <n v="79"/>
    <n v="857"/>
    <n v="77.5"/>
  </r>
  <r>
    <x v="0"/>
    <d v="2026-01-16T00:00:00"/>
    <s v="Fri"/>
    <s v="Weekday"/>
    <x v="3"/>
    <n v="606"/>
    <n v="102"/>
    <n v="86"/>
    <n v="622"/>
    <n v="84.3"/>
  </r>
  <r>
    <x v="0"/>
    <d v="2026-01-16T00:00:00"/>
    <s v="Fri"/>
    <s v="Weekday"/>
    <x v="4"/>
    <n v="742"/>
    <n v="110"/>
    <n v="89"/>
    <n v="763"/>
    <n v="80.900000000000006"/>
  </r>
  <r>
    <x v="0"/>
    <d v="2026-01-16T00:00:00"/>
    <s v="Fri"/>
    <s v="Weekday"/>
    <x v="5"/>
    <n v="617"/>
    <n v="63"/>
    <n v="48"/>
    <n v="632"/>
    <n v="76.2"/>
  </r>
  <r>
    <x v="0"/>
    <d v="2026-01-16T00:00:00"/>
    <s v="Fri"/>
    <s v="Weekday"/>
    <x v="6"/>
    <n v="695"/>
    <n v="98"/>
    <n v="83"/>
    <n v="710"/>
    <n v="84.7"/>
  </r>
  <r>
    <x v="0"/>
    <d v="2026-01-16T00:00:00"/>
    <s v="Fri"/>
    <s v="Weekday"/>
    <x v="7"/>
    <n v="656"/>
    <n v="73"/>
    <n v="62"/>
    <n v="667"/>
    <n v="84.9"/>
  </r>
  <r>
    <x v="0"/>
    <d v="2026-01-16T00:00:00"/>
    <s v="Fri"/>
    <s v="Weekday"/>
    <x v="8"/>
    <n v="736"/>
    <n v="145"/>
    <n v="96"/>
    <n v="785"/>
    <n v="66.2"/>
  </r>
  <r>
    <x v="0"/>
    <d v="2026-01-16T00:00:00"/>
    <s v="Fri"/>
    <s v="Weekday"/>
    <x v="9"/>
    <n v="392"/>
    <n v="55"/>
    <n v="44"/>
    <n v="403"/>
    <n v="80"/>
  </r>
  <r>
    <x v="0"/>
    <d v="2026-01-16T00:00:00"/>
    <s v="Fri"/>
    <s v="Weekday"/>
    <x v="10"/>
    <n v="1000"/>
    <n v="106"/>
    <n v="74"/>
    <n v="1032"/>
    <n v="69.8"/>
  </r>
  <r>
    <x v="0"/>
    <d v="2026-01-17T00:00:00"/>
    <s v="Sat"/>
    <s v="Weekend"/>
    <x v="0"/>
    <n v="883"/>
    <n v="57"/>
    <n v="37"/>
    <n v="903"/>
    <n v="64.900000000000006"/>
  </r>
  <r>
    <x v="0"/>
    <d v="2026-01-17T00:00:00"/>
    <s v="Sat"/>
    <s v="Weekend"/>
    <x v="1"/>
    <n v="661"/>
    <n v="31"/>
    <n v="22"/>
    <n v="670"/>
    <n v="71"/>
  </r>
  <r>
    <x v="0"/>
    <d v="2026-01-17T00:00:00"/>
    <s v="Sat"/>
    <s v="Weekend"/>
    <x v="2"/>
    <n v="857"/>
    <n v="43"/>
    <n v="32"/>
    <n v="868"/>
    <n v="74.400000000000006"/>
  </r>
  <r>
    <x v="0"/>
    <d v="2026-01-17T00:00:00"/>
    <s v="Sat"/>
    <s v="Weekend"/>
    <x v="3"/>
    <n v="622"/>
    <n v="29"/>
    <n v="22"/>
    <n v="629"/>
    <n v="75.900000000000006"/>
  </r>
  <r>
    <x v="0"/>
    <d v="2026-01-17T00:00:00"/>
    <s v="Sat"/>
    <s v="Weekend"/>
    <x v="4"/>
    <n v="763"/>
    <n v="82"/>
    <n v="51"/>
    <n v="794"/>
    <n v="62.2"/>
  </r>
  <r>
    <x v="0"/>
    <d v="2026-01-17T00:00:00"/>
    <s v="Sat"/>
    <s v="Weekend"/>
    <x v="5"/>
    <n v="632"/>
    <n v="42"/>
    <n v="35"/>
    <n v="639"/>
    <n v="83.3"/>
  </r>
  <r>
    <x v="0"/>
    <d v="2026-01-17T00:00:00"/>
    <s v="Sat"/>
    <s v="Weekend"/>
    <x v="6"/>
    <n v="710"/>
    <n v="43"/>
    <n v="33"/>
    <n v="720"/>
    <n v="76.7"/>
  </r>
  <r>
    <x v="0"/>
    <d v="2026-01-17T00:00:00"/>
    <s v="Sat"/>
    <s v="Weekend"/>
    <x v="7"/>
    <n v="667"/>
    <n v="41"/>
    <n v="33"/>
    <n v="675"/>
    <n v="80.5"/>
  </r>
  <r>
    <x v="0"/>
    <d v="2026-01-17T00:00:00"/>
    <s v="Sat"/>
    <s v="Weekend"/>
    <x v="8"/>
    <n v="785"/>
    <n v="55"/>
    <n v="45"/>
    <n v="795"/>
    <n v="81.8"/>
  </r>
  <r>
    <x v="0"/>
    <d v="2026-01-17T00:00:00"/>
    <s v="Sat"/>
    <s v="Weekend"/>
    <x v="9"/>
    <n v="403"/>
    <n v="26"/>
    <n v="20"/>
    <n v="409"/>
    <n v="76.900000000000006"/>
  </r>
  <r>
    <x v="0"/>
    <d v="2026-01-17T00:00:00"/>
    <s v="Sat"/>
    <s v="Weekend"/>
    <x v="10"/>
    <n v="1032"/>
    <n v="81"/>
    <n v="49"/>
    <n v="1064"/>
    <n v="60.5"/>
  </r>
  <r>
    <x v="0"/>
    <d v="2026-01-18T00:00:00"/>
    <s v="Sun"/>
    <s v="Weekend"/>
    <x v="0"/>
    <n v="903"/>
    <n v="36"/>
    <n v="24"/>
    <n v="915"/>
    <n v="66.7"/>
  </r>
  <r>
    <x v="0"/>
    <d v="2026-01-18T00:00:00"/>
    <s v="Sun"/>
    <s v="Weekend"/>
    <x v="1"/>
    <n v="670"/>
    <n v="43"/>
    <n v="34"/>
    <n v="679"/>
    <n v="79.099999999999994"/>
  </r>
  <r>
    <x v="0"/>
    <d v="2026-01-18T00:00:00"/>
    <s v="Sun"/>
    <s v="Weekend"/>
    <x v="2"/>
    <n v="868"/>
    <n v="51"/>
    <n v="32"/>
    <n v="887"/>
    <n v="62.7"/>
  </r>
  <r>
    <x v="0"/>
    <d v="2026-01-18T00:00:00"/>
    <s v="Sun"/>
    <s v="Weekend"/>
    <x v="3"/>
    <n v="629"/>
    <n v="59"/>
    <n v="56"/>
    <n v="632"/>
    <n v="94.9"/>
  </r>
  <r>
    <x v="0"/>
    <d v="2026-01-18T00:00:00"/>
    <s v="Sun"/>
    <s v="Weekend"/>
    <x v="4"/>
    <n v="794"/>
    <n v="40"/>
    <n v="32"/>
    <n v="802"/>
    <n v="80"/>
  </r>
  <r>
    <x v="0"/>
    <d v="2026-01-18T00:00:00"/>
    <s v="Sun"/>
    <s v="Weekend"/>
    <x v="5"/>
    <n v="639"/>
    <n v="36"/>
    <n v="30"/>
    <n v="645"/>
    <n v="83.3"/>
  </r>
  <r>
    <x v="0"/>
    <d v="2026-01-18T00:00:00"/>
    <s v="Sun"/>
    <s v="Weekend"/>
    <x v="6"/>
    <n v="720"/>
    <n v="65"/>
    <n v="51"/>
    <n v="734"/>
    <n v="78.5"/>
  </r>
  <r>
    <x v="0"/>
    <d v="2026-01-18T00:00:00"/>
    <s v="Sun"/>
    <s v="Weekend"/>
    <x v="7"/>
    <n v="675"/>
    <n v="49"/>
    <n v="42"/>
    <n v="682"/>
    <n v="85.7"/>
  </r>
  <r>
    <x v="0"/>
    <d v="2026-01-18T00:00:00"/>
    <s v="Sun"/>
    <s v="Weekend"/>
    <x v="8"/>
    <n v="795"/>
    <n v="42"/>
    <n v="32"/>
    <n v="805"/>
    <n v="76.2"/>
  </r>
  <r>
    <x v="0"/>
    <d v="2026-01-18T00:00:00"/>
    <s v="Sun"/>
    <s v="Weekend"/>
    <x v="9"/>
    <n v="409"/>
    <n v="50"/>
    <n v="39"/>
    <n v="420"/>
    <n v="78"/>
  </r>
  <r>
    <x v="0"/>
    <d v="2026-01-18T00:00:00"/>
    <s v="Sun"/>
    <s v="Weekend"/>
    <x v="10"/>
    <n v="1064"/>
    <n v="76"/>
    <n v="55"/>
    <n v="1085"/>
    <n v="72.400000000000006"/>
  </r>
  <r>
    <x v="0"/>
    <d v="2026-01-19T00:00:00"/>
    <s v="Mon"/>
    <s v="Weekday"/>
    <x v="0"/>
    <n v="915"/>
    <n v="90"/>
    <n v="70"/>
    <n v="935"/>
    <n v="77.8"/>
  </r>
  <r>
    <x v="0"/>
    <d v="2026-01-19T00:00:00"/>
    <s v="Mon"/>
    <s v="Weekday"/>
    <x v="1"/>
    <n v="679"/>
    <n v="116"/>
    <n v="86"/>
    <n v="709"/>
    <n v="74.099999999999994"/>
  </r>
  <r>
    <x v="0"/>
    <d v="2026-01-19T00:00:00"/>
    <s v="Mon"/>
    <s v="Weekday"/>
    <x v="2"/>
    <n v="887"/>
    <n v="131"/>
    <n v="92"/>
    <n v="926"/>
    <n v="70.2"/>
  </r>
  <r>
    <x v="0"/>
    <d v="2026-01-19T00:00:00"/>
    <s v="Mon"/>
    <s v="Weekday"/>
    <x v="3"/>
    <n v="632"/>
    <n v="115"/>
    <n v="89"/>
    <n v="658"/>
    <n v="77.400000000000006"/>
  </r>
  <r>
    <x v="0"/>
    <d v="2026-01-19T00:00:00"/>
    <s v="Mon"/>
    <s v="Weekday"/>
    <x v="4"/>
    <n v="802"/>
    <n v="176"/>
    <n v="143"/>
    <n v="835"/>
    <n v="81.2"/>
  </r>
  <r>
    <x v="0"/>
    <d v="2026-01-19T00:00:00"/>
    <s v="Mon"/>
    <s v="Weekday"/>
    <x v="5"/>
    <n v="645"/>
    <n v="62"/>
    <n v="48"/>
    <n v="659"/>
    <n v="77.400000000000006"/>
  </r>
  <r>
    <x v="0"/>
    <d v="2026-01-19T00:00:00"/>
    <s v="Mon"/>
    <s v="Weekday"/>
    <x v="6"/>
    <n v="734"/>
    <n v="84"/>
    <n v="66"/>
    <n v="752"/>
    <n v="78.599999999999994"/>
  </r>
  <r>
    <x v="0"/>
    <d v="2026-01-19T00:00:00"/>
    <s v="Mon"/>
    <s v="Weekday"/>
    <x v="7"/>
    <n v="682"/>
    <n v="78"/>
    <n v="62"/>
    <n v="698"/>
    <n v="79.5"/>
  </r>
  <r>
    <x v="0"/>
    <d v="2026-01-19T00:00:00"/>
    <s v="Mon"/>
    <s v="Weekday"/>
    <x v="8"/>
    <n v="805"/>
    <n v="139"/>
    <n v="112"/>
    <n v="832"/>
    <n v="80.599999999999994"/>
  </r>
  <r>
    <x v="0"/>
    <d v="2026-01-19T00:00:00"/>
    <s v="Mon"/>
    <s v="Weekday"/>
    <x v="9"/>
    <n v="420"/>
    <n v="85"/>
    <n v="75"/>
    <n v="430"/>
    <n v="88.2"/>
  </r>
  <r>
    <x v="0"/>
    <d v="2026-01-19T00:00:00"/>
    <s v="Mon"/>
    <s v="Weekday"/>
    <x v="10"/>
    <n v="1085"/>
    <n v="165"/>
    <n v="110"/>
    <n v="1140"/>
    <n v="66.7"/>
  </r>
  <r>
    <x v="0"/>
    <d v="2026-01-20T00:00:00"/>
    <s v="Tue"/>
    <s v="Weekday"/>
    <x v="0"/>
    <n v="935"/>
    <n v="126"/>
    <n v="86"/>
    <n v="975"/>
    <n v="68.3"/>
  </r>
  <r>
    <x v="0"/>
    <d v="2026-01-20T00:00:00"/>
    <s v="Tue"/>
    <s v="Weekday"/>
    <x v="1"/>
    <n v="709"/>
    <n v="76"/>
    <n v="57"/>
    <n v="728"/>
    <n v="75"/>
  </r>
  <r>
    <x v="0"/>
    <d v="2026-01-20T00:00:00"/>
    <s v="Tue"/>
    <s v="Weekday"/>
    <x v="2"/>
    <n v="926"/>
    <n v="102"/>
    <n v="69"/>
    <n v="959"/>
    <n v="67.599999999999994"/>
  </r>
  <r>
    <x v="0"/>
    <d v="2026-01-20T00:00:00"/>
    <s v="Tue"/>
    <s v="Weekday"/>
    <x v="3"/>
    <n v="658"/>
    <n v="67"/>
    <n v="51"/>
    <n v="674"/>
    <n v="76.099999999999994"/>
  </r>
  <r>
    <x v="0"/>
    <d v="2026-01-20T00:00:00"/>
    <s v="Tue"/>
    <s v="Weekday"/>
    <x v="4"/>
    <n v="835"/>
    <n v="146"/>
    <n v="91"/>
    <n v="890"/>
    <n v="62.3"/>
  </r>
  <r>
    <x v="0"/>
    <d v="2026-01-20T00:00:00"/>
    <s v="Tue"/>
    <s v="Weekday"/>
    <x v="5"/>
    <n v="659"/>
    <n v="108"/>
    <n v="81"/>
    <n v="686"/>
    <n v="75"/>
  </r>
  <r>
    <x v="0"/>
    <d v="2026-01-20T00:00:00"/>
    <s v="Tue"/>
    <s v="Weekday"/>
    <x v="6"/>
    <n v="752"/>
    <n v="121"/>
    <n v="91"/>
    <n v="782"/>
    <n v="75.2"/>
  </r>
  <r>
    <x v="0"/>
    <d v="2026-01-20T00:00:00"/>
    <s v="Tue"/>
    <s v="Weekday"/>
    <x v="7"/>
    <n v="698"/>
    <n v="81"/>
    <n v="66"/>
    <n v="713"/>
    <n v="81.5"/>
  </r>
  <r>
    <x v="0"/>
    <d v="2026-01-20T00:00:00"/>
    <s v="Tue"/>
    <s v="Weekday"/>
    <x v="8"/>
    <n v="832"/>
    <n v="96"/>
    <n v="80"/>
    <n v="848"/>
    <n v="83.3"/>
  </r>
  <r>
    <x v="0"/>
    <d v="2026-01-20T00:00:00"/>
    <s v="Tue"/>
    <s v="Weekday"/>
    <x v="9"/>
    <n v="430"/>
    <n v="71"/>
    <n v="63"/>
    <n v="438"/>
    <n v="88.7"/>
  </r>
  <r>
    <x v="0"/>
    <d v="2026-01-20T00:00:00"/>
    <s v="Tue"/>
    <s v="Weekday"/>
    <x v="10"/>
    <n v="1140"/>
    <n v="165"/>
    <n v="107"/>
    <n v="1198"/>
    <n v="64.8"/>
  </r>
  <r>
    <x v="0"/>
    <d v="2026-01-21T00:00:00"/>
    <s v="Wed"/>
    <s v="Weekday"/>
    <x v="0"/>
    <n v="975"/>
    <n v="110"/>
    <n v="71"/>
    <n v="1014"/>
    <n v="64.5"/>
  </r>
  <r>
    <x v="0"/>
    <d v="2026-01-21T00:00:00"/>
    <s v="Wed"/>
    <s v="Weekday"/>
    <x v="1"/>
    <n v="728"/>
    <n v="75"/>
    <n v="55"/>
    <n v="748"/>
    <n v="73.3"/>
  </r>
  <r>
    <x v="0"/>
    <d v="2026-01-21T00:00:00"/>
    <s v="Wed"/>
    <s v="Weekday"/>
    <x v="2"/>
    <n v="959"/>
    <n v="102"/>
    <n v="75"/>
    <n v="986"/>
    <n v="73.5"/>
  </r>
  <r>
    <x v="0"/>
    <d v="2026-01-21T00:00:00"/>
    <s v="Wed"/>
    <s v="Weekday"/>
    <x v="3"/>
    <n v="674"/>
    <n v="113"/>
    <n v="96"/>
    <n v="691"/>
    <n v="85"/>
  </r>
  <r>
    <x v="0"/>
    <d v="2026-01-21T00:00:00"/>
    <s v="Wed"/>
    <s v="Weekday"/>
    <x v="4"/>
    <n v="890"/>
    <n v="145"/>
    <n v="110"/>
    <n v="925"/>
    <n v="75.900000000000006"/>
  </r>
  <r>
    <x v="0"/>
    <d v="2026-01-21T00:00:00"/>
    <s v="Wed"/>
    <s v="Weekday"/>
    <x v="5"/>
    <n v="686"/>
    <n v="61"/>
    <n v="43"/>
    <n v="704"/>
    <n v="70.5"/>
  </r>
  <r>
    <x v="0"/>
    <d v="2026-01-21T00:00:00"/>
    <s v="Wed"/>
    <s v="Weekday"/>
    <x v="6"/>
    <n v="782"/>
    <n v="124"/>
    <n v="89"/>
    <n v="817"/>
    <n v="71.8"/>
  </r>
  <r>
    <x v="0"/>
    <d v="2026-01-21T00:00:00"/>
    <s v="Wed"/>
    <s v="Weekday"/>
    <x v="7"/>
    <n v="713"/>
    <n v="91"/>
    <n v="66"/>
    <n v="738"/>
    <n v="72.5"/>
  </r>
  <r>
    <x v="0"/>
    <d v="2026-01-21T00:00:00"/>
    <s v="Wed"/>
    <s v="Weekday"/>
    <x v="8"/>
    <n v="848"/>
    <n v="115"/>
    <n v="73"/>
    <n v="890"/>
    <n v="63.5"/>
  </r>
  <r>
    <x v="0"/>
    <d v="2026-01-21T00:00:00"/>
    <s v="Wed"/>
    <s v="Weekday"/>
    <x v="9"/>
    <n v="438"/>
    <n v="81"/>
    <n v="67"/>
    <n v="452"/>
    <n v="82.7"/>
  </r>
  <r>
    <x v="0"/>
    <d v="2026-01-21T00:00:00"/>
    <s v="Wed"/>
    <s v="Weekday"/>
    <x v="10"/>
    <n v="1198"/>
    <n v="105"/>
    <n v="69"/>
    <n v="1234"/>
    <n v="65.7"/>
  </r>
  <r>
    <x v="0"/>
    <d v="2026-01-22T00:00:00"/>
    <s v="Thu"/>
    <s v="Weekday"/>
    <x v="0"/>
    <n v="1014"/>
    <n v="95"/>
    <n v="79"/>
    <n v="1030"/>
    <n v="83.2"/>
  </r>
  <r>
    <x v="0"/>
    <d v="2026-01-22T00:00:00"/>
    <s v="Thu"/>
    <s v="Weekday"/>
    <x v="1"/>
    <n v="748"/>
    <n v="95"/>
    <n v="74"/>
    <n v="769"/>
    <n v="77.900000000000006"/>
  </r>
  <r>
    <x v="0"/>
    <d v="2026-01-22T00:00:00"/>
    <s v="Thu"/>
    <s v="Weekday"/>
    <x v="2"/>
    <n v="986"/>
    <n v="96"/>
    <n v="74"/>
    <n v="1008"/>
    <n v="77.099999999999994"/>
  </r>
  <r>
    <x v="0"/>
    <d v="2026-01-22T00:00:00"/>
    <s v="Thu"/>
    <s v="Weekday"/>
    <x v="3"/>
    <n v="691"/>
    <n v="105"/>
    <n v="84"/>
    <n v="712"/>
    <n v="80"/>
  </r>
  <r>
    <x v="0"/>
    <d v="2026-01-22T00:00:00"/>
    <s v="Thu"/>
    <s v="Weekday"/>
    <x v="4"/>
    <n v="925"/>
    <n v="139"/>
    <n v="95"/>
    <n v="969"/>
    <n v="68.3"/>
  </r>
  <r>
    <x v="0"/>
    <d v="2026-01-22T00:00:00"/>
    <s v="Thu"/>
    <s v="Weekday"/>
    <x v="5"/>
    <n v="704"/>
    <n v="88"/>
    <n v="76"/>
    <n v="716"/>
    <n v="86.4"/>
  </r>
  <r>
    <x v="0"/>
    <d v="2026-01-22T00:00:00"/>
    <s v="Thu"/>
    <s v="Weekday"/>
    <x v="6"/>
    <n v="817"/>
    <n v="118"/>
    <n v="84"/>
    <n v="851"/>
    <n v="71.2"/>
  </r>
  <r>
    <x v="0"/>
    <d v="2026-01-22T00:00:00"/>
    <s v="Thu"/>
    <s v="Weekday"/>
    <x v="7"/>
    <n v="738"/>
    <n v="107"/>
    <n v="74"/>
    <n v="771"/>
    <n v="69.2"/>
  </r>
  <r>
    <x v="0"/>
    <d v="2026-01-22T00:00:00"/>
    <s v="Thu"/>
    <s v="Weekday"/>
    <x v="8"/>
    <n v="890"/>
    <n v="124"/>
    <n v="88"/>
    <n v="926"/>
    <n v="71"/>
  </r>
  <r>
    <x v="0"/>
    <d v="2026-01-22T00:00:00"/>
    <s v="Thu"/>
    <s v="Weekday"/>
    <x v="9"/>
    <n v="452"/>
    <n v="67"/>
    <n v="58"/>
    <n v="461"/>
    <n v="86.6"/>
  </r>
  <r>
    <x v="0"/>
    <d v="2026-01-22T00:00:00"/>
    <s v="Thu"/>
    <s v="Weekday"/>
    <x v="10"/>
    <n v="1234"/>
    <n v="122"/>
    <n v="89"/>
    <n v="1267"/>
    <n v="73"/>
  </r>
  <r>
    <x v="0"/>
    <d v="2026-01-23T00:00:00"/>
    <s v="Fri"/>
    <s v="Weekday"/>
    <x v="0"/>
    <n v="1030"/>
    <n v="108"/>
    <n v="72"/>
    <n v="1066"/>
    <n v="66.7"/>
  </r>
  <r>
    <x v="0"/>
    <d v="2026-01-23T00:00:00"/>
    <s v="Fri"/>
    <s v="Weekday"/>
    <x v="1"/>
    <n v="769"/>
    <n v="98"/>
    <n v="86"/>
    <n v="781"/>
    <n v="87.8"/>
  </r>
  <r>
    <x v="0"/>
    <d v="2026-01-23T00:00:00"/>
    <s v="Fri"/>
    <s v="Weekday"/>
    <x v="2"/>
    <n v="1008"/>
    <n v="114"/>
    <n v="80"/>
    <n v="1042"/>
    <n v="70.2"/>
  </r>
  <r>
    <x v="0"/>
    <d v="2026-01-23T00:00:00"/>
    <s v="Fri"/>
    <s v="Weekday"/>
    <x v="3"/>
    <n v="712"/>
    <n v="96"/>
    <n v="85"/>
    <n v="723"/>
    <n v="88.5"/>
  </r>
  <r>
    <x v="0"/>
    <d v="2026-01-23T00:00:00"/>
    <s v="Fri"/>
    <s v="Weekday"/>
    <x v="4"/>
    <n v="969"/>
    <n v="168"/>
    <n v="127"/>
    <n v="1010"/>
    <n v="75.599999999999994"/>
  </r>
  <r>
    <x v="0"/>
    <d v="2026-01-23T00:00:00"/>
    <s v="Fri"/>
    <s v="Weekday"/>
    <x v="5"/>
    <n v="716"/>
    <n v="54"/>
    <n v="39"/>
    <n v="731"/>
    <n v="72.2"/>
  </r>
  <r>
    <x v="0"/>
    <d v="2026-01-23T00:00:00"/>
    <s v="Fri"/>
    <s v="Weekday"/>
    <x v="6"/>
    <n v="851"/>
    <n v="86"/>
    <n v="75"/>
    <n v="862"/>
    <n v="87.2"/>
  </r>
  <r>
    <x v="0"/>
    <d v="2026-01-23T00:00:00"/>
    <s v="Fri"/>
    <s v="Weekday"/>
    <x v="7"/>
    <n v="771"/>
    <n v="67"/>
    <n v="52"/>
    <n v="786"/>
    <n v="77.599999999999994"/>
  </r>
  <r>
    <x v="0"/>
    <d v="2026-01-23T00:00:00"/>
    <s v="Fri"/>
    <s v="Weekday"/>
    <x v="8"/>
    <n v="926"/>
    <n v="124"/>
    <n v="101"/>
    <n v="949"/>
    <n v="81.5"/>
  </r>
  <r>
    <x v="0"/>
    <d v="2026-01-23T00:00:00"/>
    <s v="Fri"/>
    <s v="Weekday"/>
    <x v="9"/>
    <n v="461"/>
    <n v="56"/>
    <n v="46"/>
    <n v="471"/>
    <n v="82.1"/>
  </r>
  <r>
    <x v="0"/>
    <d v="2026-01-23T00:00:00"/>
    <s v="Fri"/>
    <s v="Weekday"/>
    <x v="10"/>
    <n v="1267"/>
    <n v="99"/>
    <n v="64"/>
    <n v="1302"/>
    <n v="64.599999999999994"/>
  </r>
  <r>
    <x v="0"/>
    <d v="2026-01-24T00:00:00"/>
    <s v="Sat"/>
    <s v="Weekend"/>
    <x v="0"/>
    <n v="1066"/>
    <n v="74"/>
    <n v="50"/>
    <n v="1090"/>
    <n v="67.599999999999994"/>
  </r>
  <r>
    <x v="0"/>
    <d v="2026-01-24T00:00:00"/>
    <s v="Sat"/>
    <s v="Weekend"/>
    <x v="1"/>
    <n v="781"/>
    <n v="53"/>
    <n v="43"/>
    <n v="791"/>
    <n v="81.099999999999994"/>
  </r>
  <r>
    <x v="0"/>
    <d v="2026-01-24T00:00:00"/>
    <s v="Sat"/>
    <s v="Weekend"/>
    <x v="2"/>
    <n v="1042"/>
    <n v="78"/>
    <n v="49"/>
    <n v="1071"/>
    <n v="62.8"/>
  </r>
  <r>
    <x v="0"/>
    <d v="2026-01-24T00:00:00"/>
    <s v="Sat"/>
    <s v="Weekend"/>
    <x v="3"/>
    <n v="723"/>
    <n v="29"/>
    <n v="21"/>
    <n v="731"/>
    <n v="72.400000000000006"/>
  </r>
  <r>
    <x v="0"/>
    <d v="2026-01-24T00:00:00"/>
    <s v="Sat"/>
    <s v="Weekend"/>
    <x v="4"/>
    <n v="1010"/>
    <n v="53"/>
    <n v="34"/>
    <n v="1029"/>
    <n v="64.2"/>
  </r>
  <r>
    <x v="0"/>
    <d v="2026-01-24T00:00:00"/>
    <s v="Sat"/>
    <s v="Weekend"/>
    <x v="5"/>
    <n v="731"/>
    <n v="28"/>
    <n v="24"/>
    <n v="735"/>
    <n v="85.7"/>
  </r>
  <r>
    <x v="0"/>
    <d v="2026-01-24T00:00:00"/>
    <s v="Sat"/>
    <s v="Weekend"/>
    <x v="6"/>
    <n v="862"/>
    <n v="67"/>
    <n v="52"/>
    <n v="877"/>
    <n v="77.599999999999994"/>
  </r>
  <r>
    <x v="0"/>
    <d v="2026-01-24T00:00:00"/>
    <s v="Sat"/>
    <s v="Weekend"/>
    <x v="7"/>
    <n v="786"/>
    <n v="49"/>
    <n v="40"/>
    <n v="795"/>
    <n v="81.599999999999994"/>
  </r>
  <r>
    <x v="0"/>
    <d v="2026-01-24T00:00:00"/>
    <s v="Sat"/>
    <s v="Weekend"/>
    <x v="8"/>
    <n v="949"/>
    <n v="60"/>
    <n v="49"/>
    <n v="960"/>
    <n v="81.7"/>
  </r>
  <r>
    <x v="0"/>
    <d v="2026-01-24T00:00:00"/>
    <s v="Sat"/>
    <s v="Weekend"/>
    <x v="9"/>
    <n v="471"/>
    <n v="30"/>
    <n v="25"/>
    <n v="476"/>
    <n v="83.3"/>
  </r>
  <r>
    <x v="0"/>
    <d v="2026-01-24T00:00:00"/>
    <s v="Sat"/>
    <s v="Weekend"/>
    <x v="10"/>
    <n v="1302"/>
    <n v="64"/>
    <n v="41"/>
    <n v="1325"/>
    <n v="64.099999999999994"/>
  </r>
  <r>
    <x v="0"/>
    <d v="2026-01-25T00:00:00"/>
    <s v="Sun"/>
    <s v="Weekend"/>
    <x v="0"/>
    <n v="1090"/>
    <n v="65"/>
    <n v="54"/>
    <n v="1101"/>
    <n v="83.1"/>
  </r>
  <r>
    <x v="0"/>
    <d v="2026-01-25T00:00:00"/>
    <s v="Sun"/>
    <s v="Weekend"/>
    <x v="1"/>
    <n v="791"/>
    <n v="34"/>
    <n v="30"/>
    <n v="795"/>
    <n v="88.2"/>
  </r>
  <r>
    <x v="0"/>
    <d v="2026-01-25T00:00:00"/>
    <s v="Sun"/>
    <s v="Weekend"/>
    <x v="2"/>
    <n v="1071"/>
    <n v="77"/>
    <n v="53"/>
    <n v="1095"/>
    <n v="68.8"/>
  </r>
  <r>
    <x v="0"/>
    <d v="2026-01-25T00:00:00"/>
    <s v="Sun"/>
    <s v="Weekend"/>
    <x v="3"/>
    <n v="731"/>
    <n v="59"/>
    <n v="51"/>
    <n v="739"/>
    <n v="86.4"/>
  </r>
  <r>
    <x v="0"/>
    <d v="2026-01-25T00:00:00"/>
    <s v="Sun"/>
    <s v="Weekend"/>
    <x v="4"/>
    <n v="1029"/>
    <n v="41"/>
    <n v="30"/>
    <n v="1040"/>
    <n v="73.2"/>
  </r>
  <r>
    <x v="0"/>
    <d v="2026-01-25T00:00:00"/>
    <s v="Sun"/>
    <s v="Weekend"/>
    <x v="5"/>
    <n v="735"/>
    <n v="38"/>
    <n v="32"/>
    <n v="741"/>
    <n v="84.2"/>
  </r>
  <r>
    <x v="0"/>
    <d v="2026-01-25T00:00:00"/>
    <s v="Sun"/>
    <s v="Weekend"/>
    <x v="6"/>
    <n v="877"/>
    <n v="53"/>
    <n v="48"/>
    <n v="882"/>
    <n v="90.6"/>
  </r>
  <r>
    <x v="0"/>
    <d v="2026-01-25T00:00:00"/>
    <s v="Sun"/>
    <s v="Weekend"/>
    <x v="7"/>
    <n v="795"/>
    <n v="44"/>
    <n v="37"/>
    <n v="802"/>
    <n v="84.1"/>
  </r>
  <r>
    <x v="0"/>
    <d v="2026-01-25T00:00:00"/>
    <s v="Sun"/>
    <s v="Weekend"/>
    <x v="8"/>
    <n v="960"/>
    <n v="70"/>
    <n v="53"/>
    <n v="977"/>
    <n v="75.7"/>
  </r>
  <r>
    <x v="0"/>
    <d v="2026-01-25T00:00:00"/>
    <s v="Sun"/>
    <s v="Weekend"/>
    <x v="9"/>
    <n v="476"/>
    <n v="42"/>
    <n v="37"/>
    <n v="481"/>
    <n v="88.1"/>
  </r>
  <r>
    <x v="0"/>
    <d v="2026-01-25T00:00:00"/>
    <s v="Sun"/>
    <s v="Weekend"/>
    <x v="10"/>
    <n v="1325"/>
    <n v="50"/>
    <n v="32"/>
    <n v="1343"/>
    <n v="64"/>
  </r>
  <r>
    <x v="0"/>
    <d v="2026-01-26T00:00:00"/>
    <s v="Mon"/>
    <s v="Weekday"/>
    <x v="0"/>
    <n v="1101"/>
    <n v="102"/>
    <n v="69"/>
    <n v="1134"/>
    <n v="67.599999999999994"/>
  </r>
  <r>
    <x v="0"/>
    <d v="2026-01-26T00:00:00"/>
    <s v="Mon"/>
    <s v="Weekday"/>
    <x v="1"/>
    <n v="795"/>
    <n v="112"/>
    <n v="97"/>
    <n v="810"/>
    <n v="86.6"/>
  </r>
  <r>
    <x v="0"/>
    <d v="2026-01-26T00:00:00"/>
    <s v="Mon"/>
    <s v="Weekday"/>
    <x v="2"/>
    <n v="1095"/>
    <n v="99"/>
    <n v="66"/>
    <n v="1128"/>
    <n v="66.7"/>
  </r>
  <r>
    <x v="0"/>
    <d v="2026-01-26T00:00:00"/>
    <s v="Mon"/>
    <s v="Weekday"/>
    <x v="3"/>
    <n v="739"/>
    <n v="96"/>
    <n v="84"/>
    <n v="751"/>
    <n v="87.5"/>
  </r>
  <r>
    <x v="0"/>
    <d v="2026-01-26T00:00:00"/>
    <s v="Mon"/>
    <s v="Weekday"/>
    <x v="4"/>
    <n v="1040"/>
    <n v="117"/>
    <n v="88"/>
    <n v="1069"/>
    <n v="75.2"/>
  </r>
  <r>
    <x v="0"/>
    <d v="2026-01-26T00:00:00"/>
    <s v="Mon"/>
    <s v="Weekday"/>
    <x v="5"/>
    <n v="741"/>
    <n v="93"/>
    <n v="66"/>
    <n v="768"/>
    <n v="71"/>
  </r>
  <r>
    <x v="0"/>
    <d v="2026-01-26T00:00:00"/>
    <s v="Mon"/>
    <s v="Weekday"/>
    <x v="6"/>
    <n v="882"/>
    <n v="137"/>
    <n v="114"/>
    <n v="905"/>
    <n v="83.2"/>
  </r>
  <r>
    <x v="0"/>
    <d v="2026-01-26T00:00:00"/>
    <s v="Mon"/>
    <s v="Weekday"/>
    <x v="7"/>
    <n v="802"/>
    <n v="113"/>
    <n v="81"/>
    <n v="834"/>
    <n v="71.7"/>
  </r>
  <r>
    <x v="0"/>
    <d v="2026-01-26T00:00:00"/>
    <s v="Mon"/>
    <s v="Weekday"/>
    <x v="8"/>
    <n v="977"/>
    <n v="152"/>
    <n v="112"/>
    <n v="1017"/>
    <n v="73.7"/>
  </r>
  <r>
    <x v="0"/>
    <d v="2026-01-26T00:00:00"/>
    <s v="Mon"/>
    <s v="Weekday"/>
    <x v="9"/>
    <n v="481"/>
    <n v="76"/>
    <n v="69"/>
    <n v="488"/>
    <n v="90.8"/>
  </r>
  <r>
    <x v="0"/>
    <d v="2026-01-26T00:00:00"/>
    <s v="Mon"/>
    <s v="Weekday"/>
    <x v="10"/>
    <n v="1343"/>
    <n v="148"/>
    <n v="115"/>
    <n v="1376"/>
    <n v="77.7"/>
  </r>
  <r>
    <x v="0"/>
    <d v="2026-01-27T00:00:00"/>
    <s v="Tue"/>
    <s v="Weekday"/>
    <x v="0"/>
    <n v="1134"/>
    <n v="98"/>
    <n v="74"/>
    <n v="1158"/>
    <n v="75.5"/>
  </r>
  <r>
    <x v="0"/>
    <d v="2026-01-27T00:00:00"/>
    <s v="Tue"/>
    <s v="Weekday"/>
    <x v="1"/>
    <n v="810"/>
    <n v="129"/>
    <n v="91"/>
    <n v="848"/>
    <n v="70.5"/>
  </r>
  <r>
    <x v="0"/>
    <d v="2026-01-27T00:00:00"/>
    <s v="Tue"/>
    <s v="Weekday"/>
    <x v="2"/>
    <n v="1128"/>
    <n v="107"/>
    <n v="68"/>
    <n v="1167"/>
    <n v="63.6"/>
  </r>
  <r>
    <x v="0"/>
    <d v="2026-01-27T00:00:00"/>
    <s v="Tue"/>
    <s v="Weekday"/>
    <x v="3"/>
    <n v="751"/>
    <n v="111"/>
    <n v="103"/>
    <n v="759"/>
    <n v="92.8"/>
  </r>
  <r>
    <x v="0"/>
    <d v="2026-01-27T00:00:00"/>
    <s v="Tue"/>
    <s v="Weekday"/>
    <x v="4"/>
    <n v="1069"/>
    <n v="121"/>
    <n v="96"/>
    <n v="1094"/>
    <n v="79.3"/>
  </r>
  <r>
    <x v="0"/>
    <d v="2026-01-27T00:00:00"/>
    <s v="Tue"/>
    <s v="Weekday"/>
    <x v="5"/>
    <n v="768"/>
    <n v="93"/>
    <n v="75"/>
    <n v="786"/>
    <n v="80.599999999999994"/>
  </r>
  <r>
    <x v="0"/>
    <d v="2026-01-27T00:00:00"/>
    <s v="Tue"/>
    <s v="Weekday"/>
    <x v="6"/>
    <n v="905"/>
    <n v="97"/>
    <n v="86"/>
    <n v="916"/>
    <n v="88.7"/>
  </r>
  <r>
    <x v="0"/>
    <d v="2026-01-27T00:00:00"/>
    <s v="Tue"/>
    <s v="Weekday"/>
    <x v="7"/>
    <n v="834"/>
    <n v="121"/>
    <n v="86"/>
    <n v="869"/>
    <n v="71.099999999999994"/>
  </r>
  <r>
    <x v="0"/>
    <d v="2026-01-27T00:00:00"/>
    <s v="Tue"/>
    <s v="Weekday"/>
    <x v="8"/>
    <n v="1017"/>
    <n v="150"/>
    <n v="126"/>
    <n v="1041"/>
    <n v="84"/>
  </r>
  <r>
    <x v="0"/>
    <d v="2026-01-27T00:00:00"/>
    <s v="Tue"/>
    <s v="Weekday"/>
    <x v="9"/>
    <n v="488"/>
    <n v="96"/>
    <n v="79"/>
    <n v="505"/>
    <n v="82.3"/>
  </r>
  <r>
    <x v="0"/>
    <d v="2026-01-27T00:00:00"/>
    <s v="Tue"/>
    <s v="Weekday"/>
    <x v="10"/>
    <n v="1376"/>
    <n v="157"/>
    <n v="127"/>
    <n v="1406"/>
    <n v="80.900000000000006"/>
  </r>
  <r>
    <x v="0"/>
    <d v="2026-01-28T00:00:00"/>
    <s v="Wed"/>
    <s v="Weekday"/>
    <x v="0"/>
    <n v="1158"/>
    <n v="88"/>
    <n v="70"/>
    <n v="1176"/>
    <n v="79.5"/>
  </r>
  <r>
    <x v="0"/>
    <d v="2026-01-28T00:00:00"/>
    <s v="Wed"/>
    <s v="Weekday"/>
    <x v="1"/>
    <n v="848"/>
    <n v="117"/>
    <n v="96"/>
    <n v="869"/>
    <n v="82.1"/>
  </r>
  <r>
    <x v="0"/>
    <d v="2026-01-28T00:00:00"/>
    <s v="Wed"/>
    <s v="Weekday"/>
    <x v="2"/>
    <n v="1167"/>
    <n v="140"/>
    <n v="94"/>
    <n v="1213"/>
    <n v="67.099999999999994"/>
  </r>
  <r>
    <x v="0"/>
    <d v="2026-01-28T00:00:00"/>
    <s v="Wed"/>
    <s v="Weekday"/>
    <x v="3"/>
    <n v="759"/>
    <n v="63"/>
    <n v="57"/>
    <n v="765"/>
    <n v="90.5"/>
  </r>
  <r>
    <x v="0"/>
    <d v="2026-01-28T00:00:00"/>
    <s v="Wed"/>
    <s v="Weekday"/>
    <x v="4"/>
    <n v="1094"/>
    <n v="154"/>
    <n v="121"/>
    <n v="1127"/>
    <n v="78.599999999999994"/>
  </r>
  <r>
    <x v="0"/>
    <d v="2026-01-28T00:00:00"/>
    <s v="Wed"/>
    <s v="Weekday"/>
    <x v="5"/>
    <n v="786"/>
    <n v="94"/>
    <n v="65"/>
    <n v="815"/>
    <n v="69.099999999999994"/>
  </r>
  <r>
    <x v="0"/>
    <d v="2026-01-28T00:00:00"/>
    <s v="Wed"/>
    <s v="Weekday"/>
    <x v="6"/>
    <n v="916"/>
    <n v="116"/>
    <n v="97"/>
    <n v="935"/>
    <n v="83.6"/>
  </r>
  <r>
    <x v="0"/>
    <d v="2026-01-28T00:00:00"/>
    <s v="Wed"/>
    <s v="Weekday"/>
    <x v="7"/>
    <n v="869"/>
    <n v="94"/>
    <n v="62"/>
    <n v="901"/>
    <n v="66"/>
  </r>
  <r>
    <x v="0"/>
    <d v="2026-01-28T00:00:00"/>
    <s v="Wed"/>
    <s v="Weekday"/>
    <x v="8"/>
    <n v="1041"/>
    <n v="99"/>
    <n v="64"/>
    <n v="1076"/>
    <n v="64.599999999999994"/>
  </r>
  <r>
    <x v="0"/>
    <d v="2026-01-28T00:00:00"/>
    <s v="Wed"/>
    <s v="Weekday"/>
    <x v="9"/>
    <n v="505"/>
    <n v="100"/>
    <n v="89"/>
    <n v="516"/>
    <n v="89"/>
  </r>
  <r>
    <x v="0"/>
    <d v="2026-01-28T00:00:00"/>
    <s v="Wed"/>
    <s v="Weekday"/>
    <x v="10"/>
    <n v="1406"/>
    <n v="141"/>
    <n v="96"/>
    <n v="1451"/>
    <n v="68.099999999999994"/>
  </r>
  <r>
    <x v="0"/>
    <d v="2026-01-29T00:00:00"/>
    <s v="Thu"/>
    <s v="Weekday"/>
    <x v="0"/>
    <n v="1176"/>
    <n v="109"/>
    <n v="71"/>
    <n v="1214"/>
    <n v="65.099999999999994"/>
  </r>
  <r>
    <x v="0"/>
    <d v="2026-01-29T00:00:00"/>
    <s v="Thu"/>
    <s v="Weekday"/>
    <x v="1"/>
    <n v="869"/>
    <n v="81"/>
    <n v="60"/>
    <n v="890"/>
    <n v="74.099999999999994"/>
  </r>
  <r>
    <x v="0"/>
    <d v="2026-01-29T00:00:00"/>
    <s v="Thu"/>
    <s v="Weekday"/>
    <x v="2"/>
    <n v="1213"/>
    <n v="147"/>
    <n v="94"/>
    <n v="1266"/>
    <n v="63.9"/>
  </r>
  <r>
    <x v="0"/>
    <d v="2026-01-29T00:00:00"/>
    <s v="Thu"/>
    <s v="Weekday"/>
    <x v="3"/>
    <n v="765"/>
    <n v="112"/>
    <n v="105"/>
    <n v="772"/>
    <n v="93.8"/>
  </r>
  <r>
    <x v="0"/>
    <d v="2026-01-29T00:00:00"/>
    <s v="Thu"/>
    <s v="Weekday"/>
    <x v="4"/>
    <n v="1127"/>
    <n v="160"/>
    <n v="126"/>
    <n v="1161"/>
    <n v="78.8"/>
  </r>
  <r>
    <x v="0"/>
    <d v="2026-01-29T00:00:00"/>
    <s v="Thu"/>
    <s v="Weekday"/>
    <x v="5"/>
    <n v="815"/>
    <n v="90"/>
    <n v="61"/>
    <n v="844"/>
    <n v="67.8"/>
  </r>
  <r>
    <x v="0"/>
    <d v="2026-01-29T00:00:00"/>
    <s v="Thu"/>
    <s v="Weekday"/>
    <x v="6"/>
    <n v="935"/>
    <n v="119"/>
    <n v="105"/>
    <n v="949"/>
    <n v="88.2"/>
  </r>
  <r>
    <x v="0"/>
    <d v="2026-01-29T00:00:00"/>
    <s v="Thu"/>
    <s v="Weekday"/>
    <x v="7"/>
    <n v="901"/>
    <n v="124"/>
    <n v="85"/>
    <n v="940"/>
    <n v="68.5"/>
  </r>
  <r>
    <x v="0"/>
    <d v="2026-01-29T00:00:00"/>
    <s v="Thu"/>
    <s v="Weekday"/>
    <x v="8"/>
    <n v="1076"/>
    <n v="119"/>
    <n v="87"/>
    <n v="1108"/>
    <n v="73.099999999999994"/>
  </r>
  <r>
    <x v="0"/>
    <d v="2026-01-29T00:00:00"/>
    <s v="Thu"/>
    <s v="Weekday"/>
    <x v="9"/>
    <n v="516"/>
    <n v="89"/>
    <n v="78"/>
    <n v="527"/>
    <n v="87.6"/>
  </r>
  <r>
    <x v="0"/>
    <d v="2026-01-29T00:00:00"/>
    <s v="Thu"/>
    <s v="Weekday"/>
    <x v="10"/>
    <n v="1451"/>
    <n v="104"/>
    <n v="74"/>
    <n v="1481"/>
    <n v="71.2"/>
  </r>
  <r>
    <x v="0"/>
    <d v="2026-01-30T00:00:00"/>
    <s v="Fri"/>
    <s v="Weekday"/>
    <x v="0"/>
    <n v="1214"/>
    <n v="145"/>
    <n v="107"/>
    <n v="1252"/>
    <n v="73.8"/>
  </r>
  <r>
    <x v="0"/>
    <d v="2026-01-30T00:00:00"/>
    <s v="Fri"/>
    <s v="Weekday"/>
    <x v="1"/>
    <n v="890"/>
    <n v="95"/>
    <n v="81"/>
    <n v="904"/>
    <n v="85.3"/>
  </r>
  <r>
    <x v="0"/>
    <d v="2026-01-30T00:00:00"/>
    <s v="Fri"/>
    <s v="Weekday"/>
    <x v="2"/>
    <n v="1266"/>
    <n v="98"/>
    <n v="64"/>
    <n v="1300"/>
    <n v="65.3"/>
  </r>
  <r>
    <x v="0"/>
    <d v="2026-01-30T00:00:00"/>
    <s v="Fri"/>
    <s v="Weekday"/>
    <x v="3"/>
    <n v="772"/>
    <n v="71"/>
    <n v="58"/>
    <n v="785"/>
    <n v="81.7"/>
  </r>
  <r>
    <x v="0"/>
    <d v="2026-01-30T00:00:00"/>
    <s v="Fri"/>
    <s v="Weekday"/>
    <x v="4"/>
    <n v="1161"/>
    <n v="129"/>
    <n v="89"/>
    <n v="1201"/>
    <n v="69"/>
  </r>
  <r>
    <x v="0"/>
    <d v="2026-01-30T00:00:00"/>
    <s v="Fri"/>
    <s v="Weekday"/>
    <x v="5"/>
    <n v="844"/>
    <n v="94"/>
    <n v="76"/>
    <n v="862"/>
    <n v="80.900000000000006"/>
  </r>
  <r>
    <x v="0"/>
    <d v="2026-01-30T00:00:00"/>
    <s v="Fri"/>
    <s v="Weekday"/>
    <x v="6"/>
    <n v="949"/>
    <n v="137"/>
    <n v="101"/>
    <n v="985"/>
    <n v="73.7"/>
  </r>
  <r>
    <x v="0"/>
    <d v="2026-01-30T00:00:00"/>
    <s v="Fri"/>
    <s v="Weekday"/>
    <x v="7"/>
    <n v="940"/>
    <n v="90"/>
    <n v="61"/>
    <n v="969"/>
    <n v="67.8"/>
  </r>
  <r>
    <x v="0"/>
    <d v="2026-01-30T00:00:00"/>
    <s v="Fri"/>
    <s v="Weekday"/>
    <x v="8"/>
    <n v="1108"/>
    <n v="130"/>
    <n v="99"/>
    <n v="1139"/>
    <n v="76.2"/>
  </r>
  <r>
    <x v="0"/>
    <d v="2026-01-30T00:00:00"/>
    <s v="Fri"/>
    <s v="Weekday"/>
    <x v="9"/>
    <n v="527"/>
    <n v="79"/>
    <n v="64"/>
    <n v="542"/>
    <n v="81"/>
  </r>
  <r>
    <x v="0"/>
    <d v="2026-01-30T00:00:00"/>
    <s v="Fri"/>
    <s v="Weekday"/>
    <x v="10"/>
    <n v="1481"/>
    <n v="120"/>
    <n v="81"/>
    <n v="1520"/>
    <n v="67.5"/>
  </r>
  <r>
    <x v="0"/>
    <d v="2026-01-31T00:00:00"/>
    <s v="Sat"/>
    <s v="Weekend"/>
    <x v="0"/>
    <n v="1252"/>
    <n v="73"/>
    <n v="61"/>
    <n v="1264"/>
    <n v="83.6"/>
  </r>
  <r>
    <x v="0"/>
    <d v="2026-01-31T00:00:00"/>
    <s v="Sat"/>
    <s v="Weekend"/>
    <x v="1"/>
    <n v="904"/>
    <n v="55"/>
    <n v="45"/>
    <n v="914"/>
    <n v="81.8"/>
  </r>
  <r>
    <x v="0"/>
    <d v="2026-01-31T00:00:00"/>
    <s v="Sat"/>
    <s v="Weekend"/>
    <x v="2"/>
    <n v="1300"/>
    <n v="38"/>
    <n v="28"/>
    <n v="1310"/>
    <n v="73.7"/>
  </r>
  <r>
    <x v="0"/>
    <d v="2026-01-31T00:00:00"/>
    <s v="Sat"/>
    <s v="Weekend"/>
    <x v="3"/>
    <n v="785"/>
    <n v="27"/>
    <n v="20"/>
    <n v="792"/>
    <n v="74.099999999999994"/>
  </r>
  <r>
    <x v="0"/>
    <d v="2026-01-31T00:00:00"/>
    <s v="Sat"/>
    <s v="Weekend"/>
    <x v="4"/>
    <n v="1201"/>
    <n v="59"/>
    <n v="44"/>
    <n v="1216"/>
    <n v="74.599999999999994"/>
  </r>
  <r>
    <x v="0"/>
    <d v="2026-01-31T00:00:00"/>
    <s v="Sat"/>
    <s v="Weekend"/>
    <x v="5"/>
    <n v="862"/>
    <n v="45"/>
    <n v="36"/>
    <n v="871"/>
    <n v="80"/>
  </r>
  <r>
    <x v="0"/>
    <d v="2026-01-31T00:00:00"/>
    <s v="Sat"/>
    <s v="Weekend"/>
    <x v="6"/>
    <n v="985"/>
    <n v="51"/>
    <n v="41"/>
    <n v="995"/>
    <n v="80.400000000000006"/>
  </r>
  <r>
    <x v="0"/>
    <d v="2026-01-31T00:00:00"/>
    <s v="Sat"/>
    <s v="Weekend"/>
    <x v="7"/>
    <n v="969"/>
    <n v="48"/>
    <n v="32"/>
    <n v="985"/>
    <n v="66.7"/>
  </r>
  <r>
    <x v="0"/>
    <d v="2026-01-31T00:00:00"/>
    <s v="Sat"/>
    <s v="Weekend"/>
    <x v="8"/>
    <n v="1139"/>
    <n v="55"/>
    <n v="44"/>
    <n v="1150"/>
    <n v="80"/>
  </r>
  <r>
    <x v="0"/>
    <d v="2026-01-31T00:00:00"/>
    <s v="Sat"/>
    <s v="Weekend"/>
    <x v="9"/>
    <n v="542"/>
    <n v="27"/>
    <n v="21"/>
    <n v="548"/>
    <n v="77.8"/>
  </r>
  <r>
    <x v="0"/>
    <d v="2026-01-31T00:00:00"/>
    <s v="Sat"/>
    <s v="Weekend"/>
    <x v="10"/>
    <n v="1520"/>
    <n v="39"/>
    <n v="30"/>
    <n v="1529"/>
    <n v="76.900000000000006"/>
  </r>
  <r>
    <x v="1"/>
    <d v="2026-02-01T00:00:00"/>
    <s v="Sun"/>
    <s v="Weekend"/>
    <x v="0"/>
    <n v="1264"/>
    <n v="50"/>
    <n v="34"/>
    <n v="1280"/>
    <n v="68"/>
  </r>
  <r>
    <x v="1"/>
    <d v="2026-02-01T00:00:00"/>
    <s v="Sun"/>
    <s v="Weekend"/>
    <x v="1"/>
    <n v="914"/>
    <n v="48"/>
    <n v="42"/>
    <n v="920"/>
    <n v="87.5"/>
  </r>
  <r>
    <x v="1"/>
    <d v="2026-02-01T00:00:00"/>
    <s v="Sun"/>
    <s v="Weekend"/>
    <x v="2"/>
    <n v="1310"/>
    <n v="66"/>
    <n v="44"/>
    <n v="1332"/>
    <n v="66.7"/>
  </r>
  <r>
    <x v="1"/>
    <d v="2026-02-01T00:00:00"/>
    <s v="Sun"/>
    <s v="Weekend"/>
    <x v="3"/>
    <n v="792"/>
    <n v="38"/>
    <n v="36"/>
    <n v="794"/>
    <n v="94.7"/>
  </r>
  <r>
    <x v="1"/>
    <d v="2026-02-01T00:00:00"/>
    <s v="Sun"/>
    <s v="Weekend"/>
    <x v="4"/>
    <n v="1216"/>
    <n v="88"/>
    <n v="55"/>
    <n v="1249"/>
    <n v="62.5"/>
  </r>
  <r>
    <x v="1"/>
    <d v="2026-02-01T00:00:00"/>
    <s v="Sun"/>
    <s v="Weekend"/>
    <x v="5"/>
    <n v="871"/>
    <n v="50"/>
    <n v="36"/>
    <n v="885"/>
    <n v="72"/>
  </r>
  <r>
    <x v="1"/>
    <d v="2026-02-01T00:00:00"/>
    <s v="Sun"/>
    <s v="Weekend"/>
    <x v="6"/>
    <n v="995"/>
    <n v="43"/>
    <n v="35"/>
    <n v="1003"/>
    <n v="81.400000000000006"/>
  </r>
  <r>
    <x v="1"/>
    <d v="2026-02-01T00:00:00"/>
    <s v="Sun"/>
    <s v="Weekend"/>
    <x v="7"/>
    <n v="985"/>
    <n v="41"/>
    <n v="34"/>
    <n v="992"/>
    <n v="82.9"/>
  </r>
  <r>
    <x v="1"/>
    <d v="2026-02-01T00:00:00"/>
    <s v="Sun"/>
    <s v="Weekend"/>
    <x v="8"/>
    <n v="1150"/>
    <n v="69"/>
    <n v="47"/>
    <n v="1172"/>
    <n v="68.099999999999994"/>
  </r>
  <r>
    <x v="1"/>
    <d v="2026-02-01T00:00:00"/>
    <s v="Sun"/>
    <s v="Weekend"/>
    <x v="9"/>
    <n v="548"/>
    <n v="49"/>
    <n v="42"/>
    <n v="555"/>
    <n v="85.7"/>
  </r>
  <r>
    <x v="1"/>
    <d v="2026-02-01T00:00:00"/>
    <s v="Sun"/>
    <s v="Weekend"/>
    <x v="10"/>
    <n v="1529"/>
    <n v="48"/>
    <n v="32"/>
    <n v="1545"/>
    <n v="66.7"/>
  </r>
  <r>
    <x v="1"/>
    <d v="2026-02-02T00:00:00"/>
    <s v="Mon"/>
    <s v="Weekday"/>
    <x v="0"/>
    <n v="1280"/>
    <n v="117"/>
    <n v="78"/>
    <n v="1319"/>
    <n v="66.7"/>
  </r>
  <r>
    <x v="1"/>
    <d v="2026-02-02T00:00:00"/>
    <s v="Mon"/>
    <s v="Weekday"/>
    <x v="1"/>
    <n v="920"/>
    <n v="111"/>
    <n v="89"/>
    <n v="942"/>
    <n v="80.2"/>
  </r>
  <r>
    <x v="1"/>
    <d v="2026-02-02T00:00:00"/>
    <s v="Mon"/>
    <s v="Weekday"/>
    <x v="2"/>
    <n v="1332"/>
    <n v="149"/>
    <n v="92"/>
    <n v="1389"/>
    <n v="61.7"/>
  </r>
  <r>
    <x v="1"/>
    <d v="2026-02-02T00:00:00"/>
    <s v="Mon"/>
    <s v="Weekday"/>
    <x v="3"/>
    <n v="794"/>
    <n v="118"/>
    <n v="107"/>
    <n v="805"/>
    <n v="90.7"/>
  </r>
  <r>
    <x v="1"/>
    <d v="2026-02-02T00:00:00"/>
    <s v="Mon"/>
    <s v="Weekday"/>
    <x v="4"/>
    <n v="1249"/>
    <n v="141"/>
    <n v="99"/>
    <n v="1291"/>
    <n v="70.2"/>
  </r>
  <r>
    <x v="1"/>
    <d v="2026-02-02T00:00:00"/>
    <s v="Mon"/>
    <s v="Weekday"/>
    <x v="5"/>
    <n v="885"/>
    <n v="86"/>
    <n v="74"/>
    <n v="897"/>
    <n v="86"/>
  </r>
  <r>
    <x v="1"/>
    <d v="2026-02-02T00:00:00"/>
    <s v="Mon"/>
    <s v="Weekday"/>
    <x v="6"/>
    <n v="1003"/>
    <n v="91"/>
    <n v="72"/>
    <n v="1022"/>
    <n v="79.099999999999994"/>
  </r>
  <r>
    <x v="1"/>
    <d v="2026-02-02T00:00:00"/>
    <s v="Mon"/>
    <s v="Weekday"/>
    <x v="7"/>
    <n v="992"/>
    <n v="114"/>
    <n v="76"/>
    <n v="1030"/>
    <n v="66.7"/>
  </r>
  <r>
    <x v="1"/>
    <d v="2026-02-02T00:00:00"/>
    <s v="Mon"/>
    <s v="Weekday"/>
    <x v="8"/>
    <n v="1172"/>
    <n v="105"/>
    <n v="80"/>
    <n v="1197"/>
    <n v="76.2"/>
  </r>
  <r>
    <x v="1"/>
    <d v="2026-02-02T00:00:00"/>
    <s v="Mon"/>
    <s v="Weekday"/>
    <x v="9"/>
    <n v="555"/>
    <n v="105"/>
    <n v="97"/>
    <n v="563"/>
    <n v="92.4"/>
  </r>
  <r>
    <x v="1"/>
    <d v="2026-02-02T00:00:00"/>
    <s v="Mon"/>
    <s v="Weekday"/>
    <x v="10"/>
    <n v="1545"/>
    <n v="151"/>
    <n v="113"/>
    <n v="1583"/>
    <n v="74.8"/>
  </r>
  <r>
    <x v="1"/>
    <d v="2026-02-03T00:00:00"/>
    <s v="Tue"/>
    <s v="Weekday"/>
    <x v="0"/>
    <n v="1319"/>
    <n v="90"/>
    <n v="76"/>
    <n v="1333"/>
    <n v="84.4"/>
  </r>
  <r>
    <x v="1"/>
    <d v="2026-02-03T00:00:00"/>
    <s v="Tue"/>
    <s v="Weekday"/>
    <x v="1"/>
    <n v="942"/>
    <n v="94"/>
    <n v="82"/>
    <n v="954"/>
    <n v="87.2"/>
  </r>
  <r>
    <x v="1"/>
    <d v="2026-02-03T00:00:00"/>
    <s v="Tue"/>
    <s v="Weekday"/>
    <x v="2"/>
    <n v="1389"/>
    <n v="98"/>
    <n v="69"/>
    <n v="1418"/>
    <n v="70.400000000000006"/>
  </r>
  <r>
    <x v="1"/>
    <d v="2026-02-03T00:00:00"/>
    <s v="Tue"/>
    <s v="Weekday"/>
    <x v="3"/>
    <n v="805"/>
    <n v="89"/>
    <n v="70"/>
    <n v="824"/>
    <n v="78.7"/>
  </r>
  <r>
    <x v="1"/>
    <d v="2026-02-03T00:00:00"/>
    <s v="Tue"/>
    <s v="Weekday"/>
    <x v="4"/>
    <n v="1291"/>
    <n v="121"/>
    <n v="86"/>
    <n v="1326"/>
    <n v="71.099999999999994"/>
  </r>
  <r>
    <x v="1"/>
    <d v="2026-02-03T00:00:00"/>
    <s v="Tue"/>
    <s v="Weekday"/>
    <x v="5"/>
    <n v="897"/>
    <n v="94"/>
    <n v="81"/>
    <n v="910"/>
    <n v="86.2"/>
  </r>
  <r>
    <x v="1"/>
    <d v="2026-02-03T00:00:00"/>
    <s v="Tue"/>
    <s v="Weekday"/>
    <x v="6"/>
    <n v="1022"/>
    <n v="91"/>
    <n v="69"/>
    <n v="1044"/>
    <n v="75.8"/>
  </r>
  <r>
    <x v="1"/>
    <d v="2026-02-03T00:00:00"/>
    <s v="Tue"/>
    <s v="Weekday"/>
    <x v="7"/>
    <n v="1030"/>
    <n v="116"/>
    <n v="85"/>
    <n v="1061"/>
    <n v="73.3"/>
  </r>
  <r>
    <x v="1"/>
    <d v="2026-02-03T00:00:00"/>
    <s v="Tue"/>
    <s v="Weekday"/>
    <x v="8"/>
    <n v="1197"/>
    <n v="138"/>
    <n v="92"/>
    <n v="1243"/>
    <n v="66.7"/>
  </r>
  <r>
    <x v="1"/>
    <d v="2026-02-03T00:00:00"/>
    <s v="Tue"/>
    <s v="Weekday"/>
    <x v="9"/>
    <n v="563"/>
    <n v="65"/>
    <n v="57"/>
    <n v="571"/>
    <n v="87.7"/>
  </r>
  <r>
    <x v="1"/>
    <d v="2026-02-03T00:00:00"/>
    <s v="Tue"/>
    <s v="Weekday"/>
    <x v="10"/>
    <n v="1583"/>
    <n v="129"/>
    <n v="97"/>
    <n v="1615"/>
    <n v="75.2"/>
  </r>
  <r>
    <x v="1"/>
    <d v="2026-02-04T00:00:00"/>
    <s v="Wed"/>
    <s v="Weekday"/>
    <x v="0"/>
    <n v="1333"/>
    <n v="104"/>
    <n v="86"/>
    <n v="1351"/>
    <n v="82.7"/>
  </r>
  <r>
    <x v="1"/>
    <d v="2026-02-04T00:00:00"/>
    <s v="Wed"/>
    <s v="Weekday"/>
    <x v="1"/>
    <n v="954"/>
    <n v="98"/>
    <n v="68"/>
    <n v="984"/>
    <n v="69.400000000000006"/>
  </r>
  <r>
    <x v="1"/>
    <d v="2026-02-04T00:00:00"/>
    <s v="Wed"/>
    <s v="Weekday"/>
    <x v="2"/>
    <n v="1418"/>
    <n v="113"/>
    <n v="72"/>
    <n v="1459"/>
    <n v="63.7"/>
  </r>
  <r>
    <x v="1"/>
    <d v="2026-02-04T00:00:00"/>
    <s v="Wed"/>
    <s v="Weekday"/>
    <x v="3"/>
    <n v="824"/>
    <n v="109"/>
    <n v="91"/>
    <n v="842"/>
    <n v="83.5"/>
  </r>
  <r>
    <x v="1"/>
    <d v="2026-02-04T00:00:00"/>
    <s v="Wed"/>
    <s v="Weekday"/>
    <x v="4"/>
    <n v="1326"/>
    <n v="179"/>
    <n v="120"/>
    <n v="1385"/>
    <n v="67"/>
  </r>
  <r>
    <x v="1"/>
    <d v="2026-02-04T00:00:00"/>
    <s v="Wed"/>
    <s v="Weekday"/>
    <x v="5"/>
    <n v="910"/>
    <n v="70"/>
    <n v="47"/>
    <n v="933"/>
    <n v="67.099999999999994"/>
  </r>
  <r>
    <x v="1"/>
    <d v="2026-02-04T00:00:00"/>
    <s v="Wed"/>
    <s v="Weekday"/>
    <x v="6"/>
    <n v="1044"/>
    <n v="87"/>
    <n v="69"/>
    <n v="1062"/>
    <n v="79.3"/>
  </r>
  <r>
    <x v="1"/>
    <d v="2026-02-04T00:00:00"/>
    <s v="Wed"/>
    <s v="Weekday"/>
    <x v="7"/>
    <n v="1061"/>
    <n v="67"/>
    <n v="49"/>
    <n v="1079"/>
    <n v="73.099999999999994"/>
  </r>
  <r>
    <x v="1"/>
    <d v="2026-02-04T00:00:00"/>
    <s v="Wed"/>
    <s v="Weekday"/>
    <x v="8"/>
    <n v="1243"/>
    <n v="112"/>
    <n v="73"/>
    <n v="1282"/>
    <n v="65.2"/>
  </r>
  <r>
    <x v="1"/>
    <d v="2026-02-04T00:00:00"/>
    <s v="Wed"/>
    <s v="Weekday"/>
    <x v="9"/>
    <n v="571"/>
    <n v="66"/>
    <n v="58"/>
    <n v="579"/>
    <n v="87.9"/>
  </r>
  <r>
    <x v="1"/>
    <d v="2026-02-04T00:00:00"/>
    <s v="Wed"/>
    <s v="Weekday"/>
    <x v="10"/>
    <n v="1615"/>
    <n v="150"/>
    <n v="96"/>
    <n v="1669"/>
    <n v="64"/>
  </r>
  <r>
    <x v="1"/>
    <d v="2026-02-05T00:00:00"/>
    <s v="Thu"/>
    <s v="Weekday"/>
    <x v="0"/>
    <n v="1351"/>
    <n v="99"/>
    <n v="71"/>
    <n v="1379"/>
    <n v="71.7"/>
  </r>
  <r>
    <x v="1"/>
    <d v="2026-02-05T00:00:00"/>
    <s v="Thu"/>
    <s v="Weekday"/>
    <x v="1"/>
    <n v="984"/>
    <n v="113"/>
    <n v="88"/>
    <n v="1009"/>
    <n v="77.900000000000006"/>
  </r>
  <r>
    <x v="1"/>
    <d v="2026-02-05T00:00:00"/>
    <s v="Thu"/>
    <s v="Weekday"/>
    <x v="2"/>
    <n v="1459"/>
    <n v="111"/>
    <n v="80"/>
    <n v="1490"/>
    <n v="72.099999999999994"/>
  </r>
  <r>
    <x v="1"/>
    <d v="2026-02-05T00:00:00"/>
    <s v="Thu"/>
    <s v="Weekday"/>
    <x v="3"/>
    <n v="842"/>
    <n v="108"/>
    <n v="85"/>
    <n v="865"/>
    <n v="78.7"/>
  </r>
  <r>
    <x v="1"/>
    <d v="2026-02-05T00:00:00"/>
    <s v="Thu"/>
    <s v="Weekday"/>
    <x v="4"/>
    <n v="1385"/>
    <n v="174"/>
    <n v="130"/>
    <n v="1429"/>
    <n v="74.7"/>
  </r>
  <r>
    <x v="1"/>
    <d v="2026-02-05T00:00:00"/>
    <s v="Thu"/>
    <s v="Weekday"/>
    <x v="5"/>
    <n v="933"/>
    <n v="97"/>
    <n v="77"/>
    <n v="953"/>
    <n v="79.400000000000006"/>
  </r>
  <r>
    <x v="1"/>
    <d v="2026-02-05T00:00:00"/>
    <s v="Thu"/>
    <s v="Weekday"/>
    <x v="6"/>
    <n v="1062"/>
    <n v="77"/>
    <n v="70"/>
    <n v="1069"/>
    <n v="90.9"/>
  </r>
  <r>
    <x v="1"/>
    <d v="2026-02-05T00:00:00"/>
    <s v="Thu"/>
    <s v="Weekday"/>
    <x v="7"/>
    <n v="1079"/>
    <n v="84"/>
    <n v="68"/>
    <n v="1095"/>
    <n v="81"/>
  </r>
  <r>
    <x v="1"/>
    <d v="2026-02-05T00:00:00"/>
    <s v="Thu"/>
    <s v="Weekday"/>
    <x v="8"/>
    <n v="1282"/>
    <n v="140"/>
    <n v="112"/>
    <n v="1310"/>
    <n v="80"/>
  </r>
  <r>
    <x v="1"/>
    <d v="2026-02-05T00:00:00"/>
    <s v="Thu"/>
    <s v="Weekday"/>
    <x v="9"/>
    <n v="579"/>
    <n v="93"/>
    <n v="77"/>
    <n v="595"/>
    <n v="82.8"/>
  </r>
  <r>
    <x v="1"/>
    <d v="2026-02-05T00:00:00"/>
    <s v="Thu"/>
    <s v="Weekday"/>
    <x v="10"/>
    <n v="1669"/>
    <n v="167"/>
    <n v="110"/>
    <n v="1726"/>
    <n v="65.900000000000006"/>
  </r>
  <r>
    <x v="1"/>
    <d v="2026-02-06T00:00:00"/>
    <s v="Fri"/>
    <s v="Weekday"/>
    <x v="0"/>
    <n v="1379"/>
    <n v="105"/>
    <n v="73"/>
    <n v="1411"/>
    <n v="69.5"/>
  </r>
  <r>
    <x v="1"/>
    <d v="2026-02-06T00:00:00"/>
    <s v="Fri"/>
    <s v="Weekday"/>
    <x v="1"/>
    <n v="1009"/>
    <n v="103"/>
    <n v="77"/>
    <n v="1035"/>
    <n v="74.8"/>
  </r>
  <r>
    <x v="1"/>
    <d v="2026-02-06T00:00:00"/>
    <s v="Fri"/>
    <s v="Weekday"/>
    <x v="2"/>
    <n v="1490"/>
    <n v="119"/>
    <n v="86"/>
    <n v="1523"/>
    <n v="72.3"/>
  </r>
  <r>
    <x v="1"/>
    <d v="2026-02-06T00:00:00"/>
    <s v="Fri"/>
    <s v="Weekday"/>
    <x v="3"/>
    <n v="865"/>
    <n v="117"/>
    <n v="110"/>
    <n v="872"/>
    <n v="94"/>
  </r>
  <r>
    <x v="1"/>
    <d v="2026-02-06T00:00:00"/>
    <s v="Fri"/>
    <s v="Weekday"/>
    <x v="4"/>
    <n v="1429"/>
    <n v="115"/>
    <n v="74"/>
    <n v="1470"/>
    <n v="64.3"/>
  </r>
  <r>
    <x v="1"/>
    <d v="2026-02-06T00:00:00"/>
    <s v="Fri"/>
    <s v="Weekday"/>
    <x v="5"/>
    <n v="953"/>
    <n v="69"/>
    <n v="56"/>
    <n v="966"/>
    <n v="81.2"/>
  </r>
  <r>
    <x v="1"/>
    <d v="2026-02-06T00:00:00"/>
    <s v="Fri"/>
    <s v="Weekday"/>
    <x v="6"/>
    <n v="1069"/>
    <n v="97"/>
    <n v="69"/>
    <n v="1097"/>
    <n v="71.099999999999994"/>
  </r>
  <r>
    <x v="1"/>
    <d v="2026-02-06T00:00:00"/>
    <s v="Fri"/>
    <s v="Weekday"/>
    <x v="7"/>
    <n v="1095"/>
    <n v="96"/>
    <n v="75"/>
    <n v="1116"/>
    <n v="78.099999999999994"/>
  </r>
  <r>
    <x v="1"/>
    <d v="2026-02-06T00:00:00"/>
    <s v="Fri"/>
    <s v="Weekday"/>
    <x v="8"/>
    <n v="1310"/>
    <n v="114"/>
    <n v="89"/>
    <n v="1335"/>
    <n v="78.099999999999994"/>
  </r>
  <r>
    <x v="1"/>
    <d v="2026-02-06T00:00:00"/>
    <s v="Fri"/>
    <s v="Weekday"/>
    <x v="9"/>
    <n v="595"/>
    <n v="95"/>
    <n v="81"/>
    <n v="609"/>
    <n v="85.3"/>
  </r>
  <r>
    <x v="1"/>
    <d v="2026-02-06T00:00:00"/>
    <s v="Fri"/>
    <s v="Weekday"/>
    <x v="10"/>
    <n v="1726"/>
    <n v="150"/>
    <n v="120"/>
    <n v="1756"/>
    <n v="80"/>
  </r>
  <r>
    <x v="1"/>
    <d v="2026-02-07T00:00:00"/>
    <s v="Sat"/>
    <s v="Weekend"/>
    <x v="0"/>
    <n v="1411"/>
    <n v="71"/>
    <n v="49"/>
    <n v="1433"/>
    <n v="69"/>
  </r>
  <r>
    <x v="1"/>
    <d v="2026-02-07T00:00:00"/>
    <s v="Sat"/>
    <s v="Weekend"/>
    <x v="1"/>
    <n v="1035"/>
    <n v="40"/>
    <n v="28"/>
    <n v="1047"/>
    <n v="70"/>
  </r>
  <r>
    <x v="1"/>
    <d v="2026-02-07T00:00:00"/>
    <s v="Sat"/>
    <s v="Weekend"/>
    <x v="2"/>
    <n v="1523"/>
    <n v="78"/>
    <n v="48"/>
    <n v="1553"/>
    <n v="61.5"/>
  </r>
  <r>
    <x v="1"/>
    <d v="2026-02-07T00:00:00"/>
    <s v="Sat"/>
    <s v="Weekend"/>
    <x v="3"/>
    <n v="872"/>
    <n v="50"/>
    <n v="45"/>
    <n v="877"/>
    <n v="90"/>
  </r>
  <r>
    <x v="1"/>
    <d v="2026-02-07T00:00:00"/>
    <s v="Sat"/>
    <s v="Weekend"/>
    <x v="4"/>
    <n v="1470"/>
    <n v="59"/>
    <n v="43"/>
    <n v="1486"/>
    <n v="72.900000000000006"/>
  </r>
  <r>
    <x v="1"/>
    <d v="2026-02-07T00:00:00"/>
    <s v="Sat"/>
    <s v="Weekend"/>
    <x v="5"/>
    <n v="966"/>
    <n v="24"/>
    <n v="17"/>
    <n v="973"/>
    <n v="70.8"/>
  </r>
  <r>
    <x v="1"/>
    <d v="2026-02-07T00:00:00"/>
    <s v="Sat"/>
    <s v="Weekend"/>
    <x v="6"/>
    <n v="1097"/>
    <n v="59"/>
    <n v="47"/>
    <n v="1109"/>
    <n v="79.7"/>
  </r>
  <r>
    <x v="1"/>
    <d v="2026-02-07T00:00:00"/>
    <s v="Sat"/>
    <s v="Weekend"/>
    <x v="7"/>
    <n v="1116"/>
    <n v="58"/>
    <n v="39"/>
    <n v="1135"/>
    <n v="67.2"/>
  </r>
  <r>
    <x v="1"/>
    <d v="2026-02-07T00:00:00"/>
    <s v="Sat"/>
    <s v="Weekend"/>
    <x v="8"/>
    <n v="1335"/>
    <n v="61"/>
    <n v="47"/>
    <n v="1349"/>
    <n v="77"/>
  </r>
  <r>
    <x v="1"/>
    <d v="2026-02-07T00:00:00"/>
    <s v="Sat"/>
    <s v="Weekend"/>
    <x v="9"/>
    <n v="609"/>
    <n v="31"/>
    <n v="24"/>
    <n v="616"/>
    <n v="77.400000000000006"/>
  </r>
  <r>
    <x v="1"/>
    <d v="2026-02-07T00:00:00"/>
    <s v="Sat"/>
    <s v="Weekend"/>
    <x v="10"/>
    <n v="1756"/>
    <n v="66"/>
    <n v="50"/>
    <n v="1772"/>
    <n v="75.8"/>
  </r>
  <r>
    <x v="1"/>
    <d v="2026-02-08T00:00:00"/>
    <s v="Sun"/>
    <s v="Weekend"/>
    <x v="0"/>
    <n v="1433"/>
    <n v="51"/>
    <n v="34"/>
    <n v="1450"/>
    <n v="66.7"/>
  </r>
  <r>
    <x v="1"/>
    <d v="2026-02-08T00:00:00"/>
    <s v="Sun"/>
    <s v="Weekend"/>
    <x v="1"/>
    <n v="1047"/>
    <n v="59"/>
    <n v="48"/>
    <n v="1058"/>
    <n v="81.400000000000006"/>
  </r>
  <r>
    <x v="1"/>
    <d v="2026-02-08T00:00:00"/>
    <s v="Sun"/>
    <s v="Weekend"/>
    <x v="2"/>
    <n v="1553"/>
    <n v="58"/>
    <n v="39"/>
    <n v="1572"/>
    <n v="67.2"/>
  </r>
  <r>
    <x v="1"/>
    <d v="2026-02-08T00:00:00"/>
    <s v="Sun"/>
    <s v="Weekend"/>
    <x v="3"/>
    <n v="877"/>
    <n v="31"/>
    <n v="24"/>
    <n v="884"/>
    <n v="77.400000000000006"/>
  </r>
  <r>
    <x v="1"/>
    <d v="2026-02-08T00:00:00"/>
    <s v="Sun"/>
    <s v="Weekend"/>
    <x v="4"/>
    <n v="1486"/>
    <n v="62"/>
    <n v="49"/>
    <n v="1499"/>
    <n v="79"/>
  </r>
  <r>
    <x v="1"/>
    <d v="2026-02-08T00:00:00"/>
    <s v="Sun"/>
    <s v="Weekend"/>
    <x v="5"/>
    <n v="973"/>
    <n v="36"/>
    <n v="28"/>
    <n v="981"/>
    <n v="77.8"/>
  </r>
  <r>
    <x v="1"/>
    <d v="2026-02-08T00:00:00"/>
    <s v="Sun"/>
    <s v="Weekend"/>
    <x v="6"/>
    <n v="1109"/>
    <n v="66"/>
    <n v="55"/>
    <n v="1120"/>
    <n v="83.3"/>
  </r>
  <r>
    <x v="1"/>
    <d v="2026-02-08T00:00:00"/>
    <s v="Sun"/>
    <s v="Weekend"/>
    <x v="7"/>
    <n v="1135"/>
    <n v="31"/>
    <n v="20"/>
    <n v="1146"/>
    <n v="64.5"/>
  </r>
  <r>
    <x v="1"/>
    <d v="2026-02-08T00:00:00"/>
    <s v="Sun"/>
    <s v="Weekend"/>
    <x v="8"/>
    <n v="1349"/>
    <n v="34"/>
    <n v="26"/>
    <n v="1357"/>
    <n v="76.5"/>
  </r>
  <r>
    <x v="1"/>
    <d v="2026-02-08T00:00:00"/>
    <s v="Sun"/>
    <s v="Weekend"/>
    <x v="9"/>
    <n v="616"/>
    <n v="33"/>
    <n v="32"/>
    <n v="617"/>
    <n v="97"/>
  </r>
  <r>
    <x v="1"/>
    <d v="2026-02-08T00:00:00"/>
    <s v="Sun"/>
    <s v="Weekend"/>
    <x v="10"/>
    <n v="1772"/>
    <n v="66"/>
    <n v="46"/>
    <n v="1792"/>
    <n v="69.7"/>
  </r>
  <r>
    <x v="1"/>
    <d v="2026-02-09T00:00:00"/>
    <s v="Mon"/>
    <s v="Weekday"/>
    <x v="0"/>
    <n v="1450"/>
    <n v="98"/>
    <n v="80"/>
    <n v="1468"/>
    <n v="81.599999999999994"/>
  </r>
  <r>
    <x v="1"/>
    <d v="2026-02-09T00:00:00"/>
    <s v="Mon"/>
    <s v="Weekday"/>
    <x v="1"/>
    <n v="1058"/>
    <n v="85"/>
    <n v="72"/>
    <n v="1071"/>
    <n v="84.7"/>
  </r>
  <r>
    <x v="1"/>
    <d v="2026-02-09T00:00:00"/>
    <s v="Mon"/>
    <s v="Weekday"/>
    <x v="2"/>
    <n v="1572"/>
    <n v="137"/>
    <n v="94"/>
    <n v="1615"/>
    <n v="68.599999999999994"/>
  </r>
  <r>
    <x v="1"/>
    <d v="2026-02-09T00:00:00"/>
    <s v="Mon"/>
    <s v="Weekday"/>
    <x v="3"/>
    <n v="884"/>
    <n v="70"/>
    <n v="56"/>
    <n v="898"/>
    <n v="80"/>
  </r>
  <r>
    <x v="1"/>
    <d v="2026-02-09T00:00:00"/>
    <s v="Mon"/>
    <s v="Weekday"/>
    <x v="4"/>
    <n v="1499"/>
    <n v="173"/>
    <n v="130"/>
    <n v="1542"/>
    <n v="75.099999999999994"/>
  </r>
  <r>
    <x v="1"/>
    <d v="2026-02-09T00:00:00"/>
    <s v="Mon"/>
    <s v="Weekday"/>
    <x v="5"/>
    <n v="981"/>
    <n v="103"/>
    <n v="82"/>
    <n v="1002"/>
    <n v="79.599999999999994"/>
  </r>
  <r>
    <x v="1"/>
    <d v="2026-02-09T00:00:00"/>
    <s v="Mon"/>
    <s v="Weekday"/>
    <x v="6"/>
    <n v="1120"/>
    <n v="130"/>
    <n v="114"/>
    <n v="1136"/>
    <n v="87.7"/>
  </r>
  <r>
    <x v="1"/>
    <d v="2026-02-09T00:00:00"/>
    <s v="Mon"/>
    <s v="Weekday"/>
    <x v="7"/>
    <n v="1146"/>
    <n v="106"/>
    <n v="69"/>
    <n v="1183"/>
    <n v="65.099999999999994"/>
  </r>
  <r>
    <x v="1"/>
    <d v="2026-02-09T00:00:00"/>
    <s v="Mon"/>
    <s v="Weekday"/>
    <x v="8"/>
    <n v="1357"/>
    <n v="114"/>
    <n v="87"/>
    <n v="1384"/>
    <n v="76.3"/>
  </r>
  <r>
    <x v="1"/>
    <d v="2026-02-09T00:00:00"/>
    <s v="Mon"/>
    <s v="Weekday"/>
    <x v="9"/>
    <n v="617"/>
    <n v="69"/>
    <n v="63"/>
    <n v="623"/>
    <n v="91.3"/>
  </r>
  <r>
    <x v="1"/>
    <d v="2026-02-09T00:00:00"/>
    <s v="Mon"/>
    <s v="Weekday"/>
    <x v="10"/>
    <n v="1792"/>
    <n v="124"/>
    <n v="79"/>
    <n v="1837"/>
    <n v="63.7"/>
  </r>
  <r>
    <x v="1"/>
    <d v="2026-02-10T00:00:00"/>
    <s v="Tue"/>
    <s v="Weekday"/>
    <x v="0"/>
    <n v="1468"/>
    <n v="138"/>
    <n v="110"/>
    <n v="1496"/>
    <n v="79.7"/>
  </r>
  <r>
    <x v="1"/>
    <d v="2026-02-10T00:00:00"/>
    <s v="Tue"/>
    <s v="Weekday"/>
    <x v="1"/>
    <n v="1071"/>
    <n v="73"/>
    <n v="54"/>
    <n v="1090"/>
    <n v="74"/>
  </r>
  <r>
    <x v="1"/>
    <d v="2026-02-10T00:00:00"/>
    <s v="Tue"/>
    <s v="Weekday"/>
    <x v="2"/>
    <n v="1615"/>
    <n v="92"/>
    <n v="63"/>
    <n v="1644"/>
    <n v="68.5"/>
  </r>
  <r>
    <x v="1"/>
    <d v="2026-02-10T00:00:00"/>
    <s v="Tue"/>
    <s v="Weekday"/>
    <x v="3"/>
    <n v="898"/>
    <n v="68"/>
    <n v="63"/>
    <n v="903"/>
    <n v="92.6"/>
  </r>
  <r>
    <x v="1"/>
    <d v="2026-02-10T00:00:00"/>
    <s v="Tue"/>
    <s v="Weekday"/>
    <x v="4"/>
    <n v="1542"/>
    <n v="134"/>
    <n v="88"/>
    <n v="1588"/>
    <n v="65.7"/>
  </r>
  <r>
    <x v="1"/>
    <d v="2026-02-10T00:00:00"/>
    <s v="Tue"/>
    <s v="Weekday"/>
    <x v="5"/>
    <n v="1002"/>
    <n v="81"/>
    <n v="60"/>
    <n v="1023"/>
    <n v="74.099999999999994"/>
  </r>
  <r>
    <x v="1"/>
    <d v="2026-02-10T00:00:00"/>
    <s v="Tue"/>
    <s v="Weekday"/>
    <x v="6"/>
    <n v="1136"/>
    <n v="95"/>
    <n v="75"/>
    <n v="1156"/>
    <n v="78.900000000000006"/>
  </r>
  <r>
    <x v="1"/>
    <d v="2026-02-10T00:00:00"/>
    <s v="Tue"/>
    <s v="Weekday"/>
    <x v="7"/>
    <n v="1183"/>
    <n v="98"/>
    <n v="68"/>
    <n v="1213"/>
    <n v="69.400000000000006"/>
  </r>
  <r>
    <x v="1"/>
    <d v="2026-02-10T00:00:00"/>
    <s v="Tue"/>
    <s v="Weekday"/>
    <x v="8"/>
    <n v="1384"/>
    <n v="107"/>
    <n v="88"/>
    <n v="1403"/>
    <n v="82.2"/>
  </r>
  <r>
    <x v="1"/>
    <d v="2026-02-10T00:00:00"/>
    <s v="Tue"/>
    <s v="Weekday"/>
    <x v="9"/>
    <n v="623"/>
    <n v="72"/>
    <n v="68"/>
    <n v="627"/>
    <n v="94.4"/>
  </r>
  <r>
    <x v="1"/>
    <d v="2026-02-10T00:00:00"/>
    <s v="Tue"/>
    <s v="Weekday"/>
    <x v="10"/>
    <n v="1837"/>
    <n v="146"/>
    <n v="106"/>
    <n v="1877"/>
    <n v="72.599999999999994"/>
  </r>
  <r>
    <x v="1"/>
    <d v="2026-02-11T00:00:00"/>
    <s v="Wed"/>
    <s v="Weekday"/>
    <x v="0"/>
    <n v="1496"/>
    <n v="97"/>
    <n v="65"/>
    <n v="1528"/>
    <n v="67"/>
  </r>
  <r>
    <x v="1"/>
    <d v="2026-02-11T00:00:00"/>
    <s v="Wed"/>
    <s v="Weekday"/>
    <x v="1"/>
    <n v="1090"/>
    <n v="84"/>
    <n v="72"/>
    <n v="1102"/>
    <n v="85.7"/>
  </r>
  <r>
    <x v="1"/>
    <d v="2026-02-11T00:00:00"/>
    <s v="Wed"/>
    <s v="Weekday"/>
    <x v="2"/>
    <n v="1644"/>
    <n v="128"/>
    <n v="78"/>
    <n v="1694"/>
    <n v="60.9"/>
  </r>
  <r>
    <x v="1"/>
    <d v="2026-02-11T00:00:00"/>
    <s v="Wed"/>
    <s v="Weekday"/>
    <x v="3"/>
    <n v="903"/>
    <n v="118"/>
    <n v="99"/>
    <n v="922"/>
    <n v="83.9"/>
  </r>
  <r>
    <x v="1"/>
    <d v="2026-02-11T00:00:00"/>
    <s v="Wed"/>
    <s v="Weekday"/>
    <x v="4"/>
    <n v="1588"/>
    <n v="121"/>
    <n v="88"/>
    <n v="1621"/>
    <n v="72.7"/>
  </r>
  <r>
    <x v="1"/>
    <d v="2026-02-11T00:00:00"/>
    <s v="Wed"/>
    <s v="Weekday"/>
    <x v="5"/>
    <n v="1023"/>
    <n v="67"/>
    <n v="57"/>
    <n v="1033"/>
    <n v="85.1"/>
  </r>
  <r>
    <x v="1"/>
    <d v="2026-02-11T00:00:00"/>
    <s v="Wed"/>
    <s v="Weekday"/>
    <x v="6"/>
    <n v="1156"/>
    <n v="133"/>
    <n v="112"/>
    <n v="1177"/>
    <n v="84.2"/>
  </r>
  <r>
    <x v="1"/>
    <d v="2026-02-11T00:00:00"/>
    <s v="Wed"/>
    <s v="Weekday"/>
    <x v="7"/>
    <n v="1213"/>
    <n v="112"/>
    <n v="88"/>
    <n v="1237"/>
    <n v="78.599999999999994"/>
  </r>
  <r>
    <x v="1"/>
    <d v="2026-02-11T00:00:00"/>
    <s v="Wed"/>
    <s v="Weekday"/>
    <x v="8"/>
    <n v="1403"/>
    <n v="90"/>
    <n v="58"/>
    <n v="1435"/>
    <n v="64.400000000000006"/>
  </r>
  <r>
    <x v="1"/>
    <d v="2026-02-11T00:00:00"/>
    <s v="Wed"/>
    <s v="Weekday"/>
    <x v="9"/>
    <n v="627"/>
    <n v="70"/>
    <n v="56"/>
    <n v="641"/>
    <n v="80"/>
  </r>
  <r>
    <x v="1"/>
    <d v="2026-02-11T00:00:00"/>
    <s v="Wed"/>
    <s v="Weekday"/>
    <x v="10"/>
    <n v="1877"/>
    <n v="154"/>
    <n v="120"/>
    <n v="1911"/>
    <n v="77.900000000000006"/>
  </r>
  <r>
    <x v="1"/>
    <d v="2026-02-12T00:00:00"/>
    <s v="Thu"/>
    <s v="Weekday"/>
    <x v="0"/>
    <n v="1528"/>
    <n v="96"/>
    <n v="68"/>
    <n v="1556"/>
    <n v="70.8"/>
  </r>
  <r>
    <x v="1"/>
    <d v="2026-02-12T00:00:00"/>
    <s v="Thu"/>
    <s v="Weekday"/>
    <x v="1"/>
    <n v="1102"/>
    <n v="84"/>
    <n v="58"/>
    <n v="1128"/>
    <n v="69"/>
  </r>
  <r>
    <x v="1"/>
    <d v="2026-02-12T00:00:00"/>
    <s v="Thu"/>
    <s v="Weekday"/>
    <x v="2"/>
    <n v="1694"/>
    <n v="98"/>
    <n v="60"/>
    <n v="1732"/>
    <n v="61.2"/>
  </r>
  <r>
    <x v="1"/>
    <d v="2026-02-12T00:00:00"/>
    <s v="Thu"/>
    <s v="Weekday"/>
    <x v="3"/>
    <n v="922"/>
    <n v="92"/>
    <n v="86"/>
    <n v="928"/>
    <n v="93.5"/>
  </r>
  <r>
    <x v="1"/>
    <d v="2026-02-12T00:00:00"/>
    <s v="Thu"/>
    <s v="Weekday"/>
    <x v="4"/>
    <n v="1621"/>
    <n v="164"/>
    <n v="131"/>
    <n v="1654"/>
    <n v="79.900000000000006"/>
  </r>
  <r>
    <x v="1"/>
    <d v="2026-02-12T00:00:00"/>
    <s v="Thu"/>
    <s v="Weekday"/>
    <x v="5"/>
    <n v="1033"/>
    <n v="84"/>
    <n v="72"/>
    <n v="1045"/>
    <n v="85.7"/>
  </r>
  <r>
    <x v="1"/>
    <d v="2026-02-12T00:00:00"/>
    <s v="Thu"/>
    <s v="Weekday"/>
    <x v="6"/>
    <n v="1177"/>
    <n v="112"/>
    <n v="100"/>
    <n v="1189"/>
    <n v="89.3"/>
  </r>
  <r>
    <x v="1"/>
    <d v="2026-02-12T00:00:00"/>
    <s v="Thu"/>
    <s v="Weekday"/>
    <x v="7"/>
    <n v="1237"/>
    <n v="124"/>
    <n v="87"/>
    <n v="1274"/>
    <n v="70.2"/>
  </r>
  <r>
    <x v="1"/>
    <d v="2026-02-12T00:00:00"/>
    <s v="Thu"/>
    <s v="Weekday"/>
    <x v="8"/>
    <n v="1435"/>
    <n v="126"/>
    <n v="105"/>
    <n v="1456"/>
    <n v="83.3"/>
  </r>
  <r>
    <x v="1"/>
    <d v="2026-02-12T00:00:00"/>
    <s v="Thu"/>
    <s v="Weekday"/>
    <x v="9"/>
    <n v="641"/>
    <n v="80"/>
    <n v="68"/>
    <n v="653"/>
    <n v="85"/>
  </r>
  <r>
    <x v="1"/>
    <d v="2026-02-12T00:00:00"/>
    <s v="Thu"/>
    <s v="Weekday"/>
    <x v="10"/>
    <n v="1911"/>
    <n v="161"/>
    <n v="111"/>
    <n v="1961"/>
    <n v="68.900000000000006"/>
  </r>
  <r>
    <x v="1"/>
    <d v="2026-02-13T00:00:00"/>
    <s v="Fri"/>
    <s v="Weekday"/>
    <x v="0"/>
    <n v="1556"/>
    <n v="116"/>
    <n v="79"/>
    <n v="1593"/>
    <n v="68.099999999999994"/>
  </r>
  <r>
    <x v="1"/>
    <d v="2026-02-13T00:00:00"/>
    <s v="Fri"/>
    <s v="Weekday"/>
    <x v="1"/>
    <n v="1128"/>
    <n v="104"/>
    <n v="84"/>
    <n v="1148"/>
    <n v="80.8"/>
  </r>
  <r>
    <x v="1"/>
    <d v="2026-02-13T00:00:00"/>
    <s v="Fri"/>
    <s v="Weekday"/>
    <x v="2"/>
    <n v="1732"/>
    <n v="131"/>
    <n v="82"/>
    <n v="1781"/>
    <n v="62.6"/>
  </r>
  <r>
    <x v="1"/>
    <d v="2026-02-13T00:00:00"/>
    <s v="Fri"/>
    <s v="Weekday"/>
    <x v="3"/>
    <n v="928"/>
    <n v="75"/>
    <n v="60"/>
    <n v="943"/>
    <n v="80"/>
  </r>
  <r>
    <x v="1"/>
    <d v="2026-02-13T00:00:00"/>
    <s v="Fri"/>
    <s v="Weekday"/>
    <x v="4"/>
    <n v="1654"/>
    <n v="109"/>
    <n v="78"/>
    <n v="1685"/>
    <n v="71.599999999999994"/>
  </r>
  <r>
    <x v="1"/>
    <d v="2026-02-13T00:00:00"/>
    <s v="Fri"/>
    <s v="Weekday"/>
    <x v="5"/>
    <n v="1045"/>
    <n v="90"/>
    <n v="68"/>
    <n v="1067"/>
    <n v="75.599999999999994"/>
  </r>
  <r>
    <x v="1"/>
    <d v="2026-02-13T00:00:00"/>
    <s v="Fri"/>
    <s v="Weekday"/>
    <x v="6"/>
    <n v="1189"/>
    <n v="121"/>
    <n v="90"/>
    <n v="1220"/>
    <n v="74.400000000000006"/>
  </r>
  <r>
    <x v="1"/>
    <d v="2026-02-13T00:00:00"/>
    <s v="Fri"/>
    <s v="Weekday"/>
    <x v="7"/>
    <n v="1274"/>
    <n v="104"/>
    <n v="82"/>
    <n v="1296"/>
    <n v="78.8"/>
  </r>
  <r>
    <x v="1"/>
    <d v="2026-02-13T00:00:00"/>
    <s v="Fri"/>
    <s v="Weekday"/>
    <x v="8"/>
    <n v="1456"/>
    <n v="92"/>
    <n v="58"/>
    <n v="1490"/>
    <n v="63"/>
  </r>
  <r>
    <x v="1"/>
    <d v="2026-02-13T00:00:00"/>
    <s v="Fri"/>
    <s v="Weekday"/>
    <x v="9"/>
    <n v="653"/>
    <n v="78"/>
    <n v="61"/>
    <n v="670"/>
    <n v="78.2"/>
  </r>
  <r>
    <x v="1"/>
    <d v="2026-02-13T00:00:00"/>
    <s v="Fri"/>
    <s v="Weekday"/>
    <x v="10"/>
    <n v="1961"/>
    <n v="145"/>
    <n v="111"/>
    <n v="1995"/>
    <n v="76.599999999999994"/>
  </r>
  <r>
    <x v="1"/>
    <d v="2026-02-14T00:00:00"/>
    <s v="Sat"/>
    <s v="Weekend"/>
    <x v="0"/>
    <n v="1593"/>
    <n v="58"/>
    <n v="40"/>
    <n v="1611"/>
    <n v="69"/>
  </r>
  <r>
    <x v="1"/>
    <d v="2026-02-14T00:00:00"/>
    <s v="Sat"/>
    <s v="Weekend"/>
    <x v="1"/>
    <n v="1148"/>
    <n v="56"/>
    <n v="48"/>
    <n v="1156"/>
    <n v="85.7"/>
  </r>
  <r>
    <x v="1"/>
    <d v="2026-02-14T00:00:00"/>
    <s v="Sat"/>
    <s v="Weekend"/>
    <x v="2"/>
    <n v="1781"/>
    <n v="76"/>
    <n v="54"/>
    <n v="1803"/>
    <n v="71.099999999999994"/>
  </r>
  <r>
    <x v="1"/>
    <d v="2026-02-14T00:00:00"/>
    <s v="Sat"/>
    <s v="Weekend"/>
    <x v="3"/>
    <n v="943"/>
    <n v="36"/>
    <n v="32"/>
    <n v="947"/>
    <n v="88.9"/>
  </r>
  <r>
    <x v="1"/>
    <d v="2026-02-14T00:00:00"/>
    <s v="Sat"/>
    <s v="Weekend"/>
    <x v="4"/>
    <n v="1685"/>
    <n v="58"/>
    <n v="42"/>
    <n v="1701"/>
    <n v="72.400000000000006"/>
  </r>
  <r>
    <x v="1"/>
    <d v="2026-02-14T00:00:00"/>
    <s v="Sat"/>
    <s v="Weekend"/>
    <x v="5"/>
    <n v="1067"/>
    <n v="36"/>
    <n v="31"/>
    <n v="1072"/>
    <n v="86.1"/>
  </r>
  <r>
    <x v="1"/>
    <d v="2026-02-14T00:00:00"/>
    <s v="Sat"/>
    <s v="Weekend"/>
    <x v="6"/>
    <n v="1220"/>
    <n v="53"/>
    <n v="46"/>
    <n v="1227"/>
    <n v="86.8"/>
  </r>
  <r>
    <x v="1"/>
    <d v="2026-02-14T00:00:00"/>
    <s v="Sat"/>
    <s v="Weekend"/>
    <x v="7"/>
    <n v="1296"/>
    <n v="49"/>
    <n v="34"/>
    <n v="1311"/>
    <n v="69.400000000000006"/>
  </r>
  <r>
    <x v="1"/>
    <d v="2026-02-14T00:00:00"/>
    <s v="Sat"/>
    <s v="Weekend"/>
    <x v="8"/>
    <n v="1490"/>
    <n v="63"/>
    <n v="47"/>
    <n v="1506"/>
    <n v="74.599999999999994"/>
  </r>
  <r>
    <x v="1"/>
    <d v="2026-02-14T00:00:00"/>
    <s v="Sat"/>
    <s v="Weekend"/>
    <x v="9"/>
    <n v="670"/>
    <n v="38"/>
    <n v="30"/>
    <n v="678"/>
    <n v="78.900000000000006"/>
  </r>
  <r>
    <x v="1"/>
    <d v="2026-02-14T00:00:00"/>
    <s v="Sat"/>
    <s v="Weekend"/>
    <x v="10"/>
    <n v="1995"/>
    <n v="79"/>
    <n v="52"/>
    <n v="2022"/>
    <n v="65.8"/>
  </r>
  <r>
    <x v="1"/>
    <d v="2026-02-15T00:00:00"/>
    <s v="Sun"/>
    <s v="Weekend"/>
    <x v="0"/>
    <n v="1611"/>
    <n v="45"/>
    <n v="32"/>
    <n v="1624"/>
    <n v="71.099999999999994"/>
  </r>
  <r>
    <x v="1"/>
    <d v="2026-02-15T00:00:00"/>
    <s v="Sun"/>
    <s v="Weekend"/>
    <x v="1"/>
    <n v="1156"/>
    <n v="49"/>
    <n v="34"/>
    <n v="1171"/>
    <n v="69.400000000000006"/>
  </r>
  <r>
    <x v="1"/>
    <d v="2026-02-15T00:00:00"/>
    <s v="Sun"/>
    <s v="Weekend"/>
    <x v="2"/>
    <n v="1803"/>
    <n v="49"/>
    <n v="39"/>
    <n v="1813"/>
    <n v="79.599999999999994"/>
  </r>
  <r>
    <x v="1"/>
    <d v="2026-02-15T00:00:00"/>
    <s v="Sun"/>
    <s v="Weekend"/>
    <x v="3"/>
    <n v="947"/>
    <n v="38"/>
    <n v="30"/>
    <n v="955"/>
    <n v="78.900000000000006"/>
  </r>
  <r>
    <x v="1"/>
    <d v="2026-02-15T00:00:00"/>
    <s v="Sun"/>
    <s v="Weekend"/>
    <x v="4"/>
    <n v="1701"/>
    <n v="79"/>
    <n v="52"/>
    <n v="1728"/>
    <n v="65.8"/>
  </r>
  <r>
    <x v="1"/>
    <d v="2026-02-15T00:00:00"/>
    <s v="Sun"/>
    <s v="Weekend"/>
    <x v="5"/>
    <n v="1072"/>
    <n v="36"/>
    <n v="27"/>
    <n v="1081"/>
    <n v="75"/>
  </r>
  <r>
    <x v="1"/>
    <d v="2026-02-15T00:00:00"/>
    <s v="Sun"/>
    <s v="Weekend"/>
    <x v="6"/>
    <n v="1227"/>
    <n v="57"/>
    <n v="43"/>
    <n v="1241"/>
    <n v="75.400000000000006"/>
  </r>
  <r>
    <x v="1"/>
    <d v="2026-02-15T00:00:00"/>
    <s v="Sun"/>
    <s v="Weekend"/>
    <x v="7"/>
    <n v="1311"/>
    <n v="58"/>
    <n v="44"/>
    <n v="1325"/>
    <n v="75.900000000000006"/>
  </r>
  <r>
    <x v="1"/>
    <d v="2026-02-15T00:00:00"/>
    <s v="Sun"/>
    <s v="Weekend"/>
    <x v="8"/>
    <n v="1506"/>
    <n v="58"/>
    <n v="48"/>
    <n v="1516"/>
    <n v="82.8"/>
  </r>
  <r>
    <x v="1"/>
    <d v="2026-02-15T00:00:00"/>
    <s v="Sun"/>
    <s v="Weekend"/>
    <x v="9"/>
    <n v="678"/>
    <n v="28"/>
    <n v="21"/>
    <n v="685"/>
    <n v="75"/>
  </r>
  <r>
    <x v="1"/>
    <d v="2026-02-15T00:00:00"/>
    <s v="Sun"/>
    <s v="Weekend"/>
    <x v="10"/>
    <n v="2022"/>
    <n v="42"/>
    <n v="34"/>
    <n v="2030"/>
    <n v="81"/>
  </r>
  <r>
    <x v="1"/>
    <d v="2026-02-16T00:00:00"/>
    <s v="Mon"/>
    <s v="Weekday"/>
    <x v="0"/>
    <n v="1624"/>
    <n v="123"/>
    <n v="85"/>
    <n v="1662"/>
    <n v="69.099999999999994"/>
  </r>
  <r>
    <x v="1"/>
    <d v="2026-02-16T00:00:00"/>
    <s v="Mon"/>
    <s v="Weekday"/>
    <x v="1"/>
    <n v="1171"/>
    <n v="113"/>
    <n v="91"/>
    <n v="1193"/>
    <n v="80.5"/>
  </r>
  <r>
    <x v="1"/>
    <d v="2026-02-16T00:00:00"/>
    <s v="Mon"/>
    <s v="Weekday"/>
    <x v="2"/>
    <n v="1813"/>
    <n v="140"/>
    <n v="101"/>
    <n v="1852"/>
    <n v="72.099999999999994"/>
  </r>
  <r>
    <x v="1"/>
    <d v="2026-02-16T00:00:00"/>
    <s v="Mon"/>
    <s v="Weekday"/>
    <x v="3"/>
    <n v="955"/>
    <n v="118"/>
    <n v="90"/>
    <n v="983"/>
    <n v="76.3"/>
  </r>
  <r>
    <x v="1"/>
    <d v="2026-02-16T00:00:00"/>
    <s v="Mon"/>
    <s v="Weekday"/>
    <x v="4"/>
    <n v="1728"/>
    <n v="168"/>
    <n v="123"/>
    <n v="1773"/>
    <n v="73.2"/>
  </r>
  <r>
    <x v="1"/>
    <d v="2026-02-16T00:00:00"/>
    <s v="Mon"/>
    <s v="Weekday"/>
    <x v="5"/>
    <n v="1081"/>
    <n v="91"/>
    <n v="73"/>
    <n v="1099"/>
    <n v="80.2"/>
  </r>
  <r>
    <x v="1"/>
    <d v="2026-02-16T00:00:00"/>
    <s v="Mon"/>
    <s v="Weekday"/>
    <x v="6"/>
    <n v="1241"/>
    <n v="98"/>
    <n v="88"/>
    <n v="1251"/>
    <n v="89.8"/>
  </r>
  <r>
    <x v="1"/>
    <d v="2026-02-16T00:00:00"/>
    <s v="Mon"/>
    <s v="Weekday"/>
    <x v="7"/>
    <n v="1325"/>
    <n v="92"/>
    <n v="65"/>
    <n v="1352"/>
    <n v="70.7"/>
  </r>
  <r>
    <x v="1"/>
    <d v="2026-02-16T00:00:00"/>
    <s v="Mon"/>
    <s v="Weekday"/>
    <x v="8"/>
    <n v="1516"/>
    <n v="126"/>
    <n v="87"/>
    <n v="1555"/>
    <n v="69"/>
  </r>
  <r>
    <x v="1"/>
    <d v="2026-02-16T00:00:00"/>
    <s v="Mon"/>
    <s v="Weekday"/>
    <x v="9"/>
    <n v="685"/>
    <n v="77"/>
    <n v="61"/>
    <n v="701"/>
    <n v="79.2"/>
  </r>
  <r>
    <x v="1"/>
    <d v="2026-02-16T00:00:00"/>
    <s v="Mon"/>
    <s v="Weekday"/>
    <x v="10"/>
    <n v="2030"/>
    <n v="118"/>
    <n v="95"/>
    <n v="2053"/>
    <n v="80.5"/>
  </r>
  <r>
    <x v="1"/>
    <d v="2026-02-17T00:00:00"/>
    <s v="Tue"/>
    <s v="Weekday"/>
    <x v="0"/>
    <n v="1662"/>
    <n v="82"/>
    <n v="54"/>
    <n v="1690"/>
    <n v="65.900000000000006"/>
  </r>
  <r>
    <x v="1"/>
    <d v="2026-02-17T00:00:00"/>
    <s v="Tue"/>
    <s v="Weekday"/>
    <x v="1"/>
    <n v="1193"/>
    <n v="95"/>
    <n v="68"/>
    <n v="1220"/>
    <n v="71.599999999999994"/>
  </r>
  <r>
    <x v="1"/>
    <d v="2026-02-17T00:00:00"/>
    <s v="Tue"/>
    <s v="Weekday"/>
    <x v="2"/>
    <n v="1852"/>
    <n v="110"/>
    <n v="69"/>
    <n v="1893"/>
    <n v="62.7"/>
  </r>
  <r>
    <x v="1"/>
    <d v="2026-02-17T00:00:00"/>
    <s v="Tue"/>
    <s v="Weekday"/>
    <x v="3"/>
    <n v="983"/>
    <n v="68"/>
    <n v="56"/>
    <n v="995"/>
    <n v="82.4"/>
  </r>
  <r>
    <x v="1"/>
    <d v="2026-02-17T00:00:00"/>
    <s v="Tue"/>
    <s v="Weekday"/>
    <x v="4"/>
    <n v="1773"/>
    <n v="124"/>
    <n v="84"/>
    <n v="1813"/>
    <n v="67.7"/>
  </r>
  <r>
    <x v="1"/>
    <d v="2026-02-17T00:00:00"/>
    <s v="Tue"/>
    <s v="Weekday"/>
    <x v="5"/>
    <n v="1099"/>
    <n v="65"/>
    <n v="47"/>
    <n v="1117"/>
    <n v="72.3"/>
  </r>
  <r>
    <x v="1"/>
    <d v="2026-02-17T00:00:00"/>
    <s v="Tue"/>
    <s v="Weekday"/>
    <x v="6"/>
    <n v="1251"/>
    <n v="106"/>
    <n v="90"/>
    <n v="1267"/>
    <n v="84.9"/>
  </r>
  <r>
    <x v="1"/>
    <d v="2026-02-17T00:00:00"/>
    <s v="Tue"/>
    <s v="Weekday"/>
    <x v="7"/>
    <n v="1352"/>
    <n v="66"/>
    <n v="43"/>
    <n v="1375"/>
    <n v="65.2"/>
  </r>
  <r>
    <x v="1"/>
    <d v="2026-02-17T00:00:00"/>
    <s v="Tue"/>
    <s v="Weekday"/>
    <x v="8"/>
    <n v="1555"/>
    <n v="93"/>
    <n v="75"/>
    <n v="1573"/>
    <n v="80.599999999999994"/>
  </r>
  <r>
    <x v="1"/>
    <d v="2026-02-17T00:00:00"/>
    <s v="Tue"/>
    <s v="Weekday"/>
    <x v="9"/>
    <n v="701"/>
    <n v="68"/>
    <n v="60"/>
    <n v="709"/>
    <n v="88.2"/>
  </r>
  <r>
    <x v="1"/>
    <d v="2026-02-17T00:00:00"/>
    <s v="Tue"/>
    <s v="Weekday"/>
    <x v="10"/>
    <n v="2053"/>
    <n v="137"/>
    <n v="100"/>
    <n v="2090"/>
    <n v="73"/>
  </r>
  <r>
    <x v="1"/>
    <d v="2026-02-18T00:00:00"/>
    <s v="Wed"/>
    <s v="Weekday"/>
    <x v="0"/>
    <n v="1690"/>
    <n v="134"/>
    <n v="90"/>
    <n v="1734"/>
    <n v="67.2"/>
  </r>
  <r>
    <x v="1"/>
    <d v="2026-02-18T00:00:00"/>
    <s v="Wed"/>
    <s v="Weekday"/>
    <x v="1"/>
    <n v="1220"/>
    <n v="99"/>
    <n v="71"/>
    <n v="1248"/>
    <n v="71.7"/>
  </r>
  <r>
    <x v="1"/>
    <d v="2026-02-18T00:00:00"/>
    <s v="Wed"/>
    <s v="Weekday"/>
    <x v="2"/>
    <n v="1893"/>
    <n v="134"/>
    <n v="107"/>
    <n v="1920"/>
    <n v="79.900000000000006"/>
  </r>
  <r>
    <x v="1"/>
    <d v="2026-02-18T00:00:00"/>
    <s v="Wed"/>
    <s v="Weekday"/>
    <x v="3"/>
    <n v="995"/>
    <n v="115"/>
    <n v="107"/>
    <n v="1003"/>
    <n v="93"/>
  </r>
  <r>
    <x v="1"/>
    <d v="2026-02-18T00:00:00"/>
    <s v="Wed"/>
    <s v="Weekday"/>
    <x v="4"/>
    <n v="1813"/>
    <n v="109"/>
    <n v="71"/>
    <n v="1851"/>
    <n v="65.099999999999994"/>
  </r>
  <r>
    <x v="1"/>
    <d v="2026-02-18T00:00:00"/>
    <s v="Wed"/>
    <s v="Weekday"/>
    <x v="5"/>
    <n v="1117"/>
    <n v="108"/>
    <n v="87"/>
    <n v="1138"/>
    <n v="80.599999999999994"/>
  </r>
  <r>
    <x v="1"/>
    <d v="2026-02-18T00:00:00"/>
    <s v="Wed"/>
    <s v="Weekday"/>
    <x v="6"/>
    <n v="1267"/>
    <n v="104"/>
    <n v="91"/>
    <n v="1280"/>
    <n v="87.5"/>
  </r>
  <r>
    <x v="1"/>
    <d v="2026-02-18T00:00:00"/>
    <s v="Wed"/>
    <s v="Weekday"/>
    <x v="7"/>
    <n v="1375"/>
    <n v="73"/>
    <n v="51"/>
    <n v="1397"/>
    <n v="69.900000000000006"/>
  </r>
  <r>
    <x v="1"/>
    <d v="2026-02-18T00:00:00"/>
    <s v="Wed"/>
    <s v="Weekday"/>
    <x v="8"/>
    <n v="1573"/>
    <n v="113"/>
    <n v="79"/>
    <n v="1607"/>
    <n v="69.900000000000006"/>
  </r>
  <r>
    <x v="1"/>
    <d v="2026-02-18T00:00:00"/>
    <s v="Wed"/>
    <s v="Weekday"/>
    <x v="9"/>
    <n v="709"/>
    <n v="65"/>
    <n v="51"/>
    <n v="723"/>
    <n v="78.5"/>
  </r>
  <r>
    <x v="1"/>
    <d v="2026-02-18T00:00:00"/>
    <s v="Wed"/>
    <s v="Weekday"/>
    <x v="10"/>
    <n v="2090"/>
    <n v="129"/>
    <n v="102"/>
    <n v="2117"/>
    <n v="79.099999999999994"/>
  </r>
  <r>
    <x v="1"/>
    <d v="2026-02-19T00:00:00"/>
    <s v="Thu"/>
    <s v="Weekday"/>
    <x v="0"/>
    <n v="1734"/>
    <n v="126"/>
    <n v="84"/>
    <n v="1776"/>
    <n v="66.7"/>
  </r>
  <r>
    <x v="1"/>
    <d v="2026-02-19T00:00:00"/>
    <s v="Thu"/>
    <s v="Weekday"/>
    <x v="1"/>
    <n v="1248"/>
    <n v="85"/>
    <n v="75"/>
    <n v="1258"/>
    <n v="88.2"/>
  </r>
  <r>
    <x v="1"/>
    <d v="2026-02-19T00:00:00"/>
    <s v="Thu"/>
    <s v="Weekday"/>
    <x v="2"/>
    <n v="1920"/>
    <n v="129"/>
    <n v="77"/>
    <n v="1972"/>
    <n v="59.7"/>
  </r>
  <r>
    <x v="1"/>
    <d v="2026-02-19T00:00:00"/>
    <s v="Thu"/>
    <s v="Weekday"/>
    <x v="3"/>
    <n v="1003"/>
    <n v="111"/>
    <n v="85"/>
    <n v="1029"/>
    <n v="76.599999999999994"/>
  </r>
  <r>
    <x v="1"/>
    <d v="2026-02-19T00:00:00"/>
    <s v="Thu"/>
    <s v="Weekday"/>
    <x v="4"/>
    <n v="1851"/>
    <n v="135"/>
    <n v="85"/>
    <n v="1901"/>
    <n v="63"/>
  </r>
  <r>
    <x v="1"/>
    <d v="2026-02-19T00:00:00"/>
    <s v="Thu"/>
    <s v="Weekday"/>
    <x v="5"/>
    <n v="1138"/>
    <n v="99"/>
    <n v="83"/>
    <n v="1154"/>
    <n v="83.8"/>
  </r>
  <r>
    <x v="1"/>
    <d v="2026-02-19T00:00:00"/>
    <s v="Thu"/>
    <s v="Weekday"/>
    <x v="6"/>
    <n v="1280"/>
    <n v="125"/>
    <n v="97"/>
    <n v="1308"/>
    <n v="77.599999999999994"/>
  </r>
  <r>
    <x v="1"/>
    <d v="2026-02-19T00:00:00"/>
    <s v="Thu"/>
    <s v="Weekday"/>
    <x v="7"/>
    <n v="1397"/>
    <n v="88"/>
    <n v="68"/>
    <n v="1417"/>
    <n v="77.3"/>
  </r>
  <r>
    <x v="1"/>
    <d v="2026-02-19T00:00:00"/>
    <s v="Thu"/>
    <s v="Weekday"/>
    <x v="8"/>
    <n v="1607"/>
    <n v="144"/>
    <n v="119"/>
    <n v="1632"/>
    <n v="82.6"/>
  </r>
  <r>
    <x v="1"/>
    <d v="2026-02-19T00:00:00"/>
    <s v="Thu"/>
    <s v="Weekday"/>
    <x v="9"/>
    <n v="723"/>
    <n v="94"/>
    <n v="79"/>
    <n v="738"/>
    <n v="84"/>
  </r>
  <r>
    <x v="1"/>
    <d v="2026-02-19T00:00:00"/>
    <s v="Thu"/>
    <s v="Weekday"/>
    <x v="10"/>
    <n v="2117"/>
    <n v="166"/>
    <n v="128"/>
    <n v="2155"/>
    <n v="77.099999999999994"/>
  </r>
  <r>
    <x v="1"/>
    <d v="2026-02-20T00:00:00"/>
    <s v="Fri"/>
    <s v="Weekday"/>
    <x v="0"/>
    <n v="1776"/>
    <n v="130"/>
    <n v="90"/>
    <n v="1816"/>
    <n v="69.2"/>
  </r>
  <r>
    <x v="1"/>
    <d v="2026-02-20T00:00:00"/>
    <s v="Fri"/>
    <s v="Weekday"/>
    <x v="1"/>
    <n v="1258"/>
    <n v="103"/>
    <n v="88"/>
    <n v="1273"/>
    <n v="85.4"/>
  </r>
  <r>
    <x v="1"/>
    <d v="2026-02-20T00:00:00"/>
    <s v="Fri"/>
    <s v="Weekday"/>
    <x v="2"/>
    <n v="1972"/>
    <n v="91"/>
    <n v="71"/>
    <n v="1992"/>
    <n v="78"/>
  </r>
  <r>
    <x v="1"/>
    <d v="2026-02-20T00:00:00"/>
    <s v="Fri"/>
    <s v="Weekday"/>
    <x v="3"/>
    <n v="1029"/>
    <n v="106"/>
    <n v="100"/>
    <n v="1035"/>
    <n v="94.3"/>
  </r>
  <r>
    <x v="1"/>
    <d v="2026-02-20T00:00:00"/>
    <s v="Fri"/>
    <s v="Weekday"/>
    <x v="4"/>
    <n v="1901"/>
    <n v="126"/>
    <n v="89"/>
    <n v="1938"/>
    <n v="70.599999999999994"/>
  </r>
  <r>
    <x v="1"/>
    <d v="2026-02-20T00:00:00"/>
    <s v="Fri"/>
    <s v="Weekday"/>
    <x v="5"/>
    <n v="1154"/>
    <n v="96"/>
    <n v="69"/>
    <n v="1181"/>
    <n v="71.900000000000006"/>
  </r>
  <r>
    <x v="1"/>
    <d v="2026-02-20T00:00:00"/>
    <s v="Fri"/>
    <s v="Weekday"/>
    <x v="6"/>
    <n v="1308"/>
    <n v="91"/>
    <n v="83"/>
    <n v="1316"/>
    <n v="91.2"/>
  </r>
  <r>
    <x v="1"/>
    <d v="2026-02-20T00:00:00"/>
    <s v="Fri"/>
    <s v="Weekday"/>
    <x v="7"/>
    <n v="1417"/>
    <n v="75"/>
    <n v="58"/>
    <n v="1434"/>
    <n v="77.3"/>
  </r>
  <r>
    <x v="1"/>
    <d v="2026-02-20T00:00:00"/>
    <s v="Fri"/>
    <s v="Weekday"/>
    <x v="8"/>
    <n v="1632"/>
    <n v="118"/>
    <n v="77"/>
    <n v="1673"/>
    <n v="65.3"/>
  </r>
  <r>
    <x v="1"/>
    <d v="2026-02-20T00:00:00"/>
    <s v="Fri"/>
    <s v="Weekday"/>
    <x v="9"/>
    <n v="738"/>
    <n v="83"/>
    <n v="64"/>
    <n v="757"/>
    <n v="77.099999999999994"/>
  </r>
  <r>
    <x v="1"/>
    <d v="2026-02-20T00:00:00"/>
    <s v="Fri"/>
    <s v="Weekday"/>
    <x v="10"/>
    <n v="2155"/>
    <n v="106"/>
    <n v="72"/>
    <n v="2189"/>
    <n v="67.900000000000006"/>
  </r>
  <r>
    <x v="1"/>
    <d v="2026-02-21T00:00:00"/>
    <s v="Sat"/>
    <s v="Weekend"/>
    <x v="0"/>
    <n v="1816"/>
    <n v="40"/>
    <n v="33"/>
    <n v="1823"/>
    <n v="82.5"/>
  </r>
  <r>
    <x v="1"/>
    <d v="2026-02-21T00:00:00"/>
    <s v="Sat"/>
    <s v="Weekend"/>
    <x v="1"/>
    <n v="1273"/>
    <n v="36"/>
    <n v="29"/>
    <n v="1280"/>
    <n v="80.599999999999994"/>
  </r>
  <r>
    <x v="1"/>
    <d v="2026-02-21T00:00:00"/>
    <s v="Sat"/>
    <s v="Weekend"/>
    <x v="2"/>
    <n v="1992"/>
    <n v="70"/>
    <n v="53"/>
    <n v="2009"/>
    <n v="75.7"/>
  </r>
  <r>
    <x v="1"/>
    <d v="2026-02-21T00:00:00"/>
    <s v="Sat"/>
    <s v="Weekend"/>
    <x v="3"/>
    <n v="1035"/>
    <n v="59"/>
    <n v="49"/>
    <n v="1045"/>
    <n v="83.1"/>
  </r>
  <r>
    <x v="1"/>
    <d v="2026-02-21T00:00:00"/>
    <s v="Sat"/>
    <s v="Weekend"/>
    <x v="4"/>
    <n v="1938"/>
    <n v="71"/>
    <n v="54"/>
    <n v="1955"/>
    <n v="76.099999999999994"/>
  </r>
  <r>
    <x v="1"/>
    <d v="2026-02-21T00:00:00"/>
    <s v="Sat"/>
    <s v="Weekend"/>
    <x v="5"/>
    <n v="1181"/>
    <n v="38"/>
    <n v="27"/>
    <n v="1192"/>
    <n v="71.099999999999994"/>
  </r>
  <r>
    <x v="1"/>
    <d v="2026-02-21T00:00:00"/>
    <s v="Sat"/>
    <s v="Weekend"/>
    <x v="6"/>
    <n v="1316"/>
    <n v="42"/>
    <n v="33"/>
    <n v="1325"/>
    <n v="78.599999999999994"/>
  </r>
  <r>
    <x v="1"/>
    <d v="2026-02-21T00:00:00"/>
    <s v="Sat"/>
    <s v="Weekend"/>
    <x v="7"/>
    <n v="1434"/>
    <n v="55"/>
    <n v="41"/>
    <n v="1448"/>
    <n v="74.5"/>
  </r>
  <r>
    <x v="1"/>
    <d v="2026-02-21T00:00:00"/>
    <s v="Sat"/>
    <s v="Weekend"/>
    <x v="8"/>
    <n v="1673"/>
    <n v="38"/>
    <n v="25"/>
    <n v="1686"/>
    <n v="65.8"/>
  </r>
  <r>
    <x v="1"/>
    <d v="2026-02-21T00:00:00"/>
    <s v="Sat"/>
    <s v="Weekend"/>
    <x v="9"/>
    <n v="757"/>
    <n v="37"/>
    <n v="31"/>
    <n v="763"/>
    <n v="83.8"/>
  </r>
  <r>
    <x v="1"/>
    <d v="2026-02-21T00:00:00"/>
    <s v="Sat"/>
    <s v="Weekend"/>
    <x v="10"/>
    <n v="2189"/>
    <n v="66"/>
    <n v="46"/>
    <n v="2209"/>
    <n v="69.7"/>
  </r>
  <r>
    <x v="1"/>
    <d v="2026-02-22T00:00:00"/>
    <s v="Sun"/>
    <s v="Weekend"/>
    <x v="0"/>
    <n v="1823"/>
    <n v="65"/>
    <n v="43"/>
    <n v="1845"/>
    <n v="66.2"/>
  </r>
  <r>
    <x v="1"/>
    <d v="2026-02-22T00:00:00"/>
    <s v="Sun"/>
    <s v="Weekend"/>
    <x v="1"/>
    <n v="1280"/>
    <n v="56"/>
    <n v="49"/>
    <n v="1287"/>
    <n v="87.5"/>
  </r>
  <r>
    <x v="1"/>
    <d v="2026-02-22T00:00:00"/>
    <s v="Sun"/>
    <s v="Weekend"/>
    <x v="2"/>
    <n v="2009"/>
    <n v="44"/>
    <n v="28"/>
    <n v="2025"/>
    <n v="63.6"/>
  </r>
  <r>
    <x v="1"/>
    <d v="2026-02-22T00:00:00"/>
    <s v="Sun"/>
    <s v="Weekend"/>
    <x v="3"/>
    <n v="1045"/>
    <n v="54"/>
    <n v="46"/>
    <n v="1053"/>
    <n v="85.2"/>
  </r>
  <r>
    <x v="1"/>
    <d v="2026-02-22T00:00:00"/>
    <s v="Sun"/>
    <s v="Weekend"/>
    <x v="4"/>
    <n v="1955"/>
    <n v="48"/>
    <n v="39"/>
    <n v="1964"/>
    <n v="81.2"/>
  </r>
  <r>
    <x v="1"/>
    <d v="2026-02-22T00:00:00"/>
    <s v="Sun"/>
    <s v="Weekend"/>
    <x v="5"/>
    <n v="1192"/>
    <n v="49"/>
    <n v="34"/>
    <n v="1207"/>
    <n v="69.400000000000006"/>
  </r>
  <r>
    <x v="1"/>
    <d v="2026-02-22T00:00:00"/>
    <s v="Sun"/>
    <s v="Weekend"/>
    <x v="6"/>
    <n v="1325"/>
    <n v="47"/>
    <n v="35"/>
    <n v="1337"/>
    <n v="74.5"/>
  </r>
  <r>
    <x v="1"/>
    <d v="2026-02-22T00:00:00"/>
    <s v="Sun"/>
    <s v="Weekend"/>
    <x v="7"/>
    <n v="1448"/>
    <n v="41"/>
    <n v="28"/>
    <n v="1461"/>
    <n v="68.3"/>
  </r>
  <r>
    <x v="1"/>
    <d v="2026-02-22T00:00:00"/>
    <s v="Sun"/>
    <s v="Weekend"/>
    <x v="8"/>
    <n v="1686"/>
    <n v="40"/>
    <n v="29"/>
    <n v="1697"/>
    <n v="72.5"/>
  </r>
  <r>
    <x v="1"/>
    <d v="2026-02-22T00:00:00"/>
    <s v="Sun"/>
    <s v="Weekend"/>
    <x v="9"/>
    <n v="763"/>
    <n v="32"/>
    <n v="26"/>
    <n v="769"/>
    <n v="81.2"/>
  </r>
  <r>
    <x v="1"/>
    <d v="2026-02-22T00:00:00"/>
    <s v="Sun"/>
    <s v="Weekend"/>
    <x v="10"/>
    <n v="2209"/>
    <n v="58"/>
    <n v="45"/>
    <n v="2222"/>
    <n v="77.599999999999994"/>
  </r>
  <r>
    <x v="1"/>
    <d v="2026-02-23T00:00:00"/>
    <s v="Mon"/>
    <s v="Weekday"/>
    <x v="0"/>
    <n v="1845"/>
    <n v="134"/>
    <n v="111"/>
    <n v="1868"/>
    <n v="82.8"/>
  </r>
  <r>
    <x v="1"/>
    <d v="2026-02-23T00:00:00"/>
    <s v="Mon"/>
    <s v="Weekday"/>
    <x v="1"/>
    <n v="1287"/>
    <n v="122"/>
    <n v="105"/>
    <n v="1304"/>
    <n v="86.1"/>
  </r>
  <r>
    <x v="1"/>
    <d v="2026-02-23T00:00:00"/>
    <s v="Mon"/>
    <s v="Weekday"/>
    <x v="2"/>
    <n v="2025"/>
    <n v="94"/>
    <n v="64"/>
    <n v="2055"/>
    <n v="68.099999999999994"/>
  </r>
  <r>
    <x v="1"/>
    <d v="2026-02-23T00:00:00"/>
    <s v="Mon"/>
    <s v="Weekday"/>
    <x v="3"/>
    <n v="1053"/>
    <n v="115"/>
    <n v="93"/>
    <n v="1075"/>
    <n v="80.900000000000006"/>
  </r>
  <r>
    <x v="1"/>
    <d v="2026-02-23T00:00:00"/>
    <s v="Mon"/>
    <s v="Weekday"/>
    <x v="4"/>
    <n v="1964"/>
    <n v="137"/>
    <n v="98"/>
    <n v="2003"/>
    <n v="71.5"/>
  </r>
  <r>
    <x v="1"/>
    <d v="2026-02-23T00:00:00"/>
    <s v="Mon"/>
    <s v="Weekday"/>
    <x v="5"/>
    <n v="1207"/>
    <n v="92"/>
    <n v="79"/>
    <n v="1220"/>
    <n v="85.9"/>
  </r>
  <r>
    <x v="1"/>
    <d v="2026-02-23T00:00:00"/>
    <s v="Mon"/>
    <s v="Weekday"/>
    <x v="6"/>
    <n v="1337"/>
    <n v="102"/>
    <n v="87"/>
    <n v="1352"/>
    <n v="85.3"/>
  </r>
  <r>
    <x v="1"/>
    <d v="2026-02-23T00:00:00"/>
    <s v="Mon"/>
    <s v="Weekday"/>
    <x v="7"/>
    <n v="1461"/>
    <n v="69"/>
    <n v="48"/>
    <n v="1482"/>
    <n v="69.599999999999994"/>
  </r>
  <r>
    <x v="1"/>
    <d v="2026-02-23T00:00:00"/>
    <s v="Mon"/>
    <s v="Weekday"/>
    <x v="8"/>
    <n v="1697"/>
    <n v="112"/>
    <n v="92"/>
    <n v="1717"/>
    <n v="82.1"/>
  </r>
  <r>
    <x v="1"/>
    <d v="2026-02-23T00:00:00"/>
    <s v="Mon"/>
    <s v="Weekday"/>
    <x v="9"/>
    <n v="769"/>
    <n v="65"/>
    <n v="58"/>
    <n v="776"/>
    <n v="89.2"/>
  </r>
  <r>
    <x v="1"/>
    <d v="2026-02-23T00:00:00"/>
    <s v="Mon"/>
    <s v="Weekday"/>
    <x v="10"/>
    <n v="2222"/>
    <n v="133"/>
    <n v="85"/>
    <n v="2270"/>
    <n v="63.9"/>
  </r>
  <r>
    <x v="1"/>
    <d v="2026-02-24T00:00:00"/>
    <s v="Tue"/>
    <s v="Weekday"/>
    <x v="0"/>
    <n v="1868"/>
    <n v="137"/>
    <n v="113"/>
    <n v="1892"/>
    <n v="82.5"/>
  </r>
  <r>
    <x v="1"/>
    <d v="2026-02-24T00:00:00"/>
    <s v="Tue"/>
    <s v="Weekday"/>
    <x v="1"/>
    <n v="1304"/>
    <n v="80"/>
    <n v="56"/>
    <n v="1328"/>
    <n v="70"/>
  </r>
  <r>
    <x v="1"/>
    <d v="2026-02-24T00:00:00"/>
    <s v="Tue"/>
    <s v="Weekday"/>
    <x v="2"/>
    <n v="2055"/>
    <n v="127"/>
    <n v="92"/>
    <n v="2090"/>
    <n v="72.400000000000006"/>
  </r>
  <r>
    <x v="1"/>
    <d v="2026-02-24T00:00:00"/>
    <s v="Tue"/>
    <s v="Weekday"/>
    <x v="3"/>
    <n v="1075"/>
    <n v="99"/>
    <n v="74"/>
    <n v="1100"/>
    <n v="74.7"/>
  </r>
  <r>
    <x v="1"/>
    <d v="2026-02-24T00:00:00"/>
    <s v="Tue"/>
    <s v="Weekday"/>
    <x v="4"/>
    <n v="2003"/>
    <n v="128"/>
    <n v="93"/>
    <n v="2038"/>
    <n v="72.7"/>
  </r>
  <r>
    <x v="1"/>
    <d v="2026-02-24T00:00:00"/>
    <s v="Tue"/>
    <s v="Weekday"/>
    <x v="5"/>
    <n v="1220"/>
    <n v="77"/>
    <n v="57"/>
    <n v="1240"/>
    <n v="74"/>
  </r>
  <r>
    <x v="1"/>
    <d v="2026-02-24T00:00:00"/>
    <s v="Tue"/>
    <s v="Weekday"/>
    <x v="6"/>
    <n v="1352"/>
    <n v="112"/>
    <n v="89"/>
    <n v="1375"/>
    <n v="79.5"/>
  </r>
  <r>
    <x v="1"/>
    <d v="2026-02-24T00:00:00"/>
    <s v="Tue"/>
    <s v="Weekday"/>
    <x v="7"/>
    <n v="1482"/>
    <n v="84"/>
    <n v="56"/>
    <n v="1510"/>
    <n v="66.7"/>
  </r>
  <r>
    <x v="1"/>
    <d v="2026-02-24T00:00:00"/>
    <s v="Tue"/>
    <s v="Weekday"/>
    <x v="8"/>
    <n v="1717"/>
    <n v="115"/>
    <n v="87"/>
    <n v="1745"/>
    <n v="75.7"/>
  </r>
  <r>
    <x v="1"/>
    <d v="2026-02-24T00:00:00"/>
    <s v="Tue"/>
    <s v="Weekday"/>
    <x v="9"/>
    <n v="776"/>
    <n v="69"/>
    <n v="53"/>
    <n v="792"/>
    <n v="76.8"/>
  </r>
  <r>
    <x v="1"/>
    <d v="2026-02-24T00:00:00"/>
    <s v="Tue"/>
    <s v="Weekday"/>
    <x v="10"/>
    <n v="2270"/>
    <n v="100"/>
    <n v="72"/>
    <n v="2298"/>
    <n v="72"/>
  </r>
  <r>
    <x v="1"/>
    <d v="2026-02-25T00:00:00"/>
    <s v="Wed"/>
    <s v="Weekday"/>
    <x v="0"/>
    <n v="1892"/>
    <n v="104"/>
    <n v="81"/>
    <n v="1915"/>
    <n v="77.900000000000006"/>
  </r>
  <r>
    <x v="1"/>
    <d v="2026-02-25T00:00:00"/>
    <s v="Wed"/>
    <s v="Weekday"/>
    <x v="1"/>
    <n v="1328"/>
    <n v="123"/>
    <n v="91"/>
    <n v="1360"/>
    <n v="74"/>
  </r>
  <r>
    <x v="1"/>
    <d v="2026-02-25T00:00:00"/>
    <s v="Wed"/>
    <s v="Weekday"/>
    <x v="2"/>
    <n v="2090"/>
    <n v="92"/>
    <n v="72"/>
    <n v="2110"/>
    <n v="78.3"/>
  </r>
  <r>
    <x v="1"/>
    <d v="2026-02-25T00:00:00"/>
    <s v="Wed"/>
    <s v="Weekday"/>
    <x v="3"/>
    <n v="1100"/>
    <n v="69"/>
    <n v="52"/>
    <n v="1117"/>
    <n v="75.400000000000006"/>
  </r>
  <r>
    <x v="1"/>
    <d v="2026-02-25T00:00:00"/>
    <s v="Wed"/>
    <s v="Weekday"/>
    <x v="4"/>
    <n v="2038"/>
    <n v="118"/>
    <n v="78"/>
    <n v="2078"/>
    <n v="66.099999999999994"/>
  </r>
  <r>
    <x v="1"/>
    <d v="2026-02-25T00:00:00"/>
    <s v="Wed"/>
    <s v="Weekday"/>
    <x v="5"/>
    <n v="1240"/>
    <n v="100"/>
    <n v="85"/>
    <n v="1255"/>
    <n v="85"/>
  </r>
  <r>
    <x v="1"/>
    <d v="2026-02-25T00:00:00"/>
    <s v="Wed"/>
    <s v="Weekday"/>
    <x v="6"/>
    <n v="1375"/>
    <n v="75"/>
    <n v="55"/>
    <n v="1395"/>
    <n v="73.3"/>
  </r>
  <r>
    <x v="1"/>
    <d v="2026-02-25T00:00:00"/>
    <s v="Wed"/>
    <s v="Weekday"/>
    <x v="7"/>
    <n v="1510"/>
    <n v="121"/>
    <n v="81"/>
    <n v="1550"/>
    <n v="66.900000000000006"/>
  </r>
  <r>
    <x v="1"/>
    <d v="2026-02-25T00:00:00"/>
    <s v="Wed"/>
    <s v="Weekday"/>
    <x v="8"/>
    <n v="1745"/>
    <n v="116"/>
    <n v="88"/>
    <n v="1773"/>
    <n v="75.900000000000006"/>
  </r>
  <r>
    <x v="1"/>
    <d v="2026-02-25T00:00:00"/>
    <s v="Wed"/>
    <s v="Weekday"/>
    <x v="9"/>
    <n v="792"/>
    <n v="85"/>
    <n v="82"/>
    <n v="795"/>
    <n v="96.5"/>
  </r>
  <r>
    <x v="1"/>
    <d v="2026-02-25T00:00:00"/>
    <s v="Wed"/>
    <s v="Weekday"/>
    <x v="10"/>
    <n v="2298"/>
    <n v="160"/>
    <n v="119"/>
    <n v="2339"/>
    <n v="74.400000000000006"/>
  </r>
  <r>
    <x v="1"/>
    <d v="2026-02-26T00:00:00"/>
    <s v="Thu"/>
    <s v="Weekday"/>
    <x v="0"/>
    <n v="1915"/>
    <n v="129"/>
    <n v="102"/>
    <n v="1942"/>
    <n v="79.099999999999994"/>
  </r>
  <r>
    <x v="1"/>
    <d v="2026-02-26T00:00:00"/>
    <s v="Thu"/>
    <s v="Weekday"/>
    <x v="1"/>
    <n v="1360"/>
    <n v="110"/>
    <n v="87"/>
    <n v="1383"/>
    <n v="79.099999999999994"/>
  </r>
  <r>
    <x v="1"/>
    <d v="2026-02-26T00:00:00"/>
    <s v="Thu"/>
    <s v="Weekday"/>
    <x v="2"/>
    <n v="2110"/>
    <n v="154"/>
    <n v="93"/>
    <n v="2171"/>
    <n v="60.4"/>
  </r>
  <r>
    <x v="1"/>
    <d v="2026-02-26T00:00:00"/>
    <s v="Thu"/>
    <s v="Weekday"/>
    <x v="3"/>
    <n v="1117"/>
    <n v="94"/>
    <n v="75"/>
    <n v="1136"/>
    <n v="79.8"/>
  </r>
  <r>
    <x v="1"/>
    <d v="2026-02-26T00:00:00"/>
    <s v="Thu"/>
    <s v="Weekday"/>
    <x v="4"/>
    <n v="2078"/>
    <n v="122"/>
    <n v="81"/>
    <n v="2119"/>
    <n v="66.400000000000006"/>
  </r>
  <r>
    <x v="1"/>
    <d v="2026-02-26T00:00:00"/>
    <s v="Thu"/>
    <s v="Weekday"/>
    <x v="5"/>
    <n v="1255"/>
    <n v="107"/>
    <n v="81"/>
    <n v="1281"/>
    <n v="75.7"/>
  </r>
  <r>
    <x v="1"/>
    <d v="2026-02-26T00:00:00"/>
    <s v="Thu"/>
    <s v="Weekday"/>
    <x v="6"/>
    <n v="1395"/>
    <n v="97"/>
    <n v="84"/>
    <n v="1408"/>
    <n v="86.6"/>
  </r>
  <r>
    <x v="1"/>
    <d v="2026-02-26T00:00:00"/>
    <s v="Thu"/>
    <s v="Weekday"/>
    <x v="7"/>
    <n v="1550"/>
    <n v="66"/>
    <n v="49"/>
    <n v="1567"/>
    <n v="74.2"/>
  </r>
  <r>
    <x v="1"/>
    <d v="2026-02-26T00:00:00"/>
    <s v="Thu"/>
    <s v="Weekday"/>
    <x v="8"/>
    <n v="1773"/>
    <n v="102"/>
    <n v="75"/>
    <n v="1800"/>
    <n v="73.5"/>
  </r>
  <r>
    <x v="1"/>
    <d v="2026-02-26T00:00:00"/>
    <s v="Thu"/>
    <s v="Weekday"/>
    <x v="9"/>
    <n v="795"/>
    <n v="94"/>
    <n v="88"/>
    <n v="801"/>
    <n v="93.6"/>
  </r>
  <r>
    <x v="1"/>
    <d v="2026-02-26T00:00:00"/>
    <s v="Thu"/>
    <s v="Weekday"/>
    <x v="10"/>
    <n v="2339"/>
    <n v="163"/>
    <n v="128"/>
    <n v="2374"/>
    <n v="78.5"/>
  </r>
  <r>
    <x v="1"/>
    <d v="2026-02-27T00:00:00"/>
    <s v="Fri"/>
    <s v="Weekday"/>
    <x v="0"/>
    <n v="1942"/>
    <n v="121"/>
    <n v="80"/>
    <n v="1983"/>
    <n v="66.099999999999994"/>
  </r>
  <r>
    <x v="1"/>
    <d v="2026-02-27T00:00:00"/>
    <s v="Fri"/>
    <s v="Weekday"/>
    <x v="1"/>
    <n v="1383"/>
    <n v="126"/>
    <n v="94"/>
    <n v="1415"/>
    <n v="74.599999999999994"/>
  </r>
  <r>
    <x v="1"/>
    <d v="2026-02-27T00:00:00"/>
    <s v="Fri"/>
    <s v="Weekday"/>
    <x v="2"/>
    <n v="2171"/>
    <n v="137"/>
    <n v="103"/>
    <n v="2205"/>
    <n v="75.2"/>
  </r>
  <r>
    <x v="1"/>
    <d v="2026-02-27T00:00:00"/>
    <s v="Fri"/>
    <s v="Weekday"/>
    <x v="3"/>
    <n v="1136"/>
    <n v="106"/>
    <n v="79"/>
    <n v="1163"/>
    <n v="74.5"/>
  </r>
  <r>
    <x v="1"/>
    <d v="2026-02-27T00:00:00"/>
    <s v="Fri"/>
    <s v="Weekday"/>
    <x v="4"/>
    <n v="2119"/>
    <n v="126"/>
    <n v="87"/>
    <n v="2158"/>
    <n v="69"/>
  </r>
  <r>
    <x v="1"/>
    <d v="2026-02-27T00:00:00"/>
    <s v="Fri"/>
    <s v="Weekday"/>
    <x v="5"/>
    <n v="1281"/>
    <n v="81"/>
    <n v="68"/>
    <n v="1294"/>
    <n v="84"/>
  </r>
  <r>
    <x v="1"/>
    <d v="2026-02-27T00:00:00"/>
    <s v="Fri"/>
    <s v="Weekday"/>
    <x v="6"/>
    <n v="1408"/>
    <n v="79"/>
    <n v="71"/>
    <n v="1416"/>
    <n v="89.9"/>
  </r>
  <r>
    <x v="1"/>
    <d v="2026-02-27T00:00:00"/>
    <s v="Fri"/>
    <s v="Weekday"/>
    <x v="7"/>
    <n v="1567"/>
    <n v="94"/>
    <n v="69"/>
    <n v="1592"/>
    <n v="73.400000000000006"/>
  </r>
  <r>
    <x v="1"/>
    <d v="2026-02-27T00:00:00"/>
    <s v="Fri"/>
    <s v="Weekday"/>
    <x v="8"/>
    <n v="1800"/>
    <n v="111"/>
    <n v="83"/>
    <n v="1828"/>
    <n v="74.8"/>
  </r>
  <r>
    <x v="1"/>
    <d v="2026-02-27T00:00:00"/>
    <s v="Fri"/>
    <s v="Weekday"/>
    <x v="9"/>
    <n v="801"/>
    <n v="62"/>
    <n v="57"/>
    <n v="806"/>
    <n v="91.9"/>
  </r>
  <r>
    <x v="1"/>
    <d v="2026-02-27T00:00:00"/>
    <s v="Fri"/>
    <s v="Weekday"/>
    <x v="10"/>
    <n v="2374"/>
    <n v="165"/>
    <n v="124"/>
    <n v="2415"/>
    <n v="75.2"/>
  </r>
  <r>
    <x v="1"/>
    <d v="2026-02-28T00:00:00"/>
    <s v="Sat"/>
    <s v="Weekend"/>
    <x v="0"/>
    <n v="1983"/>
    <n v="43"/>
    <n v="31"/>
    <n v="1995"/>
    <n v="72.099999999999994"/>
  </r>
  <r>
    <x v="1"/>
    <d v="2026-02-28T00:00:00"/>
    <s v="Sat"/>
    <s v="Weekend"/>
    <x v="1"/>
    <n v="1415"/>
    <n v="54"/>
    <n v="41"/>
    <n v="1428"/>
    <n v="75.900000000000006"/>
  </r>
  <r>
    <x v="1"/>
    <d v="2026-02-28T00:00:00"/>
    <s v="Sat"/>
    <s v="Weekend"/>
    <x v="2"/>
    <n v="2205"/>
    <n v="78"/>
    <n v="51"/>
    <n v="2232"/>
    <n v="65.400000000000006"/>
  </r>
  <r>
    <x v="1"/>
    <d v="2026-02-28T00:00:00"/>
    <s v="Sat"/>
    <s v="Weekend"/>
    <x v="3"/>
    <n v="1163"/>
    <n v="30"/>
    <n v="22"/>
    <n v="1171"/>
    <n v="73.3"/>
  </r>
  <r>
    <x v="1"/>
    <d v="2026-02-28T00:00:00"/>
    <s v="Sat"/>
    <s v="Weekend"/>
    <x v="4"/>
    <n v="2158"/>
    <n v="59"/>
    <n v="44"/>
    <n v="2173"/>
    <n v="74.599999999999994"/>
  </r>
  <r>
    <x v="1"/>
    <d v="2026-02-28T00:00:00"/>
    <s v="Sat"/>
    <s v="Weekend"/>
    <x v="5"/>
    <n v="1294"/>
    <n v="36"/>
    <n v="30"/>
    <n v="1300"/>
    <n v="83.3"/>
  </r>
  <r>
    <x v="1"/>
    <d v="2026-02-28T00:00:00"/>
    <s v="Sat"/>
    <s v="Weekend"/>
    <x v="6"/>
    <n v="1416"/>
    <n v="35"/>
    <n v="25"/>
    <n v="1426"/>
    <n v="71.400000000000006"/>
  </r>
  <r>
    <x v="1"/>
    <d v="2026-02-28T00:00:00"/>
    <s v="Sat"/>
    <s v="Weekend"/>
    <x v="7"/>
    <n v="1592"/>
    <n v="46"/>
    <n v="36"/>
    <n v="1602"/>
    <n v="78.3"/>
  </r>
  <r>
    <x v="1"/>
    <d v="2026-02-28T00:00:00"/>
    <s v="Sat"/>
    <s v="Weekend"/>
    <x v="8"/>
    <n v="1828"/>
    <n v="60"/>
    <n v="48"/>
    <n v="1840"/>
    <n v="80"/>
  </r>
  <r>
    <x v="1"/>
    <d v="2026-02-28T00:00:00"/>
    <s v="Sat"/>
    <s v="Weekend"/>
    <x v="9"/>
    <n v="806"/>
    <n v="40"/>
    <n v="36"/>
    <n v="810"/>
    <n v="90"/>
  </r>
  <r>
    <x v="1"/>
    <d v="2026-02-28T00:00:00"/>
    <s v="Sat"/>
    <s v="Weekend"/>
    <x v="10"/>
    <n v="2415"/>
    <n v="74"/>
    <n v="49"/>
    <n v="2440"/>
    <n v="66.2"/>
  </r>
  <r>
    <x v="2"/>
    <d v="2026-03-01T00:00:00"/>
    <s v="Sun"/>
    <s v="Weekend"/>
    <x v="0"/>
    <n v="1995"/>
    <n v="75"/>
    <n v="50"/>
    <n v="2020"/>
    <n v="66.7"/>
  </r>
  <r>
    <x v="2"/>
    <d v="2026-03-01T00:00:00"/>
    <s v="Sun"/>
    <s v="Weekend"/>
    <x v="1"/>
    <n v="1428"/>
    <n v="51"/>
    <n v="38"/>
    <n v="1441"/>
    <n v="74.5"/>
  </r>
  <r>
    <x v="2"/>
    <d v="2026-03-01T00:00:00"/>
    <s v="Sun"/>
    <s v="Weekend"/>
    <x v="2"/>
    <n v="2232"/>
    <n v="39"/>
    <n v="23"/>
    <n v="2248"/>
    <n v="59"/>
  </r>
  <r>
    <x v="2"/>
    <d v="2026-03-01T00:00:00"/>
    <s v="Sun"/>
    <s v="Weekend"/>
    <x v="3"/>
    <n v="1171"/>
    <n v="50"/>
    <n v="39"/>
    <n v="1182"/>
    <n v="78"/>
  </r>
  <r>
    <x v="2"/>
    <d v="2026-03-01T00:00:00"/>
    <s v="Sun"/>
    <s v="Weekend"/>
    <x v="4"/>
    <n v="2173"/>
    <n v="78"/>
    <n v="51"/>
    <n v="2200"/>
    <n v="65.400000000000006"/>
  </r>
  <r>
    <x v="2"/>
    <d v="2026-03-01T00:00:00"/>
    <s v="Sun"/>
    <s v="Weekend"/>
    <x v="5"/>
    <n v="1300"/>
    <n v="34"/>
    <n v="25"/>
    <n v="1309"/>
    <n v="73.5"/>
  </r>
  <r>
    <x v="2"/>
    <d v="2026-03-01T00:00:00"/>
    <s v="Sun"/>
    <s v="Weekend"/>
    <x v="6"/>
    <n v="1426"/>
    <n v="53"/>
    <n v="47"/>
    <n v="1432"/>
    <n v="88.7"/>
  </r>
  <r>
    <x v="2"/>
    <d v="2026-03-01T00:00:00"/>
    <s v="Sun"/>
    <s v="Weekend"/>
    <x v="7"/>
    <n v="1602"/>
    <n v="43"/>
    <n v="30"/>
    <n v="1615"/>
    <n v="69.8"/>
  </r>
  <r>
    <x v="2"/>
    <d v="2026-03-01T00:00:00"/>
    <s v="Sun"/>
    <s v="Weekend"/>
    <x v="8"/>
    <n v="1840"/>
    <n v="53"/>
    <n v="41"/>
    <n v="1852"/>
    <n v="77.400000000000006"/>
  </r>
  <r>
    <x v="2"/>
    <d v="2026-03-01T00:00:00"/>
    <s v="Sun"/>
    <s v="Weekend"/>
    <x v="9"/>
    <n v="810"/>
    <n v="27"/>
    <n v="25"/>
    <n v="812"/>
    <n v="92.6"/>
  </r>
  <r>
    <x v="2"/>
    <d v="2026-03-01T00:00:00"/>
    <s v="Sun"/>
    <s v="Weekend"/>
    <x v="10"/>
    <n v="2440"/>
    <n v="68"/>
    <n v="54"/>
    <n v="2454"/>
    <n v="79.400000000000006"/>
  </r>
  <r>
    <x v="2"/>
    <d v="2026-03-02T00:00:00"/>
    <s v="Mon"/>
    <s v="Weekday"/>
    <x v="0"/>
    <n v="2020"/>
    <n v="149"/>
    <n v="97"/>
    <n v="2072"/>
    <n v="65.099999999999994"/>
  </r>
  <r>
    <x v="2"/>
    <d v="2026-03-02T00:00:00"/>
    <s v="Mon"/>
    <s v="Weekday"/>
    <x v="1"/>
    <n v="1441"/>
    <n v="92"/>
    <n v="66"/>
    <n v="1467"/>
    <n v="71.7"/>
  </r>
  <r>
    <x v="2"/>
    <d v="2026-03-02T00:00:00"/>
    <s v="Mon"/>
    <s v="Weekday"/>
    <x v="2"/>
    <n v="2248"/>
    <n v="123"/>
    <n v="75"/>
    <n v="2296"/>
    <n v="61"/>
  </r>
  <r>
    <x v="2"/>
    <d v="2026-03-02T00:00:00"/>
    <s v="Mon"/>
    <s v="Weekday"/>
    <x v="3"/>
    <n v="1182"/>
    <n v="94"/>
    <n v="76"/>
    <n v="1200"/>
    <n v="80.900000000000006"/>
  </r>
  <r>
    <x v="2"/>
    <d v="2026-03-02T00:00:00"/>
    <s v="Mon"/>
    <s v="Weekday"/>
    <x v="4"/>
    <n v="2200"/>
    <n v="105"/>
    <n v="82"/>
    <n v="2223"/>
    <n v="78.099999999999994"/>
  </r>
  <r>
    <x v="2"/>
    <d v="2026-03-02T00:00:00"/>
    <s v="Mon"/>
    <s v="Weekday"/>
    <x v="5"/>
    <n v="1309"/>
    <n v="107"/>
    <n v="88"/>
    <n v="1328"/>
    <n v="82.2"/>
  </r>
  <r>
    <x v="2"/>
    <d v="2026-03-02T00:00:00"/>
    <s v="Mon"/>
    <s v="Weekday"/>
    <x v="6"/>
    <n v="1432"/>
    <n v="133"/>
    <n v="111"/>
    <n v="1454"/>
    <n v="83.5"/>
  </r>
  <r>
    <x v="2"/>
    <d v="2026-03-02T00:00:00"/>
    <s v="Mon"/>
    <s v="Weekday"/>
    <x v="7"/>
    <n v="1615"/>
    <n v="67"/>
    <n v="46"/>
    <n v="1636"/>
    <n v="68.7"/>
  </r>
  <r>
    <x v="2"/>
    <d v="2026-03-02T00:00:00"/>
    <s v="Mon"/>
    <s v="Weekday"/>
    <x v="8"/>
    <n v="1852"/>
    <n v="121"/>
    <n v="85"/>
    <n v="1888"/>
    <n v="70.2"/>
  </r>
  <r>
    <x v="2"/>
    <d v="2026-03-02T00:00:00"/>
    <s v="Mon"/>
    <s v="Weekday"/>
    <x v="9"/>
    <n v="812"/>
    <n v="76"/>
    <n v="72"/>
    <n v="816"/>
    <n v="94.7"/>
  </r>
  <r>
    <x v="2"/>
    <d v="2026-03-02T00:00:00"/>
    <s v="Mon"/>
    <s v="Weekday"/>
    <x v="10"/>
    <n v="2454"/>
    <n v="129"/>
    <n v="97"/>
    <n v="2486"/>
    <n v="75.2"/>
  </r>
  <r>
    <x v="2"/>
    <d v="2026-03-03T00:00:00"/>
    <s v="Tue"/>
    <s v="Weekday"/>
    <x v="0"/>
    <n v="2072"/>
    <n v="82"/>
    <n v="58"/>
    <n v="2096"/>
    <n v="70.7"/>
  </r>
  <r>
    <x v="2"/>
    <d v="2026-03-03T00:00:00"/>
    <s v="Tue"/>
    <s v="Weekday"/>
    <x v="1"/>
    <n v="1467"/>
    <n v="129"/>
    <n v="98"/>
    <n v="1498"/>
    <n v="76"/>
  </r>
  <r>
    <x v="2"/>
    <d v="2026-03-03T00:00:00"/>
    <s v="Tue"/>
    <s v="Weekday"/>
    <x v="2"/>
    <n v="2296"/>
    <n v="143"/>
    <n v="104"/>
    <n v="2335"/>
    <n v="72.7"/>
  </r>
  <r>
    <x v="2"/>
    <d v="2026-03-03T00:00:00"/>
    <s v="Tue"/>
    <s v="Weekday"/>
    <x v="3"/>
    <n v="1200"/>
    <n v="91"/>
    <n v="69"/>
    <n v="1222"/>
    <n v="75.8"/>
  </r>
  <r>
    <x v="2"/>
    <d v="2026-03-03T00:00:00"/>
    <s v="Tue"/>
    <s v="Weekday"/>
    <x v="4"/>
    <n v="2223"/>
    <n v="143"/>
    <n v="97"/>
    <n v="2269"/>
    <n v="67.8"/>
  </r>
  <r>
    <x v="2"/>
    <d v="2026-03-03T00:00:00"/>
    <s v="Tue"/>
    <s v="Weekday"/>
    <x v="5"/>
    <n v="1328"/>
    <n v="83"/>
    <n v="57"/>
    <n v="1354"/>
    <n v="68.7"/>
  </r>
  <r>
    <x v="2"/>
    <d v="2026-03-03T00:00:00"/>
    <s v="Tue"/>
    <s v="Weekday"/>
    <x v="6"/>
    <n v="1454"/>
    <n v="100"/>
    <n v="87"/>
    <n v="1467"/>
    <n v="87"/>
  </r>
  <r>
    <x v="2"/>
    <d v="2026-03-03T00:00:00"/>
    <s v="Tue"/>
    <s v="Weekday"/>
    <x v="7"/>
    <n v="1636"/>
    <n v="73"/>
    <n v="62"/>
    <n v="1647"/>
    <n v="84.9"/>
  </r>
  <r>
    <x v="2"/>
    <d v="2026-03-03T00:00:00"/>
    <s v="Tue"/>
    <s v="Weekday"/>
    <x v="8"/>
    <n v="1888"/>
    <n v="131"/>
    <n v="105"/>
    <n v="1914"/>
    <n v="80.2"/>
  </r>
  <r>
    <x v="2"/>
    <d v="2026-03-03T00:00:00"/>
    <s v="Tue"/>
    <s v="Weekday"/>
    <x v="9"/>
    <n v="816"/>
    <n v="77"/>
    <n v="71"/>
    <n v="822"/>
    <n v="92.2"/>
  </r>
  <r>
    <x v="2"/>
    <d v="2026-03-03T00:00:00"/>
    <s v="Tue"/>
    <s v="Weekday"/>
    <x v="10"/>
    <n v="2486"/>
    <n v="136"/>
    <n v="109"/>
    <n v="2513"/>
    <n v="80.099999999999994"/>
  </r>
  <r>
    <x v="2"/>
    <d v="2026-03-04T00:00:00"/>
    <s v="Wed"/>
    <s v="Weekday"/>
    <x v="0"/>
    <n v="2096"/>
    <n v="121"/>
    <n v="86"/>
    <n v="2131"/>
    <n v="71.099999999999994"/>
  </r>
  <r>
    <x v="2"/>
    <d v="2026-03-04T00:00:00"/>
    <s v="Wed"/>
    <s v="Weekday"/>
    <x v="1"/>
    <n v="1498"/>
    <n v="82"/>
    <n v="73"/>
    <n v="1507"/>
    <n v="89"/>
  </r>
  <r>
    <x v="2"/>
    <d v="2026-03-04T00:00:00"/>
    <s v="Wed"/>
    <s v="Weekday"/>
    <x v="2"/>
    <n v="2335"/>
    <n v="132"/>
    <n v="100"/>
    <n v="2367"/>
    <n v="75.8"/>
  </r>
  <r>
    <x v="2"/>
    <d v="2026-03-04T00:00:00"/>
    <s v="Wed"/>
    <s v="Weekday"/>
    <x v="3"/>
    <n v="1222"/>
    <n v="106"/>
    <n v="100"/>
    <n v="1228"/>
    <n v="94.3"/>
  </r>
  <r>
    <x v="2"/>
    <d v="2026-03-04T00:00:00"/>
    <s v="Wed"/>
    <s v="Weekday"/>
    <x v="4"/>
    <n v="2269"/>
    <n v="131"/>
    <n v="96"/>
    <n v="2304"/>
    <n v="73.3"/>
  </r>
  <r>
    <x v="2"/>
    <d v="2026-03-04T00:00:00"/>
    <s v="Wed"/>
    <s v="Weekday"/>
    <x v="5"/>
    <n v="1354"/>
    <n v="68"/>
    <n v="57"/>
    <n v="1365"/>
    <n v="83.8"/>
  </r>
  <r>
    <x v="2"/>
    <d v="2026-03-04T00:00:00"/>
    <s v="Wed"/>
    <s v="Weekday"/>
    <x v="6"/>
    <n v="1467"/>
    <n v="103"/>
    <n v="84"/>
    <n v="1486"/>
    <n v="81.599999999999994"/>
  </r>
  <r>
    <x v="2"/>
    <d v="2026-03-04T00:00:00"/>
    <s v="Wed"/>
    <s v="Weekday"/>
    <x v="7"/>
    <n v="1647"/>
    <n v="108"/>
    <n v="86"/>
    <n v="1669"/>
    <n v="79.599999999999994"/>
  </r>
  <r>
    <x v="2"/>
    <d v="2026-03-04T00:00:00"/>
    <s v="Wed"/>
    <s v="Weekday"/>
    <x v="8"/>
    <n v="1914"/>
    <n v="129"/>
    <n v="105"/>
    <n v="1938"/>
    <n v="81.400000000000006"/>
  </r>
  <r>
    <x v="2"/>
    <d v="2026-03-04T00:00:00"/>
    <s v="Wed"/>
    <s v="Weekday"/>
    <x v="9"/>
    <n v="822"/>
    <n v="82"/>
    <n v="74"/>
    <n v="830"/>
    <n v="90.2"/>
  </r>
  <r>
    <x v="2"/>
    <d v="2026-03-04T00:00:00"/>
    <s v="Wed"/>
    <s v="Weekday"/>
    <x v="10"/>
    <n v="2513"/>
    <n v="158"/>
    <n v="127"/>
    <n v="2544"/>
    <n v="80.400000000000006"/>
  </r>
  <r>
    <x v="2"/>
    <d v="2026-03-05T00:00:00"/>
    <s v="Thu"/>
    <s v="Weekday"/>
    <x v="0"/>
    <n v="2131"/>
    <n v="88"/>
    <n v="65"/>
    <n v="2154"/>
    <n v="73.900000000000006"/>
  </r>
  <r>
    <x v="2"/>
    <d v="2026-03-05T00:00:00"/>
    <s v="Thu"/>
    <s v="Weekday"/>
    <x v="1"/>
    <n v="1507"/>
    <n v="88"/>
    <n v="64"/>
    <n v="1531"/>
    <n v="72.7"/>
  </r>
  <r>
    <x v="2"/>
    <d v="2026-03-05T00:00:00"/>
    <s v="Thu"/>
    <s v="Weekday"/>
    <x v="2"/>
    <n v="2367"/>
    <n v="105"/>
    <n v="68"/>
    <n v="2404"/>
    <n v="64.8"/>
  </r>
  <r>
    <x v="2"/>
    <d v="2026-03-05T00:00:00"/>
    <s v="Thu"/>
    <s v="Weekday"/>
    <x v="3"/>
    <n v="1228"/>
    <n v="91"/>
    <n v="79"/>
    <n v="1240"/>
    <n v="86.8"/>
  </r>
  <r>
    <x v="2"/>
    <d v="2026-03-05T00:00:00"/>
    <s v="Thu"/>
    <s v="Weekday"/>
    <x v="4"/>
    <n v="2304"/>
    <n v="118"/>
    <n v="94"/>
    <n v="2328"/>
    <n v="79.7"/>
  </r>
  <r>
    <x v="2"/>
    <d v="2026-03-05T00:00:00"/>
    <s v="Thu"/>
    <s v="Weekday"/>
    <x v="5"/>
    <n v="1365"/>
    <n v="90"/>
    <n v="72"/>
    <n v="1383"/>
    <n v="80"/>
  </r>
  <r>
    <x v="2"/>
    <d v="2026-03-05T00:00:00"/>
    <s v="Thu"/>
    <s v="Weekday"/>
    <x v="6"/>
    <n v="1486"/>
    <n v="83"/>
    <n v="65"/>
    <n v="1504"/>
    <n v="78.3"/>
  </r>
  <r>
    <x v="2"/>
    <d v="2026-03-05T00:00:00"/>
    <s v="Thu"/>
    <s v="Weekday"/>
    <x v="7"/>
    <n v="1669"/>
    <n v="87"/>
    <n v="59"/>
    <n v="1697"/>
    <n v="67.8"/>
  </r>
  <r>
    <x v="2"/>
    <d v="2026-03-05T00:00:00"/>
    <s v="Thu"/>
    <s v="Weekday"/>
    <x v="8"/>
    <n v="1938"/>
    <n v="140"/>
    <n v="92"/>
    <n v="1986"/>
    <n v="65.7"/>
  </r>
  <r>
    <x v="2"/>
    <d v="2026-03-05T00:00:00"/>
    <s v="Thu"/>
    <s v="Weekday"/>
    <x v="9"/>
    <n v="830"/>
    <n v="97"/>
    <n v="95"/>
    <n v="832"/>
    <n v="97.9"/>
  </r>
  <r>
    <x v="2"/>
    <d v="2026-03-05T00:00:00"/>
    <s v="Thu"/>
    <s v="Weekday"/>
    <x v="10"/>
    <n v="2544"/>
    <n v="150"/>
    <n v="92"/>
    <n v="2602"/>
    <n v="61.3"/>
  </r>
  <r>
    <x v="2"/>
    <d v="2026-03-06T00:00:00"/>
    <s v="Fri"/>
    <s v="Weekday"/>
    <x v="0"/>
    <n v="2154"/>
    <n v="100"/>
    <n v="70"/>
    <n v="2184"/>
    <n v="70"/>
  </r>
  <r>
    <x v="2"/>
    <d v="2026-03-06T00:00:00"/>
    <s v="Fri"/>
    <s v="Weekday"/>
    <x v="1"/>
    <n v="1531"/>
    <n v="72"/>
    <n v="60"/>
    <n v="1543"/>
    <n v="83.3"/>
  </r>
  <r>
    <x v="2"/>
    <d v="2026-03-06T00:00:00"/>
    <s v="Fri"/>
    <s v="Weekday"/>
    <x v="2"/>
    <n v="2404"/>
    <n v="90"/>
    <n v="71"/>
    <n v="2423"/>
    <n v="78.900000000000006"/>
  </r>
  <r>
    <x v="2"/>
    <d v="2026-03-06T00:00:00"/>
    <s v="Fri"/>
    <s v="Weekday"/>
    <x v="3"/>
    <n v="1240"/>
    <n v="70"/>
    <n v="64"/>
    <n v="1246"/>
    <n v="91.4"/>
  </r>
  <r>
    <x v="2"/>
    <d v="2026-03-06T00:00:00"/>
    <s v="Fri"/>
    <s v="Weekday"/>
    <x v="4"/>
    <n v="2328"/>
    <n v="115"/>
    <n v="78"/>
    <n v="2365"/>
    <n v="67.8"/>
  </r>
  <r>
    <x v="2"/>
    <d v="2026-03-06T00:00:00"/>
    <s v="Fri"/>
    <s v="Weekday"/>
    <x v="5"/>
    <n v="1383"/>
    <n v="71"/>
    <n v="48"/>
    <n v="1406"/>
    <n v="67.599999999999994"/>
  </r>
  <r>
    <x v="2"/>
    <d v="2026-03-06T00:00:00"/>
    <s v="Fri"/>
    <s v="Weekday"/>
    <x v="6"/>
    <n v="1504"/>
    <n v="105"/>
    <n v="90"/>
    <n v="1519"/>
    <n v="85.7"/>
  </r>
  <r>
    <x v="2"/>
    <d v="2026-03-06T00:00:00"/>
    <s v="Fri"/>
    <s v="Weekday"/>
    <x v="7"/>
    <n v="1697"/>
    <n v="116"/>
    <n v="88"/>
    <n v="1725"/>
    <n v="75.900000000000006"/>
  </r>
  <r>
    <x v="2"/>
    <d v="2026-03-06T00:00:00"/>
    <s v="Fri"/>
    <s v="Weekday"/>
    <x v="8"/>
    <n v="1986"/>
    <n v="129"/>
    <n v="87"/>
    <n v="2028"/>
    <n v="67.400000000000006"/>
  </r>
  <r>
    <x v="2"/>
    <d v="2026-03-06T00:00:00"/>
    <s v="Fri"/>
    <s v="Weekday"/>
    <x v="9"/>
    <n v="832"/>
    <n v="75"/>
    <n v="59"/>
    <n v="848"/>
    <n v="78.7"/>
  </r>
  <r>
    <x v="2"/>
    <d v="2026-03-06T00:00:00"/>
    <s v="Fri"/>
    <s v="Weekday"/>
    <x v="10"/>
    <n v="2602"/>
    <n v="112"/>
    <n v="81"/>
    <n v="2633"/>
    <n v="72.3"/>
  </r>
  <r>
    <x v="2"/>
    <d v="2026-03-07T00:00:00"/>
    <s v="Sat"/>
    <s v="Weekend"/>
    <x v="0"/>
    <n v="2184"/>
    <n v="33"/>
    <n v="22"/>
    <n v="2195"/>
    <n v="66.7"/>
  </r>
  <r>
    <x v="2"/>
    <d v="2026-03-07T00:00:00"/>
    <s v="Sat"/>
    <s v="Weekend"/>
    <x v="1"/>
    <n v="1543"/>
    <n v="50"/>
    <n v="37"/>
    <n v="1556"/>
    <n v="74"/>
  </r>
  <r>
    <x v="2"/>
    <d v="2026-03-07T00:00:00"/>
    <s v="Sat"/>
    <s v="Weekend"/>
    <x v="2"/>
    <n v="2423"/>
    <n v="79"/>
    <n v="61"/>
    <n v="2441"/>
    <n v="77.2"/>
  </r>
  <r>
    <x v="2"/>
    <d v="2026-03-07T00:00:00"/>
    <s v="Sat"/>
    <s v="Weekend"/>
    <x v="3"/>
    <n v="1246"/>
    <n v="57"/>
    <n v="48"/>
    <n v="1255"/>
    <n v="84.2"/>
  </r>
  <r>
    <x v="2"/>
    <d v="2026-03-07T00:00:00"/>
    <s v="Sat"/>
    <s v="Weekend"/>
    <x v="4"/>
    <n v="2365"/>
    <n v="69"/>
    <n v="42"/>
    <n v="2392"/>
    <n v="60.9"/>
  </r>
  <r>
    <x v="2"/>
    <d v="2026-03-07T00:00:00"/>
    <s v="Sat"/>
    <s v="Weekend"/>
    <x v="5"/>
    <n v="1406"/>
    <n v="23"/>
    <n v="16"/>
    <n v="1413"/>
    <n v="69.599999999999994"/>
  </r>
  <r>
    <x v="2"/>
    <d v="2026-03-07T00:00:00"/>
    <s v="Sat"/>
    <s v="Weekend"/>
    <x v="6"/>
    <n v="1519"/>
    <n v="34"/>
    <n v="26"/>
    <n v="1527"/>
    <n v="76.5"/>
  </r>
  <r>
    <x v="2"/>
    <d v="2026-03-07T00:00:00"/>
    <s v="Sat"/>
    <s v="Weekend"/>
    <x v="7"/>
    <n v="1725"/>
    <n v="27"/>
    <n v="23"/>
    <n v="1729"/>
    <n v="85.2"/>
  </r>
  <r>
    <x v="2"/>
    <d v="2026-03-07T00:00:00"/>
    <s v="Sat"/>
    <s v="Weekend"/>
    <x v="8"/>
    <n v="2028"/>
    <n v="58"/>
    <n v="40"/>
    <n v="2046"/>
    <n v="69"/>
  </r>
  <r>
    <x v="2"/>
    <d v="2026-03-07T00:00:00"/>
    <s v="Sat"/>
    <s v="Weekend"/>
    <x v="9"/>
    <n v="848"/>
    <n v="28"/>
    <n v="25"/>
    <n v="851"/>
    <n v="89.3"/>
  </r>
  <r>
    <x v="2"/>
    <d v="2026-03-07T00:00:00"/>
    <s v="Sat"/>
    <s v="Weekend"/>
    <x v="10"/>
    <n v="2633"/>
    <n v="43"/>
    <n v="30"/>
    <n v="2646"/>
    <n v="69.8"/>
  </r>
  <r>
    <x v="2"/>
    <d v="2026-03-08T00:00:00"/>
    <s v="Sun"/>
    <s v="Weekend"/>
    <x v="0"/>
    <n v="2195"/>
    <n v="40"/>
    <n v="32"/>
    <n v="2203"/>
    <n v="80"/>
  </r>
  <r>
    <x v="2"/>
    <d v="2026-03-08T00:00:00"/>
    <s v="Sun"/>
    <s v="Weekend"/>
    <x v="1"/>
    <n v="1556"/>
    <n v="59"/>
    <n v="52"/>
    <n v="1563"/>
    <n v="88.1"/>
  </r>
  <r>
    <x v="2"/>
    <d v="2026-03-08T00:00:00"/>
    <s v="Sun"/>
    <s v="Weekend"/>
    <x v="2"/>
    <n v="2441"/>
    <n v="51"/>
    <n v="31"/>
    <n v="2461"/>
    <n v="60.8"/>
  </r>
  <r>
    <x v="2"/>
    <d v="2026-03-08T00:00:00"/>
    <s v="Sun"/>
    <s v="Weekend"/>
    <x v="3"/>
    <n v="1255"/>
    <n v="51"/>
    <n v="43"/>
    <n v="1263"/>
    <n v="84.3"/>
  </r>
  <r>
    <x v="2"/>
    <d v="2026-03-08T00:00:00"/>
    <s v="Sun"/>
    <s v="Weekend"/>
    <x v="4"/>
    <n v="2392"/>
    <n v="72"/>
    <n v="50"/>
    <n v="2414"/>
    <n v="69.400000000000006"/>
  </r>
  <r>
    <x v="2"/>
    <d v="2026-03-08T00:00:00"/>
    <s v="Sun"/>
    <s v="Weekend"/>
    <x v="5"/>
    <n v="1413"/>
    <n v="44"/>
    <n v="34"/>
    <n v="1423"/>
    <n v="77.3"/>
  </r>
  <r>
    <x v="2"/>
    <d v="2026-03-08T00:00:00"/>
    <s v="Sun"/>
    <s v="Weekend"/>
    <x v="6"/>
    <n v="1527"/>
    <n v="52"/>
    <n v="39"/>
    <n v="1540"/>
    <n v="75"/>
  </r>
  <r>
    <x v="2"/>
    <d v="2026-03-08T00:00:00"/>
    <s v="Sun"/>
    <s v="Weekend"/>
    <x v="7"/>
    <n v="1729"/>
    <n v="48"/>
    <n v="32"/>
    <n v="1745"/>
    <n v="66.7"/>
  </r>
  <r>
    <x v="2"/>
    <d v="2026-03-08T00:00:00"/>
    <s v="Sun"/>
    <s v="Weekend"/>
    <x v="8"/>
    <n v="2046"/>
    <n v="74"/>
    <n v="48"/>
    <n v="2072"/>
    <n v="64.900000000000006"/>
  </r>
  <r>
    <x v="2"/>
    <d v="2026-03-08T00:00:00"/>
    <s v="Sun"/>
    <s v="Weekend"/>
    <x v="9"/>
    <n v="851"/>
    <n v="46"/>
    <n v="41"/>
    <n v="856"/>
    <n v="89.1"/>
  </r>
  <r>
    <x v="2"/>
    <d v="2026-03-08T00:00:00"/>
    <s v="Sun"/>
    <s v="Weekend"/>
    <x v="10"/>
    <n v="2646"/>
    <n v="85"/>
    <n v="53"/>
    <n v="2678"/>
    <n v="62.4"/>
  </r>
  <r>
    <x v="2"/>
    <d v="2026-03-09T00:00:00"/>
    <s v="Mon"/>
    <s v="Weekday"/>
    <x v="0"/>
    <n v="2203"/>
    <n v="89"/>
    <n v="74"/>
    <n v="2218"/>
    <n v="83.1"/>
  </r>
  <r>
    <x v="2"/>
    <d v="2026-03-09T00:00:00"/>
    <s v="Mon"/>
    <s v="Weekday"/>
    <x v="1"/>
    <n v="1563"/>
    <n v="91"/>
    <n v="63"/>
    <n v="1591"/>
    <n v="69.2"/>
  </r>
  <r>
    <x v="2"/>
    <d v="2026-03-09T00:00:00"/>
    <s v="Mon"/>
    <s v="Weekday"/>
    <x v="2"/>
    <n v="2461"/>
    <n v="113"/>
    <n v="80"/>
    <n v="2494"/>
    <n v="70.8"/>
  </r>
  <r>
    <x v="2"/>
    <d v="2026-03-09T00:00:00"/>
    <s v="Mon"/>
    <s v="Weekday"/>
    <x v="3"/>
    <n v="1263"/>
    <n v="86"/>
    <n v="76"/>
    <n v="1273"/>
    <n v="88.4"/>
  </r>
  <r>
    <x v="2"/>
    <d v="2026-03-09T00:00:00"/>
    <s v="Mon"/>
    <s v="Weekday"/>
    <x v="4"/>
    <n v="2414"/>
    <n v="157"/>
    <n v="115"/>
    <n v="2456"/>
    <n v="73.2"/>
  </r>
  <r>
    <x v="2"/>
    <d v="2026-03-09T00:00:00"/>
    <s v="Mon"/>
    <s v="Weekday"/>
    <x v="5"/>
    <n v="1423"/>
    <n v="69"/>
    <n v="58"/>
    <n v="1434"/>
    <n v="84.1"/>
  </r>
  <r>
    <x v="2"/>
    <d v="2026-03-09T00:00:00"/>
    <s v="Mon"/>
    <s v="Weekday"/>
    <x v="6"/>
    <n v="1540"/>
    <n v="122"/>
    <n v="103"/>
    <n v="1559"/>
    <n v="84.4"/>
  </r>
  <r>
    <x v="2"/>
    <d v="2026-03-09T00:00:00"/>
    <s v="Mon"/>
    <s v="Weekday"/>
    <x v="7"/>
    <n v="1745"/>
    <n v="95"/>
    <n v="69"/>
    <n v="1771"/>
    <n v="72.599999999999994"/>
  </r>
  <r>
    <x v="2"/>
    <d v="2026-03-09T00:00:00"/>
    <s v="Mon"/>
    <s v="Weekday"/>
    <x v="8"/>
    <n v="2072"/>
    <n v="145"/>
    <n v="102"/>
    <n v="2115"/>
    <n v="70.3"/>
  </r>
  <r>
    <x v="2"/>
    <d v="2026-03-09T00:00:00"/>
    <s v="Mon"/>
    <s v="Weekday"/>
    <x v="9"/>
    <n v="856"/>
    <n v="97"/>
    <n v="87"/>
    <n v="866"/>
    <n v="89.7"/>
  </r>
  <r>
    <x v="2"/>
    <d v="2026-03-09T00:00:00"/>
    <s v="Mon"/>
    <s v="Weekday"/>
    <x v="10"/>
    <n v="2678"/>
    <n v="105"/>
    <n v="72"/>
    <n v="2711"/>
    <n v="68.599999999999994"/>
  </r>
  <r>
    <x v="2"/>
    <d v="2026-03-10T00:00:00"/>
    <s v="Tue"/>
    <s v="Weekday"/>
    <x v="0"/>
    <n v="2218"/>
    <n v="134"/>
    <n v="110"/>
    <n v="2242"/>
    <n v="82.1"/>
  </r>
  <r>
    <x v="2"/>
    <d v="2026-03-10T00:00:00"/>
    <s v="Tue"/>
    <s v="Weekday"/>
    <x v="1"/>
    <n v="1591"/>
    <n v="72"/>
    <n v="57"/>
    <n v="1606"/>
    <n v="79.2"/>
  </r>
  <r>
    <x v="2"/>
    <d v="2026-03-10T00:00:00"/>
    <s v="Tue"/>
    <s v="Weekday"/>
    <x v="2"/>
    <n v="2494"/>
    <n v="113"/>
    <n v="81"/>
    <n v="2526"/>
    <n v="71.7"/>
  </r>
  <r>
    <x v="2"/>
    <d v="2026-03-10T00:00:00"/>
    <s v="Tue"/>
    <s v="Weekday"/>
    <x v="3"/>
    <n v="1273"/>
    <n v="119"/>
    <n v="99"/>
    <n v="1293"/>
    <n v="83.2"/>
  </r>
  <r>
    <x v="2"/>
    <d v="2026-03-10T00:00:00"/>
    <s v="Tue"/>
    <s v="Weekday"/>
    <x v="4"/>
    <n v="2456"/>
    <n v="107"/>
    <n v="66"/>
    <n v="2497"/>
    <n v="61.7"/>
  </r>
  <r>
    <x v="2"/>
    <d v="2026-03-10T00:00:00"/>
    <s v="Tue"/>
    <s v="Weekday"/>
    <x v="5"/>
    <n v="1434"/>
    <n v="78"/>
    <n v="54"/>
    <n v="1458"/>
    <n v="69.2"/>
  </r>
  <r>
    <x v="2"/>
    <d v="2026-03-10T00:00:00"/>
    <s v="Tue"/>
    <s v="Weekday"/>
    <x v="6"/>
    <n v="1559"/>
    <n v="114"/>
    <n v="84"/>
    <n v="1589"/>
    <n v="73.7"/>
  </r>
  <r>
    <x v="2"/>
    <d v="2026-03-10T00:00:00"/>
    <s v="Tue"/>
    <s v="Weekday"/>
    <x v="7"/>
    <n v="1771"/>
    <n v="90"/>
    <n v="75"/>
    <n v="1786"/>
    <n v="83.3"/>
  </r>
  <r>
    <x v="2"/>
    <d v="2026-03-10T00:00:00"/>
    <s v="Tue"/>
    <s v="Weekday"/>
    <x v="8"/>
    <n v="2115"/>
    <n v="102"/>
    <n v="75"/>
    <n v="2142"/>
    <n v="73.5"/>
  </r>
  <r>
    <x v="2"/>
    <d v="2026-03-10T00:00:00"/>
    <s v="Tue"/>
    <s v="Weekday"/>
    <x v="9"/>
    <n v="866"/>
    <n v="66"/>
    <n v="55"/>
    <n v="877"/>
    <n v="83.3"/>
  </r>
  <r>
    <x v="2"/>
    <d v="2026-03-10T00:00:00"/>
    <s v="Tue"/>
    <s v="Weekday"/>
    <x v="10"/>
    <n v="2711"/>
    <n v="112"/>
    <n v="89"/>
    <n v="2734"/>
    <n v="79.5"/>
  </r>
  <r>
    <x v="2"/>
    <d v="2026-03-11T00:00:00"/>
    <s v="Wed"/>
    <s v="Weekday"/>
    <x v="0"/>
    <n v="2242"/>
    <n v="128"/>
    <n v="98"/>
    <n v="2272"/>
    <n v="76.599999999999994"/>
  </r>
  <r>
    <x v="2"/>
    <d v="2026-03-11T00:00:00"/>
    <s v="Wed"/>
    <s v="Weekday"/>
    <x v="1"/>
    <n v="1606"/>
    <n v="89"/>
    <n v="68"/>
    <n v="1627"/>
    <n v="76.400000000000006"/>
  </r>
  <r>
    <x v="2"/>
    <d v="2026-03-11T00:00:00"/>
    <s v="Wed"/>
    <s v="Weekday"/>
    <x v="2"/>
    <n v="2526"/>
    <n v="158"/>
    <n v="99"/>
    <n v="2585"/>
    <n v="62.7"/>
  </r>
  <r>
    <x v="2"/>
    <d v="2026-03-11T00:00:00"/>
    <s v="Wed"/>
    <s v="Weekday"/>
    <x v="3"/>
    <n v="1293"/>
    <n v="78"/>
    <n v="66"/>
    <n v="1305"/>
    <n v="84.6"/>
  </r>
  <r>
    <x v="2"/>
    <d v="2026-03-11T00:00:00"/>
    <s v="Wed"/>
    <s v="Weekday"/>
    <x v="4"/>
    <n v="2497"/>
    <n v="117"/>
    <n v="84"/>
    <n v="2530"/>
    <n v="71.8"/>
  </r>
  <r>
    <x v="2"/>
    <d v="2026-03-11T00:00:00"/>
    <s v="Wed"/>
    <s v="Weekday"/>
    <x v="5"/>
    <n v="1458"/>
    <n v="67"/>
    <n v="54"/>
    <n v="1471"/>
    <n v="80.599999999999994"/>
  </r>
  <r>
    <x v="2"/>
    <d v="2026-03-11T00:00:00"/>
    <s v="Wed"/>
    <s v="Weekday"/>
    <x v="6"/>
    <n v="1589"/>
    <n v="81"/>
    <n v="61"/>
    <n v="1609"/>
    <n v="75.3"/>
  </r>
  <r>
    <x v="2"/>
    <d v="2026-03-11T00:00:00"/>
    <s v="Wed"/>
    <s v="Weekday"/>
    <x v="7"/>
    <n v="1786"/>
    <n v="72"/>
    <n v="50"/>
    <n v="1808"/>
    <n v="69.400000000000006"/>
  </r>
  <r>
    <x v="2"/>
    <d v="2026-03-11T00:00:00"/>
    <s v="Wed"/>
    <s v="Weekday"/>
    <x v="8"/>
    <n v="2142"/>
    <n v="144"/>
    <n v="117"/>
    <n v="2169"/>
    <n v="81.2"/>
  </r>
  <r>
    <x v="2"/>
    <d v="2026-03-11T00:00:00"/>
    <s v="Wed"/>
    <s v="Weekday"/>
    <x v="9"/>
    <n v="877"/>
    <n v="58"/>
    <n v="48"/>
    <n v="887"/>
    <n v="82.8"/>
  </r>
  <r>
    <x v="2"/>
    <d v="2026-03-11T00:00:00"/>
    <s v="Wed"/>
    <s v="Weekday"/>
    <x v="10"/>
    <n v="2734"/>
    <n v="111"/>
    <n v="79"/>
    <n v="2766"/>
    <n v="71.2"/>
  </r>
  <r>
    <x v="2"/>
    <d v="2026-03-12T00:00:00"/>
    <s v="Thu"/>
    <s v="Weekday"/>
    <x v="0"/>
    <n v="2272"/>
    <n v="104"/>
    <n v="72"/>
    <n v="2304"/>
    <n v="69.2"/>
  </r>
  <r>
    <x v="2"/>
    <d v="2026-03-12T00:00:00"/>
    <s v="Thu"/>
    <s v="Weekday"/>
    <x v="1"/>
    <n v="1627"/>
    <n v="91"/>
    <n v="80"/>
    <n v="1638"/>
    <n v="87.9"/>
  </r>
  <r>
    <x v="2"/>
    <d v="2026-03-12T00:00:00"/>
    <s v="Thu"/>
    <s v="Weekday"/>
    <x v="2"/>
    <n v="2585"/>
    <n v="124"/>
    <n v="97"/>
    <n v="2612"/>
    <n v="78.2"/>
  </r>
  <r>
    <x v="2"/>
    <d v="2026-03-12T00:00:00"/>
    <s v="Thu"/>
    <s v="Weekday"/>
    <x v="3"/>
    <n v="1305"/>
    <n v="83"/>
    <n v="73"/>
    <n v="1315"/>
    <n v="88"/>
  </r>
  <r>
    <x v="2"/>
    <d v="2026-03-12T00:00:00"/>
    <s v="Thu"/>
    <s v="Weekday"/>
    <x v="4"/>
    <n v="2530"/>
    <n v="174"/>
    <n v="128"/>
    <n v="2576"/>
    <n v="73.599999999999994"/>
  </r>
  <r>
    <x v="2"/>
    <d v="2026-03-12T00:00:00"/>
    <s v="Thu"/>
    <s v="Weekday"/>
    <x v="5"/>
    <n v="1471"/>
    <n v="76"/>
    <n v="65"/>
    <n v="1482"/>
    <n v="85.5"/>
  </r>
  <r>
    <x v="2"/>
    <d v="2026-03-12T00:00:00"/>
    <s v="Thu"/>
    <s v="Weekday"/>
    <x v="6"/>
    <n v="1609"/>
    <n v="109"/>
    <n v="94"/>
    <n v="1624"/>
    <n v="86.2"/>
  </r>
  <r>
    <x v="2"/>
    <d v="2026-03-12T00:00:00"/>
    <s v="Thu"/>
    <s v="Weekday"/>
    <x v="7"/>
    <n v="1808"/>
    <n v="69"/>
    <n v="45"/>
    <n v="1832"/>
    <n v="65.2"/>
  </r>
  <r>
    <x v="2"/>
    <d v="2026-03-12T00:00:00"/>
    <s v="Thu"/>
    <s v="Weekday"/>
    <x v="8"/>
    <n v="2169"/>
    <n v="139"/>
    <n v="97"/>
    <n v="2211"/>
    <n v="69.8"/>
  </r>
  <r>
    <x v="2"/>
    <d v="2026-03-12T00:00:00"/>
    <s v="Thu"/>
    <s v="Weekday"/>
    <x v="9"/>
    <n v="887"/>
    <n v="58"/>
    <n v="48"/>
    <n v="897"/>
    <n v="82.8"/>
  </r>
  <r>
    <x v="2"/>
    <d v="2026-03-12T00:00:00"/>
    <s v="Thu"/>
    <s v="Weekday"/>
    <x v="10"/>
    <n v="2766"/>
    <n v="127"/>
    <n v="90"/>
    <n v="2803"/>
    <n v="70.900000000000006"/>
  </r>
  <r>
    <x v="2"/>
    <d v="2026-03-13T00:00:00"/>
    <s v="Fri"/>
    <s v="Weekday"/>
    <x v="0"/>
    <n v="2304"/>
    <n v="123"/>
    <n v="88"/>
    <n v="2339"/>
    <n v="71.5"/>
  </r>
  <r>
    <x v="2"/>
    <d v="2026-03-13T00:00:00"/>
    <s v="Fri"/>
    <s v="Weekday"/>
    <x v="1"/>
    <n v="1638"/>
    <n v="82"/>
    <n v="70"/>
    <n v="1650"/>
    <n v="85.4"/>
  </r>
  <r>
    <x v="2"/>
    <d v="2026-03-13T00:00:00"/>
    <s v="Fri"/>
    <s v="Weekday"/>
    <x v="2"/>
    <n v="2612"/>
    <n v="147"/>
    <n v="104"/>
    <n v="2655"/>
    <n v="70.7"/>
  </r>
  <r>
    <x v="2"/>
    <d v="2026-03-13T00:00:00"/>
    <s v="Fri"/>
    <s v="Weekday"/>
    <x v="3"/>
    <n v="1315"/>
    <n v="76"/>
    <n v="68"/>
    <n v="1323"/>
    <n v="89.5"/>
  </r>
  <r>
    <x v="2"/>
    <d v="2026-03-13T00:00:00"/>
    <s v="Fri"/>
    <s v="Weekday"/>
    <x v="4"/>
    <n v="2576"/>
    <n v="132"/>
    <n v="108"/>
    <n v="2600"/>
    <n v="81.8"/>
  </r>
  <r>
    <x v="2"/>
    <d v="2026-03-13T00:00:00"/>
    <s v="Fri"/>
    <s v="Weekday"/>
    <x v="5"/>
    <n v="1482"/>
    <n v="73"/>
    <n v="56"/>
    <n v="1499"/>
    <n v="76.7"/>
  </r>
  <r>
    <x v="2"/>
    <d v="2026-03-13T00:00:00"/>
    <s v="Fri"/>
    <s v="Weekday"/>
    <x v="6"/>
    <n v="1624"/>
    <n v="81"/>
    <n v="69"/>
    <n v="1636"/>
    <n v="85.2"/>
  </r>
  <r>
    <x v="2"/>
    <d v="2026-03-13T00:00:00"/>
    <s v="Fri"/>
    <s v="Weekday"/>
    <x v="7"/>
    <n v="1832"/>
    <n v="108"/>
    <n v="71"/>
    <n v="1869"/>
    <n v="65.7"/>
  </r>
  <r>
    <x v="2"/>
    <d v="2026-03-13T00:00:00"/>
    <s v="Fri"/>
    <s v="Weekday"/>
    <x v="8"/>
    <n v="2211"/>
    <n v="107"/>
    <n v="82"/>
    <n v="2236"/>
    <n v="76.599999999999994"/>
  </r>
  <r>
    <x v="2"/>
    <d v="2026-03-13T00:00:00"/>
    <s v="Fri"/>
    <s v="Weekday"/>
    <x v="9"/>
    <n v="897"/>
    <n v="57"/>
    <n v="46"/>
    <n v="908"/>
    <n v="80.7"/>
  </r>
  <r>
    <x v="2"/>
    <d v="2026-03-13T00:00:00"/>
    <s v="Fri"/>
    <s v="Weekday"/>
    <x v="10"/>
    <n v="2803"/>
    <n v="98"/>
    <n v="61"/>
    <n v="2840"/>
    <n v="62.2"/>
  </r>
  <r>
    <x v="2"/>
    <d v="2026-03-14T00:00:00"/>
    <s v="Sat"/>
    <s v="Weekend"/>
    <x v="0"/>
    <n v="2339"/>
    <n v="64"/>
    <n v="41"/>
    <n v="2362"/>
    <n v="64.099999999999994"/>
  </r>
  <r>
    <x v="2"/>
    <d v="2026-03-14T00:00:00"/>
    <s v="Sat"/>
    <s v="Weekend"/>
    <x v="1"/>
    <n v="1650"/>
    <n v="28"/>
    <n v="23"/>
    <n v="1655"/>
    <n v="82.1"/>
  </r>
  <r>
    <x v="2"/>
    <d v="2026-03-14T00:00:00"/>
    <s v="Sat"/>
    <s v="Weekend"/>
    <x v="2"/>
    <n v="2655"/>
    <n v="69"/>
    <n v="53"/>
    <n v="2671"/>
    <n v="76.8"/>
  </r>
  <r>
    <x v="2"/>
    <d v="2026-03-14T00:00:00"/>
    <s v="Sat"/>
    <s v="Weekend"/>
    <x v="3"/>
    <n v="1323"/>
    <n v="32"/>
    <n v="25"/>
    <n v="1330"/>
    <n v="78.099999999999994"/>
  </r>
  <r>
    <x v="2"/>
    <d v="2026-03-14T00:00:00"/>
    <s v="Sat"/>
    <s v="Weekend"/>
    <x v="4"/>
    <n v="2600"/>
    <n v="82"/>
    <n v="53"/>
    <n v="2629"/>
    <n v="64.599999999999994"/>
  </r>
  <r>
    <x v="2"/>
    <d v="2026-03-14T00:00:00"/>
    <s v="Sat"/>
    <s v="Weekend"/>
    <x v="5"/>
    <n v="1499"/>
    <n v="45"/>
    <n v="39"/>
    <n v="1505"/>
    <n v="86.7"/>
  </r>
  <r>
    <x v="2"/>
    <d v="2026-03-14T00:00:00"/>
    <s v="Sat"/>
    <s v="Weekend"/>
    <x v="6"/>
    <n v="1636"/>
    <n v="44"/>
    <n v="40"/>
    <n v="1640"/>
    <n v="90.9"/>
  </r>
  <r>
    <x v="2"/>
    <d v="2026-03-14T00:00:00"/>
    <s v="Sat"/>
    <s v="Weekend"/>
    <x v="7"/>
    <n v="1869"/>
    <n v="38"/>
    <n v="32"/>
    <n v="1875"/>
    <n v="84.2"/>
  </r>
  <r>
    <x v="2"/>
    <d v="2026-03-14T00:00:00"/>
    <s v="Sat"/>
    <s v="Weekend"/>
    <x v="8"/>
    <n v="2236"/>
    <n v="45"/>
    <n v="28"/>
    <n v="2253"/>
    <n v="62.2"/>
  </r>
  <r>
    <x v="2"/>
    <d v="2026-03-14T00:00:00"/>
    <s v="Sat"/>
    <s v="Weekend"/>
    <x v="9"/>
    <n v="908"/>
    <n v="50"/>
    <n v="40"/>
    <n v="918"/>
    <n v="80"/>
  </r>
  <r>
    <x v="2"/>
    <d v="2026-03-14T00:00:00"/>
    <s v="Sat"/>
    <s v="Weekend"/>
    <x v="10"/>
    <n v="2840"/>
    <n v="68"/>
    <n v="51"/>
    <n v="2857"/>
    <n v="75"/>
  </r>
  <r>
    <x v="2"/>
    <d v="2026-03-15T00:00:00"/>
    <s v="Sun"/>
    <s v="Weekend"/>
    <x v="0"/>
    <n v="2362"/>
    <n v="34"/>
    <n v="22"/>
    <n v="2374"/>
    <n v="64.7"/>
  </r>
  <r>
    <x v="2"/>
    <d v="2026-03-15T00:00:00"/>
    <s v="Sun"/>
    <s v="Weekend"/>
    <x v="1"/>
    <n v="1655"/>
    <n v="29"/>
    <n v="25"/>
    <n v="1659"/>
    <n v="86.2"/>
  </r>
  <r>
    <x v="2"/>
    <d v="2026-03-15T00:00:00"/>
    <s v="Sun"/>
    <s v="Weekend"/>
    <x v="2"/>
    <n v="2671"/>
    <n v="68"/>
    <n v="54"/>
    <n v="2685"/>
    <n v="79.400000000000006"/>
  </r>
  <r>
    <x v="2"/>
    <d v="2026-03-15T00:00:00"/>
    <s v="Sun"/>
    <s v="Weekend"/>
    <x v="3"/>
    <n v="1330"/>
    <n v="41"/>
    <n v="38"/>
    <n v="1333"/>
    <n v="92.7"/>
  </r>
  <r>
    <x v="2"/>
    <d v="2026-03-15T00:00:00"/>
    <s v="Sun"/>
    <s v="Weekend"/>
    <x v="4"/>
    <n v="2629"/>
    <n v="82"/>
    <n v="65"/>
    <n v="2646"/>
    <n v="79.3"/>
  </r>
  <r>
    <x v="2"/>
    <d v="2026-03-15T00:00:00"/>
    <s v="Sun"/>
    <s v="Weekend"/>
    <x v="5"/>
    <n v="1505"/>
    <n v="37"/>
    <n v="25"/>
    <n v="1517"/>
    <n v="67.599999999999994"/>
  </r>
  <r>
    <x v="2"/>
    <d v="2026-03-15T00:00:00"/>
    <s v="Sun"/>
    <s v="Weekend"/>
    <x v="6"/>
    <n v="1640"/>
    <n v="60"/>
    <n v="54"/>
    <n v="1646"/>
    <n v="90"/>
  </r>
  <r>
    <x v="2"/>
    <d v="2026-03-15T00:00:00"/>
    <s v="Sun"/>
    <s v="Weekend"/>
    <x v="7"/>
    <n v="1875"/>
    <n v="60"/>
    <n v="44"/>
    <n v="1891"/>
    <n v="73.3"/>
  </r>
  <r>
    <x v="2"/>
    <d v="2026-03-15T00:00:00"/>
    <s v="Sun"/>
    <s v="Weekend"/>
    <x v="8"/>
    <n v="2253"/>
    <n v="77"/>
    <n v="61"/>
    <n v="2269"/>
    <n v="79.2"/>
  </r>
  <r>
    <x v="2"/>
    <d v="2026-03-15T00:00:00"/>
    <s v="Sun"/>
    <s v="Weekend"/>
    <x v="9"/>
    <n v="918"/>
    <n v="45"/>
    <n v="35"/>
    <n v="928"/>
    <n v="77.8"/>
  </r>
  <r>
    <x v="2"/>
    <d v="2026-03-15T00:00:00"/>
    <s v="Sun"/>
    <s v="Weekend"/>
    <x v="10"/>
    <n v="2857"/>
    <n v="58"/>
    <n v="40"/>
    <n v="2875"/>
    <n v="69"/>
  </r>
  <r>
    <x v="2"/>
    <d v="2026-03-16T00:00:00"/>
    <s v="Mon"/>
    <s v="Weekday"/>
    <x v="0"/>
    <n v="2374"/>
    <n v="82"/>
    <n v="58"/>
    <n v="2398"/>
    <n v="70.7"/>
  </r>
  <r>
    <x v="2"/>
    <d v="2026-03-16T00:00:00"/>
    <s v="Mon"/>
    <s v="Weekday"/>
    <x v="1"/>
    <n v="1659"/>
    <n v="125"/>
    <n v="101"/>
    <n v="1683"/>
    <n v="80.8"/>
  </r>
  <r>
    <x v="2"/>
    <d v="2026-03-16T00:00:00"/>
    <s v="Mon"/>
    <s v="Weekday"/>
    <x v="2"/>
    <n v="2685"/>
    <n v="91"/>
    <n v="69"/>
    <n v="2707"/>
    <n v="75.8"/>
  </r>
  <r>
    <x v="2"/>
    <d v="2026-03-16T00:00:00"/>
    <s v="Mon"/>
    <s v="Weekday"/>
    <x v="3"/>
    <n v="1333"/>
    <n v="107"/>
    <n v="100"/>
    <n v="1340"/>
    <n v="93.5"/>
  </r>
  <r>
    <x v="2"/>
    <d v="2026-03-16T00:00:00"/>
    <s v="Mon"/>
    <s v="Weekday"/>
    <x v="4"/>
    <n v="2646"/>
    <n v="158"/>
    <n v="129"/>
    <n v="2675"/>
    <n v="81.599999999999994"/>
  </r>
  <r>
    <x v="2"/>
    <d v="2026-03-16T00:00:00"/>
    <s v="Mon"/>
    <s v="Weekday"/>
    <x v="5"/>
    <n v="1517"/>
    <n v="109"/>
    <n v="79"/>
    <n v="1547"/>
    <n v="72.5"/>
  </r>
  <r>
    <x v="2"/>
    <d v="2026-03-16T00:00:00"/>
    <s v="Mon"/>
    <s v="Weekday"/>
    <x v="6"/>
    <n v="1646"/>
    <n v="128"/>
    <n v="112"/>
    <n v="1662"/>
    <n v="87.5"/>
  </r>
  <r>
    <x v="2"/>
    <d v="2026-03-16T00:00:00"/>
    <s v="Mon"/>
    <s v="Weekday"/>
    <x v="7"/>
    <n v="1891"/>
    <n v="113"/>
    <n v="86"/>
    <n v="1918"/>
    <n v="76.099999999999994"/>
  </r>
  <r>
    <x v="2"/>
    <d v="2026-03-16T00:00:00"/>
    <s v="Mon"/>
    <s v="Weekday"/>
    <x v="8"/>
    <n v="2269"/>
    <n v="131"/>
    <n v="105"/>
    <n v="2295"/>
    <n v="80.2"/>
  </r>
  <r>
    <x v="2"/>
    <d v="2026-03-16T00:00:00"/>
    <s v="Mon"/>
    <s v="Weekday"/>
    <x v="9"/>
    <n v="928"/>
    <n v="94"/>
    <n v="88"/>
    <n v="934"/>
    <n v="93.6"/>
  </r>
  <r>
    <x v="2"/>
    <d v="2026-03-16T00:00:00"/>
    <s v="Mon"/>
    <s v="Weekday"/>
    <x v="10"/>
    <n v="2875"/>
    <n v="163"/>
    <n v="122"/>
    <n v="2916"/>
    <n v="74.8"/>
  </r>
  <r>
    <x v="2"/>
    <d v="2026-03-17T00:00:00"/>
    <s v="Tue"/>
    <s v="Weekday"/>
    <x v="0"/>
    <n v="2398"/>
    <n v="128"/>
    <n v="107"/>
    <n v="2419"/>
    <n v="83.6"/>
  </r>
  <r>
    <x v="2"/>
    <d v="2026-03-17T00:00:00"/>
    <s v="Tue"/>
    <s v="Weekday"/>
    <x v="1"/>
    <n v="1683"/>
    <n v="82"/>
    <n v="62"/>
    <n v="1703"/>
    <n v="75.599999999999994"/>
  </r>
  <r>
    <x v="2"/>
    <d v="2026-03-17T00:00:00"/>
    <s v="Tue"/>
    <s v="Weekday"/>
    <x v="2"/>
    <n v="2707"/>
    <n v="93"/>
    <n v="60"/>
    <n v="2740"/>
    <n v="64.5"/>
  </r>
  <r>
    <x v="2"/>
    <d v="2026-03-17T00:00:00"/>
    <s v="Tue"/>
    <s v="Weekday"/>
    <x v="3"/>
    <n v="1340"/>
    <n v="119"/>
    <n v="110"/>
    <n v="1349"/>
    <n v="92.4"/>
  </r>
  <r>
    <x v="2"/>
    <d v="2026-03-17T00:00:00"/>
    <s v="Tue"/>
    <s v="Weekday"/>
    <x v="4"/>
    <n v="2675"/>
    <n v="140"/>
    <n v="112"/>
    <n v="2703"/>
    <n v="80"/>
  </r>
  <r>
    <x v="2"/>
    <d v="2026-03-17T00:00:00"/>
    <s v="Tue"/>
    <s v="Weekday"/>
    <x v="5"/>
    <n v="1547"/>
    <n v="56"/>
    <n v="47"/>
    <n v="1556"/>
    <n v="83.9"/>
  </r>
  <r>
    <x v="2"/>
    <d v="2026-03-17T00:00:00"/>
    <s v="Tue"/>
    <s v="Weekday"/>
    <x v="6"/>
    <n v="1662"/>
    <n v="136"/>
    <n v="119"/>
    <n v="1679"/>
    <n v="87.5"/>
  </r>
  <r>
    <x v="2"/>
    <d v="2026-03-17T00:00:00"/>
    <s v="Tue"/>
    <s v="Weekday"/>
    <x v="7"/>
    <n v="1918"/>
    <n v="82"/>
    <n v="56"/>
    <n v="1944"/>
    <n v="68.3"/>
  </r>
  <r>
    <x v="2"/>
    <d v="2026-03-17T00:00:00"/>
    <s v="Tue"/>
    <s v="Weekday"/>
    <x v="8"/>
    <n v="2295"/>
    <n v="123"/>
    <n v="88"/>
    <n v="2330"/>
    <n v="71.5"/>
  </r>
  <r>
    <x v="2"/>
    <d v="2026-03-17T00:00:00"/>
    <s v="Tue"/>
    <s v="Weekday"/>
    <x v="9"/>
    <n v="934"/>
    <n v="104"/>
    <n v="99"/>
    <n v="939"/>
    <n v="95.2"/>
  </r>
  <r>
    <x v="2"/>
    <d v="2026-03-17T00:00:00"/>
    <s v="Tue"/>
    <s v="Weekday"/>
    <x v="10"/>
    <n v="2916"/>
    <n v="108"/>
    <n v="73"/>
    <n v="2951"/>
    <n v="67.599999999999994"/>
  </r>
  <r>
    <x v="2"/>
    <d v="2026-03-18T00:00:00"/>
    <s v="Wed"/>
    <s v="Weekday"/>
    <x v="0"/>
    <n v="2419"/>
    <n v="150"/>
    <n v="121"/>
    <n v="2448"/>
    <n v="80.7"/>
  </r>
  <r>
    <x v="2"/>
    <d v="2026-03-18T00:00:00"/>
    <s v="Wed"/>
    <s v="Weekday"/>
    <x v="1"/>
    <n v="1703"/>
    <n v="92"/>
    <n v="68"/>
    <n v="1727"/>
    <n v="73.900000000000006"/>
  </r>
  <r>
    <x v="2"/>
    <d v="2026-03-18T00:00:00"/>
    <s v="Wed"/>
    <s v="Weekday"/>
    <x v="2"/>
    <n v="2740"/>
    <n v="142"/>
    <n v="108"/>
    <n v="2774"/>
    <n v="76.099999999999994"/>
  </r>
  <r>
    <x v="2"/>
    <d v="2026-03-18T00:00:00"/>
    <s v="Wed"/>
    <s v="Weekday"/>
    <x v="3"/>
    <n v="1349"/>
    <n v="63"/>
    <n v="47"/>
    <n v="1365"/>
    <n v="74.599999999999994"/>
  </r>
  <r>
    <x v="2"/>
    <d v="2026-03-18T00:00:00"/>
    <s v="Wed"/>
    <s v="Weekday"/>
    <x v="4"/>
    <n v="2703"/>
    <n v="178"/>
    <n v="136"/>
    <n v="2745"/>
    <n v="76.400000000000006"/>
  </r>
  <r>
    <x v="2"/>
    <d v="2026-03-18T00:00:00"/>
    <s v="Wed"/>
    <s v="Weekday"/>
    <x v="5"/>
    <n v="1556"/>
    <n v="92"/>
    <n v="64"/>
    <n v="1584"/>
    <n v="69.599999999999994"/>
  </r>
  <r>
    <x v="2"/>
    <d v="2026-03-18T00:00:00"/>
    <s v="Wed"/>
    <s v="Weekday"/>
    <x v="6"/>
    <n v="1679"/>
    <n v="109"/>
    <n v="83"/>
    <n v="1705"/>
    <n v="76.099999999999994"/>
  </r>
  <r>
    <x v="2"/>
    <d v="2026-03-18T00:00:00"/>
    <s v="Wed"/>
    <s v="Weekday"/>
    <x v="7"/>
    <n v="1944"/>
    <n v="106"/>
    <n v="73"/>
    <n v="1977"/>
    <n v="68.900000000000006"/>
  </r>
  <r>
    <x v="2"/>
    <d v="2026-03-18T00:00:00"/>
    <s v="Wed"/>
    <s v="Weekday"/>
    <x v="8"/>
    <n v="2330"/>
    <n v="111"/>
    <n v="79"/>
    <n v="2362"/>
    <n v="71.2"/>
  </r>
  <r>
    <x v="2"/>
    <d v="2026-03-18T00:00:00"/>
    <s v="Wed"/>
    <s v="Weekday"/>
    <x v="9"/>
    <n v="939"/>
    <n v="85"/>
    <n v="68"/>
    <n v="956"/>
    <n v="80"/>
  </r>
  <r>
    <x v="2"/>
    <d v="2026-03-18T00:00:00"/>
    <s v="Wed"/>
    <s v="Weekday"/>
    <x v="10"/>
    <n v="2951"/>
    <n v="140"/>
    <n v="109"/>
    <n v="2982"/>
    <n v="77.900000000000006"/>
  </r>
  <r>
    <x v="2"/>
    <d v="2026-03-19T00:00:00"/>
    <s v="Thu"/>
    <s v="Weekday"/>
    <x v="0"/>
    <n v="2448"/>
    <n v="137"/>
    <n v="108"/>
    <n v="2477"/>
    <n v="78.8"/>
  </r>
  <r>
    <x v="2"/>
    <d v="2026-03-19T00:00:00"/>
    <s v="Thu"/>
    <s v="Weekday"/>
    <x v="1"/>
    <n v="1727"/>
    <n v="83"/>
    <n v="68"/>
    <n v="1742"/>
    <n v="81.900000000000006"/>
  </r>
  <r>
    <x v="2"/>
    <d v="2026-03-19T00:00:00"/>
    <s v="Thu"/>
    <s v="Weekday"/>
    <x v="2"/>
    <n v="2774"/>
    <n v="120"/>
    <n v="82"/>
    <n v="2812"/>
    <n v="68.3"/>
  </r>
  <r>
    <x v="2"/>
    <d v="2026-03-19T00:00:00"/>
    <s v="Thu"/>
    <s v="Weekday"/>
    <x v="3"/>
    <n v="1365"/>
    <n v="64"/>
    <n v="58"/>
    <n v="1371"/>
    <n v="90.6"/>
  </r>
  <r>
    <x v="2"/>
    <d v="2026-03-19T00:00:00"/>
    <s v="Thu"/>
    <s v="Weekday"/>
    <x v="4"/>
    <n v="2745"/>
    <n v="137"/>
    <n v="103"/>
    <n v="2779"/>
    <n v="75.2"/>
  </r>
  <r>
    <x v="2"/>
    <d v="2026-03-19T00:00:00"/>
    <s v="Thu"/>
    <s v="Weekday"/>
    <x v="5"/>
    <n v="1584"/>
    <n v="97"/>
    <n v="78"/>
    <n v="1603"/>
    <n v="80.400000000000006"/>
  </r>
  <r>
    <x v="2"/>
    <d v="2026-03-19T00:00:00"/>
    <s v="Thu"/>
    <s v="Weekday"/>
    <x v="6"/>
    <n v="1705"/>
    <n v="127"/>
    <n v="114"/>
    <n v="1718"/>
    <n v="89.8"/>
  </r>
  <r>
    <x v="2"/>
    <d v="2026-03-19T00:00:00"/>
    <s v="Thu"/>
    <s v="Weekday"/>
    <x v="7"/>
    <n v="1977"/>
    <n v="79"/>
    <n v="60"/>
    <n v="1996"/>
    <n v="75.900000000000006"/>
  </r>
  <r>
    <x v="2"/>
    <d v="2026-03-19T00:00:00"/>
    <s v="Thu"/>
    <s v="Weekday"/>
    <x v="8"/>
    <n v="2362"/>
    <n v="107"/>
    <n v="71"/>
    <n v="2398"/>
    <n v="66.400000000000006"/>
  </r>
  <r>
    <x v="2"/>
    <d v="2026-03-19T00:00:00"/>
    <s v="Thu"/>
    <s v="Weekday"/>
    <x v="9"/>
    <n v="956"/>
    <n v="78"/>
    <n v="76"/>
    <n v="958"/>
    <n v="97.4"/>
  </r>
  <r>
    <x v="2"/>
    <d v="2026-03-19T00:00:00"/>
    <s v="Thu"/>
    <s v="Weekday"/>
    <x v="10"/>
    <n v="2982"/>
    <n v="129"/>
    <n v="86"/>
    <n v="3025"/>
    <n v="66.7"/>
  </r>
  <r>
    <x v="2"/>
    <d v="2026-03-20T00:00:00"/>
    <s v="Fri"/>
    <s v="Weekday"/>
    <x v="0"/>
    <n v="2477"/>
    <n v="98"/>
    <n v="64"/>
    <n v="2511"/>
    <n v="65.3"/>
  </r>
  <r>
    <x v="2"/>
    <d v="2026-03-20T00:00:00"/>
    <s v="Fri"/>
    <s v="Weekday"/>
    <x v="1"/>
    <n v="1742"/>
    <n v="107"/>
    <n v="86"/>
    <n v="1763"/>
    <n v="80.400000000000006"/>
  </r>
  <r>
    <x v="2"/>
    <d v="2026-03-20T00:00:00"/>
    <s v="Fri"/>
    <s v="Weekday"/>
    <x v="2"/>
    <n v="2812"/>
    <n v="100"/>
    <n v="75"/>
    <n v="2837"/>
    <n v="75"/>
  </r>
  <r>
    <x v="2"/>
    <d v="2026-03-20T00:00:00"/>
    <s v="Fri"/>
    <s v="Weekday"/>
    <x v="3"/>
    <n v="1371"/>
    <n v="66"/>
    <n v="59"/>
    <n v="1378"/>
    <n v="89.4"/>
  </r>
  <r>
    <x v="2"/>
    <d v="2026-03-20T00:00:00"/>
    <s v="Fri"/>
    <s v="Weekday"/>
    <x v="4"/>
    <n v="2779"/>
    <n v="131"/>
    <n v="96"/>
    <n v="2814"/>
    <n v="73.3"/>
  </r>
  <r>
    <x v="2"/>
    <d v="2026-03-20T00:00:00"/>
    <s v="Fri"/>
    <s v="Weekday"/>
    <x v="5"/>
    <n v="1603"/>
    <n v="74"/>
    <n v="52"/>
    <n v="1625"/>
    <n v="70.3"/>
  </r>
  <r>
    <x v="2"/>
    <d v="2026-03-20T00:00:00"/>
    <s v="Fri"/>
    <s v="Weekday"/>
    <x v="6"/>
    <n v="1718"/>
    <n v="84"/>
    <n v="66"/>
    <n v="1736"/>
    <n v="78.599999999999994"/>
  </r>
  <r>
    <x v="2"/>
    <d v="2026-03-20T00:00:00"/>
    <s v="Fri"/>
    <s v="Weekday"/>
    <x v="7"/>
    <n v="1996"/>
    <n v="119"/>
    <n v="96"/>
    <n v="2019"/>
    <n v="80.7"/>
  </r>
  <r>
    <x v="2"/>
    <d v="2026-03-20T00:00:00"/>
    <s v="Fri"/>
    <s v="Weekday"/>
    <x v="8"/>
    <n v="2398"/>
    <n v="122"/>
    <n v="89"/>
    <n v="2431"/>
    <n v="73"/>
  </r>
  <r>
    <x v="2"/>
    <d v="2026-03-20T00:00:00"/>
    <s v="Fri"/>
    <s v="Weekday"/>
    <x v="9"/>
    <n v="958"/>
    <n v="80"/>
    <n v="64"/>
    <n v="974"/>
    <n v="80"/>
  </r>
  <r>
    <x v="2"/>
    <d v="2026-03-20T00:00:00"/>
    <s v="Fri"/>
    <s v="Weekday"/>
    <x v="10"/>
    <n v="3025"/>
    <n v="165"/>
    <n v="112"/>
    <n v="3078"/>
    <n v="67.900000000000006"/>
  </r>
  <r>
    <x v="2"/>
    <d v="2026-03-21T00:00:00"/>
    <s v="Sat"/>
    <s v="Weekend"/>
    <x v="0"/>
    <n v="2511"/>
    <n v="55"/>
    <n v="41"/>
    <n v="2525"/>
    <n v="74.5"/>
  </r>
  <r>
    <x v="2"/>
    <d v="2026-03-21T00:00:00"/>
    <s v="Sat"/>
    <s v="Weekend"/>
    <x v="1"/>
    <n v="1763"/>
    <n v="58"/>
    <n v="41"/>
    <n v="1780"/>
    <n v="70.7"/>
  </r>
  <r>
    <x v="2"/>
    <d v="2026-03-21T00:00:00"/>
    <s v="Sat"/>
    <s v="Weekend"/>
    <x v="2"/>
    <n v="2837"/>
    <n v="61"/>
    <n v="43"/>
    <n v="2855"/>
    <n v="70.5"/>
  </r>
  <r>
    <x v="2"/>
    <d v="2026-03-21T00:00:00"/>
    <s v="Sat"/>
    <s v="Weekend"/>
    <x v="3"/>
    <n v="1378"/>
    <n v="42"/>
    <n v="34"/>
    <n v="1386"/>
    <n v="81"/>
  </r>
  <r>
    <x v="2"/>
    <d v="2026-03-21T00:00:00"/>
    <s v="Sat"/>
    <s v="Weekend"/>
    <x v="4"/>
    <n v="2814"/>
    <n v="48"/>
    <n v="36"/>
    <n v="2826"/>
    <n v="75"/>
  </r>
  <r>
    <x v="2"/>
    <d v="2026-03-21T00:00:00"/>
    <s v="Sat"/>
    <s v="Weekend"/>
    <x v="5"/>
    <n v="1625"/>
    <n v="52"/>
    <n v="42"/>
    <n v="1635"/>
    <n v="80.8"/>
  </r>
  <r>
    <x v="2"/>
    <d v="2026-03-21T00:00:00"/>
    <s v="Sat"/>
    <s v="Weekend"/>
    <x v="6"/>
    <n v="1736"/>
    <n v="63"/>
    <n v="52"/>
    <n v="1747"/>
    <n v="82.5"/>
  </r>
  <r>
    <x v="2"/>
    <d v="2026-03-21T00:00:00"/>
    <s v="Sat"/>
    <s v="Weekend"/>
    <x v="7"/>
    <n v="2019"/>
    <n v="45"/>
    <n v="29"/>
    <n v="2035"/>
    <n v="64.400000000000006"/>
  </r>
  <r>
    <x v="2"/>
    <d v="2026-03-21T00:00:00"/>
    <s v="Sat"/>
    <s v="Weekend"/>
    <x v="8"/>
    <n v="2431"/>
    <n v="63"/>
    <n v="48"/>
    <n v="2446"/>
    <n v="76.2"/>
  </r>
  <r>
    <x v="2"/>
    <d v="2026-03-21T00:00:00"/>
    <s v="Sat"/>
    <s v="Weekend"/>
    <x v="9"/>
    <n v="974"/>
    <n v="41"/>
    <n v="39"/>
    <n v="976"/>
    <n v="95.1"/>
  </r>
  <r>
    <x v="2"/>
    <d v="2026-03-21T00:00:00"/>
    <s v="Sat"/>
    <s v="Weekend"/>
    <x v="10"/>
    <n v="3078"/>
    <n v="56"/>
    <n v="41"/>
    <n v="3093"/>
    <n v="73.2"/>
  </r>
  <r>
    <x v="2"/>
    <d v="2026-03-22T00:00:00"/>
    <s v="Sun"/>
    <s v="Weekend"/>
    <x v="0"/>
    <n v="2525"/>
    <n v="35"/>
    <n v="22"/>
    <n v="2538"/>
    <n v="62.9"/>
  </r>
  <r>
    <x v="2"/>
    <d v="2026-03-22T00:00:00"/>
    <s v="Sun"/>
    <s v="Weekend"/>
    <x v="1"/>
    <n v="1780"/>
    <n v="35"/>
    <n v="28"/>
    <n v="1787"/>
    <n v="80"/>
  </r>
  <r>
    <x v="2"/>
    <d v="2026-03-22T00:00:00"/>
    <s v="Sun"/>
    <s v="Weekend"/>
    <x v="2"/>
    <n v="2855"/>
    <n v="51"/>
    <n v="33"/>
    <n v="2873"/>
    <n v="64.7"/>
  </r>
  <r>
    <x v="2"/>
    <d v="2026-03-22T00:00:00"/>
    <s v="Sun"/>
    <s v="Weekend"/>
    <x v="3"/>
    <n v="1386"/>
    <n v="58"/>
    <n v="44"/>
    <n v="1400"/>
    <n v="75.900000000000006"/>
  </r>
  <r>
    <x v="2"/>
    <d v="2026-03-22T00:00:00"/>
    <s v="Sun"/>
    <s v="Weekend"/>
    <x v="4"/>
    <n v="2826"/>
    <n v="49"/>
    <n v="39"/>
    <n v="2836"/>
    <n v="79.599999999999994"/>
  </r>
  <r>
    <x v="2"/>
    <d v="2026-03-22T00:00:00"/>
    <s v="Sun"/>
    <s v="Weekend"/>
    <x v="5"/>
    <n v="1635"/>
    <n v="52"/>
    <n v="35"/>
    <n v="1652"/>
    <n v="67.3"/>
  </r>
  <r>
    <x v="2"/>
    <d v="2026-03-22T00:00:00"/>
    <s v="Sun"/>
    <s v="Weekend"/>
    <x v="6"/>
    <n v="1747"/>
    <n v="43"/>
    <n v="37"/>
    <n v="1753"/>
    <n v="86"/>
  </r>
  <r>
    <x v="2"/>
    <d v="2026-03-22T00:00:00"/>
    <s v="Sun"/>
    <s v="Weekend"/>
    <x v="7"/>
    <n v="2035"/>
    <n v="31"/>
    <n v="23"/>
    <n v="2043"/>
    <n v="74.2"/>
  </r>
  <r>
    <x v="2"/>
    <d v="2026-03-22T00:00:00"/>
    <s v="Sun"/>
    <s v="Weekend"/>
    <x v="8"/>
    <n v="2446"/>
    <n v="54"/>
    <n v="35"/>
    <n v="2465"/>
    <n v="64.8"/>
  </r>
  <r>
    <x v="2"/>
    <d v="2026-03-22T00:00:00"/>
    <s v="Sun"/>
    <s v="Weekend"/>
    <x v="9"/>
    <n v="976"/>
    <n v="48"/>
    <n v="38"/>
    <n v="986"/>
    <n v="79.2"/>
  </r>
  <r>
    <x v="2"/>
    <d v="2026-03-22T00:00:00"/>
    <s v="Sun"/>
    <s v="Weekend"/>
    <x v="10"/>
    <n v="3093"/>
    <n v="61"/>
    <n v="44"/>
    <n v="3110"/>
    <n v="72.099999999999994"/>
  </r>
  <r>
    <x v="2"/>
    <d v="2026-03-23T00:00:00"/>
    <s v="Mon"/>
    <s v="Weekday"/>
    <x v="0"/>
    <n v="2538"/>
    <n v="101"/>
    <n v="65"/>
    <n v="2574"/>
    <n v="64.400000000000006"/>
  </r>
  <r>
    <x v="2"/>
    <d v="2026-03-23T00:00:00"/>
    <s v="Mon"/>
    <s v="Weekday"/>
    <x v="1"/>
    <n v="1787"/>
    <n v="87"/>
    <n v="63"/>
    <n v="1811"/>
    <n v="72.400000000000006"/>
  </r>
  <r>
    <x v="2"/>
    <d v="2026-03-23T00:00:00"/>
    <s v="Mon"/>
    <s v="Weekday"/>
    <x v="2"/>
    <n v="2873"/>
    <n v="114"/>
    <n v="78"/>
    <n v="2909"/>
    <n v="68.400000000000006"/>
  </r>
  <r>
    <x v="2"/>
    <d v="2026-03-23T00:00:00"/>
    <s v="Mon"/>
    <s v="Weekday"/>
    <x v="3"/>
    <n v="1400"/>
    <n v="64"/>
    <n v="52"/>
    <n v="1412"/>
    <n v="81.2"/>
  </r>
  <r>
    <x v="2"/>
    <d v="2026-03-23T00:00:00"/>
    <s v="Mon"/>
    <s v="Weekday"/>
    <x v="4"/>
    <n v="2836"/>
    <n v="163"/>
    <n v="106"/>
    <n v="2893"/>
    <n v="65"/>
  </r>
  <r>
    <x v="2"/>
    <d v="2026-03-23T00:00:00"/>
    <s v="Mon"/>
    <s v="Weekday"/>
    <x v="5"/>
    <n v="1652"/>
    <n v="56"/>
    <n v="41"/>
    <n v="1667"/>
    <n v="73.2"/>
  </r>
  <r>
    <x v="2"/>
    <d v="2026-03-23T00:00:00"/>
    <s v="Mon"/>
    <s v="Weekday"/>
    <x v="6"/>
    <n v="1753"/>
    <n v="117"/>
    <n v="107"/>
    <n v="1763"/>
    <n v="91.5"/>
  </r>
  <r>
    <x v="2"/>
    <d v="2026-03-23T00:00:00"/>
    <s v="Mon"/>
    <s v="Weekday"/>
    <x v="7"/>
    <n v="2043"/>
    <n v="90"/>
    <n v="73"/>
    <n v="2060"/>
    <n v="81.099999999999994"/>
  </r>
  <r>
    <x v="2"/>
    <d v="2026-03-23T00:00:00"/>
    <s v="Mon"/>
    <s v="Weekday"/>
    <x v="8"/>
    <n v="2465"/>
    <n v="140"/>
    <n v="95"/>
    <n v="2510"/>
    <n v="67.900000000000006"/>
  </r>
  <r>
    <x v="2"/>
    <d v="2026-03-23T00:00:00"/>
    <s v="Mon"/>
    <s v="Weekday"/>
    <x v="9"/>
    <n v="986"/>
    <n v="105"/>
    <n v="83"/>
    <n v="1008"/>
    <n v="79"/>
  </r>
  <r>
    <x v="2"/>
    <d v="2026-03-23T00:00:00"/>
    <s v="Mon"/>
    <s v="Weekday"/>
    <x v="10"/>
    <n v="3110"/>
    <n v="132"/>
    <n v="83"/>
    <n v="3159"/>
    <n v="62.9"/>
  </r>
  <r>
    <x v="2"/>
    <d v="2026-03-24T00:00:00"/>
    <s v="Tue"/>
    <s v="Weekday"/>
    <x v="0"/>
    <n v="2574"/>
    <n v="128"/>
    <n v="105"/>
    <n v="2597"/>
    <n v="82"/>
  </r>
  <r>
    <x v="2"/>
    <d v="2026-03-24T00:00:00"/>
    <s v="Tue"/>
    <s v="Weekday"/>
    <x v="1"/>
    <n v="1811"/>
    <n v="119"/>
    <n v="96"/>
    <n v="1834"/>
    <n v="80.7"/>
  </r>
  <r>
    <x v="2"/>
    <d v="2026-03-24T00:00:00"/>
    <s v="Tue"/>
    <s v="Weekday"/>
    <x v="2"/>
    <n v="2909"/>
    <n v="109"/>
    <n v="78"/>
    <n v="2940"/>
    <n v="71.599999999999994"/>
  </r>
  <r>
    <x v="2"/>
    <d v="2026-03-24T00:00:00"/>
    <s v="Tue"/>
    <s v="Weekday"/>
    <x v="3"/>
    <n v="1412"/>
    <n v="78"/>
    <n v="69"/>
    <n v="1421"/>
    <n v="88.5"/>
  </r>
  <r>
    <x v="2"/>
    <d v="2026-03-24T00:00:00"/>
    <s v="Tue"/>
    <s v="Weekday"/>
    <x v="4"/>
    <n v="2893"/>
    <n v="151"/>
    <n v="112"/>
    <n v="2932"/>
    <n v="74.2"/>
  </r>
  <r>
    <x v="2"/>
    <d v="2026-03-24T00:00:00"/>
    <s v="Tue"/>
    <s v="Weekday"/>
    <x v="5"/>
    <n v="1667"/>
    <n v="71"/>
    <n v="57"/>
    <n v="1681"/>
    <n v="80.3"/>
  </r>
  <r>
    <x v="2"/>
    <d v="2026-03-24T00:00:00"/>
    <s v="Tue"/>
    <s v="Weekday"/>
    <x v="6"/>
    <n v="1763"/>
    <n v="101"/>
    <n v="87"/>
    <n v="1777"/>
    <n v="86.1"/>
  </r>
  <r>
    <x v="2"/>
    <d v="2026-03-24T00:00:00"/>
    <s v="Tue"/>
    <s v="Weekday"/>
    <x v="7"/>
    <n v="2060"/>
    <n v="76"/>
    <n v="64"/>
    <n v="2072"/>
    <n v="84.2"/>
  </r>
  <r>
    <x v="2"/>
    <d v="2026-03-24T00:00:00"/>
    <s v="Tue"/>
    <s v="Weekday"/>
    <x v="8"/>
    <n v="2510"/>
    <n v="118"/>
    <n v="87"/>
    <n v="2541"/>
    <n v="73.7"/>
  </r>
  <r>
    <x v="2"/>
    <d v="2026-03-24T00:00:00"/>
    <s v="Tue"/>
    <s v="Weekday"/>
    <x v="9"/>
    <n v="1008"/>
    <n v="103"/>
    <n v="90"/>
    <n v="1021"/>
    <n v="87.4"/>
  </r>
  <r>
    <x v="2"/>
    <d v="2026-03-24T00:00:00"/>
    <s v="Tue"/>
    <s v="Weekday"/>
    <x v="10"/>
    <n v="3159"/>
    <n v="137"/>
    <n v="84"/>
    <n v="3212"/>
    <n v="61.3"/>
  </r>
  <r>
    <x v="2"/>
    <d v="2026-03-25T00:00:00"/>
    <s v="Wed"/>
    <s v="Weekday"/>
    <x v="0"/>
    <n v="2597"/>
    <n v="94"/>
    <n v="73"/>
    <n v="2618"/>
    <n v="77.7"/>
  </r>
  <r>
    <x v="2"/>
    <d v="2026-03-25T00:00:00"/>
    <s v="Wed"/>
    <s v="Weekday"/>
    <x v="1"/>
    <n v="1834"/>
    <n v="125"/>
    <n v="88"/>
    <n v="1871"/>
    <n v="70.400000000000006"/>
  </r>
  <r>
    <x v="2"/>
    <d v="2026-03-25T00:00:00"/>
    <s v="Wed"/>
    <s v="Weekday"/>
    <x v="2"/>
    <n v="2940"/>
    <n v="107"/>
    <n v="81"/>
    <n v="2966"/>
    <n v="75.7"/>
  </r>
  <r>
    <x v="2"/>
    <d v="2026-03-25T00:00:00"/>
    <s v="Wed"/>
    <s v="Weekday"/>
    <x v="3"/>
    <n v="1421"/>
    <n v="75"/>
    <n v="61"/>
    <n v="1435"/>
    <n v="81.3"/>
  </r>
  <r>
    <x v="2"/>
    <d v="2026-03-25T00:00:00"/>
    <s v="Wed"/>
    <s v="Weekday"/>
    <x v="4"/>
    <n v="2932"/>
    <n v="161"/>
    <n v="120"/>
    <n v="2973"/>
    <n v="74.5"/>
  </r>
  <r>
    <x v="2"/>
    <d v="2026-03-25T00:00:00"/>
    <s v="Wed"/>
    <s v="Weekday"/>
    <x v="5"/>
    <n v="1681"/>
    <n v="87"/>
    <n v="66"/>
    <n v="1702"/>
    <n v="75.900000000000006"/>
  </r>
  <r>
    <x v="2"/>
    <d v="2026-03-25T00:00:00"/>
    <s v="Wed"/>
    <s v="Weekday"/>
    <x v="6"/>
    <n v="1777"/>
    <n v="136"/>
    <n v="107"/>
    <n v="1806"/>
    <n v="78.7"/>
  </r>
  <r>
    <x v="2"/>
    <d v="2026-03-25T00:00:00"/>
    <s v="Wed"/>
    <s v="Weekday"/>
    <x v="7"/>
    <n v="2072"/>
    <n v="81"/>
    <n v="68"/>
    <n v="2085"/>
    <n v="84"/>
  </r>
  <r>
    <x v="2"/>
    <d v="2026-03-25T00:00:00"/>
    <s v="Wed"/>
    <s v="Weekday"/>
    <x v="8"/>
    <n v="2541"/>
    <n v="120"/>
    <n v="83"/>
    <n v="2578"/>
    <n v="69.2"/>
  </r>
  <r>
    <x v="2"/>
    <d v="2026-03-25T00:00:00"/>
    <s v="Wed"/>
    <s v="Weekday"/>
    <x v="9"/>
    <n v="1021"/>
    <n v="104"/>
    <n v="95"/>
    <n v="1030"/>
    <n v="91.3"/>
  </r>
  <r>
    <x v="2"/>
    <d v="2026-03-25T00:00:00"/>
    <s v="Wed"/>
    <s v="Weekday"/>
    <x v="10"/>
    <n v="3212"/>
    <n v="138"/>
    <n v="99"/>
    <n v="3251"/>
    <n v="71.7"/>
  </r>
  <r>
    <x v="2"/>
    <d v="2026-03-26T00:00:00"/>
    <s v="Thu"/>
    <s v="Weekday"/>
    <x v="0"/>
    <n v="2618"/>
    <n v="86"/>
    <n v="73"/>
    <n v="2631"/>
    <n v="84.9"/>
  </r>
  <r>
    <x v="2"/>
    <d v="2026-03-26T00:00:00"/>
    <s v="Thu"/>
    <s v="Weekday"/>
    <x v="1"/>
    <n v="1871"/>
    <n v="118"/>
    <n v="87"/>
    <n v="1902"/>
    <n v="73.7"/>
  </r>
  <r>
    <x v="2"/>
    <d v="2026-03-26T00:00:00"/>
    <s v="Thu"/>
    <s v="Weekday"/>
    <x v="2"/>
    <n v="2966"/>
    <n v="119"/>
    <n v="78"/>
    <n v="3007"/>
    <n v="65.5"/>
  </r>
  <r>
    <x v="2"/>
    <d v="2026-03-26T00:00:00"/>
    <s v="Thu"/>
    <s v="Weekday"/>
    <x v="3"/>
    <n v="1435"/>
    <n v="106"/>
    <n v="92"/>
    <n v="1449"/>
    <n v="86.8"/>
  </r>
  <r>
    <x v="2"/>
    <d v="2026-03-26T00:00:00"/>
    <s v="Thu"/>
    <s v="Weekday"/>
    <x v="4"/>
    <n v="2973"/>
    <n v="109"/>
    <n v="89"/>
    <n v="2993"/>
    <n v="81.7"/>
  </r>
  <r>
    <x v="2"/>
    <d v="2026-03-26T00:00:00"/>
    <s v="Thu"/>
    <s v="Weekday"/>
    <x v="5"/>
    <n v="1702"/>
    <n v="80"/>
    <n v="54"/>
    <n v="1728"/>
    <n v="67.5"/>
  </r>
  <r>
    <x v="2"/>
    <d v="2026-03-26T00:00:00"/>
    <s v="Thu"/>
    <s v="Weekday"/>
    <x v="6"/>
    <n v="1806"/>
    <n v="132"/>
    <n v="118"/>
    <n v="1820"/>
    <n v="89.4"/>
  </r>
  <r>
    <x v="2"/>
    <d v="2026-03-26T00:00:00"/>
    <s v="Thu"/>
    <s v="Weekday"/>
    <x v="7"/>
    <n v="2085"/>
    <n v="105"/>
    <n v="79"/>
    <n v="2111"/>
    <n v="75.2"/>
  </r>
  <r>
    <x v="2"/>
    <d v="2026-03-26T00:00:00"/>
    <s v="Thu"/>
    <s v="Weekday"/>
    <x v="8"/>
    <n v="2578"/>
    <n v="102"/>
    <n v="73"/>
    <n v="2607"/>
    <n v="71.599999999999994"/>
  </r>
  <r>
    <x v="2"/>
    <d v="2026-03-26T00:00:00"/>
    <s v="Thu"/>
    <s v="Weekday"/>
    <x v="9"/>
    <n v="1030"/>
    <n v="89"/>
    <n v="70"/>
    <n v="1049"/>
    <n v="78.7"/>
  </r>
  <r>
    <x v="2"/>
    <d v="2026-03-26T00:00:00"/>
    <s v="Thu"/>
    <s v="Weekday"/>
    <x v="10"/>
    <n v="3251"/>
    <n v="137"/>
    <n v="94"/>
    <n v="3294"/>
    <n v="68.599999999999994"/>
  </r>
  <r>
    <x v="2"/>
    <d v="2026-03-27T00:00:00"/>
    <s v="Fri"/>
    <s v="Weekday"/>
    <x v="0"/>
    <n v="2631"/>
    <n v="143"/>
    <n v="93"/>
    <n v="2681"/>
    <n v="65"/>
  </r>
  <r>
    <x v="2"/>
    <d v="2026-03-27T00:00:00"/>
    <s v="Fri"/>
    <s v="Weekday"/>
    <x v="1"/>
    <n v="1902"/>
    <n v="106"/>
    <n v="82"/>
    <n v="1926"/>
    <n v="77.400000000000006"/>
  </r>
  <r>
    <x v="2"/>
    <d v="2026-03-27T00:00:00"/>
    <s v="Fri"/>
    <s v="Weekday"/>
    <x v="2"/>
    <n v="3007"/>
    <n v="108"/>
    <n v="68"/>
    <n v="3047"/>
    <n v="63"/>
  </r>
  <r>
    <x v="2"/>
    <d v="2026-03-27T00:00:00"/>
    <s v="Fri"/>
    <s v="Weekday"/>
    <x v="3"/>
    <n v="1449"/>
    <n v="76"/>
    <n v="60"/>
    <n v="1465"/>
    <n v="78.900000000000006"/>
  </r>
  <r>
    <x v="2"/>
    <d v="2026-03-27T00:00:00"/>
    <s v="Fri"/>
    <s v="Weekday"/>
    <x v="4"/>
    <n v="2993"/>
    <n v="114"/>
    <n v="83"/>
    <n v="3024"/>
    <n v="72.8"/>
  </r>
  <r>
    <x v="2"/>
    <d v="2026-03-27T00:00:00"/>
    <s v="Fri"/>
    <s v="Weekday"/>
    <x v="5"/>
    <n v="1728"/>
    <n v="80"/>
    <n v="70"/>
    <n v="1738"/>
    <n v="87.5"/>
  </r>
  <r>
    <x v="2"/>
    <d v="2026-03-27T00:00:00"/>
    <s v="Fri"/>
    <s v="Weekday"/>
    <x v="6"/>
    <n v="1820"/>
    <n v="115"/>
    <n v="87"/>
    <n v="1848"/>
    <n v="75.7"/>
  </r>
  <r>
    <x v="2"/>
    <d v="2026-03-27T00:00:00"/>
    <s v="Fri"/>
    <s v="Weekday"/>
    <x v="7"/>
    <n v="2111"/>
    <n v="106"/>
    <n v="76"/>
    <n v="2141"/>
    <n v="71.7"/>
  </r>
  <r>
    <x v="2"/>
    <d v="2026-03-27T00:00:00"/>
    <s v="Fri"/>
    <s v="Weekday"/>
    <x v="8"/>
    <n v="2607"/>
    <n v="114"/>
    <n v="92"/>
    <n v="2629"/>
    <n v="80.7"/>
  </r>
  <r>
    <x v="2"/>
    <d v="2026-03-27T00:00:00"/>
    <s v="Fri"/>
    <s v="Weekday"/>
    <x v="9"/>
    <n v="1049"/>
    <n v="100"/>
    <n v="93"/>
    <n v="1056"/>
    <n v="93"/>
  </r>
  <r>
    <x v="2"/>
    <d v="2026-03-27T00:00:00"/>
    <s v="Fri"/>
    <s v="Weekday"/>
    <x v="10"/>
    <n v="3294"/>
    <n v="96"/>
    <n v="76"/>
    <n v="3314"/>
    <n v="79.2"/>
  </r>
  <r>
    <x v="2"/>
    <d v="2026-03-28T00:00:00"/>
    <s v="Sat"/>
    <s v="Weekend"/>
    <x v="0"/>
    <n v="2681"/>
    <n v="36"/>
    <n v="27"/>
    <n v="2690"/>
    <n v="75"/>
  </r>
  <r>
    <x v="2"/>
    <d v="2026-03-28T00:00:00"/>
    <s v="Sat"/>
    <s v="Weekend"/>
    <x v="1"/>
    <n v="1926"/>
    <n v="36"/>
    <n v="30"/>
    <n v="1932"/>
    <n v="83.3"/>
  </r>
  <r>
    <x v="2"/>
    <d v="2026-03-28T00:00:00"/>
    <s v="Sat"/>
    <s v="Weekend"/>
    <x v="2"/>
    <n v="3047"/>
    <n v="62"/>
    <n v="48"/>
    <n v="3061"/>
    <n v="77.400000000000006"/>
  </r>
  <r>
    <x v="2"/>
    <d v="2026-03-28T00:00:00"/>
    <s v="Sat"/>
    <s v="Weekend"/>
    <x v="3"/>
    <n v="1465"/>
    <n v="39"/>
    <n v="35"/>
    <n v="1469"/>
    <n v="89.7"/>
  </r>
  <r>
    <x v="2"/>
    <d v="2026-03-28T00:00:00"/>
    <s v="Sat"/>
    <s v="Weekend"/>
    <x v="4"/>
    <n v="3024"/>
    <n v="83"/>
    <n v="55"/>
    <n v="3052"/>
    <n v="66.3"/>
  </r>
  <r>
    <x v="2"/>
    <d v="2026-03-28T00:00:00"/>
    <s v="Sat"/>
    <s v="Weekend"/>
    <x v="5"/>
    <n v="1738"/>
    <n v="35"/>
    <n v="27"/>
    <n v="1746"/>
    <n v="77.099999999999994"/>
  </r>
  <r>
    <x v="2"/>
    <d v="2026-03-28T00:00:00"/>
    <s v="Sat"/>
    <s v="Weekend"/>
    <x v="6"/>
    <n v="1848"/>
    <n v="70"/>
    <n v="64"/>
    <n v="1854"/>
    <n v="91.4"/>
  </r>
  <r>
    <x v="2"/>
    <d v="2026-03-28T00:00:00"/>
    <s v="Sat"/>
    <s v="Weekend"/>
    <x v="7"/>
    <n v="2141"/>
    <n v="32"/>
    <n v="27"/>
    <n v="2146"/>
    <n v="84.4"/>
  </r>
  <r>
    <x v="2"/>
    <d v="2026-03-28T00:00:00"/>
    <s v="Sat"/>
    <s v="Weekend"/>
    <x v="8"/>
    <n v="2629"/>
    <n v="34"/>
    <n v="26"/>
    <n v="2637"/>
    <n v="76.5"/>
  </r>
  <r>
    <x v="2"/>
    <d v="2026-03-28T00:00:00"/>
    <s v="Sat"/>
    <s v="Weekend"/>
    <x v="9"/>
    <n v="1056"/>
    <n v="38"/>
    <n v="30"/>
    <n v="1064"/>
    <n v="78.900000000000006"/>
  </r>
  <r>
    <x v="2"/>
    <d v="2026-03-28T00:00:00"/>
    <s v="Sat"/>
    <s v="Weekend"/>
    <x v="10"/>
    <n v="3314"/>
    <n v="41"/>
    <n v="32"/>
    <n v="3323"/>
    <n v="78"/>
  </r>
  <r>
    <x v="2"/>
    <d v="2026-03-29T00:00:00"/>
    <s v="Sun"/>
    <s v="Weekend"/>
    <x v="0"/>
    <n v="2690"/>
    <n v="49"/>
    <n v="40"/>
    <n v="2699"/>
    <n v="81.599999999999994"/>
  </r>
  <r>
    <x v="2"/>
    <d v="2026-03-29T00:00:00"/>
    <s v="Sun"/>
    <s v="Weekend"/>
    <x v="1"/>
    <n v="1932"/>
    <n v="39"/>
    <n v="35"/>
    <n v="1936"/>
    <n v="89.7"/>
  </r>
  <r>
    <x v="2"/>
    <d v="2026-03-29T00:00:00"/>
    <s v="Sun"/>
    <s v="Weekend"/>
    <x v="2"/>
    <n v="3061"/>
    <n v="59"/>
    <n v="35"/>
    <n v="3085"/>
    <n v="59.3"/>
  </r>
  <r>
    <x v="2"/>
    <d v="2026-03-29T00:00:00"/>
    <s v="Sun"/>
    <s v="Weekend"/>
    <x v="3"/>
    <n v="1469"/>
    <n v="44"/>
    <n v="41"/>
    <n v="1472"/>
    <n v="93.2"/>
  </r>
  <r>
    <x v="2"/>
    <d v="2026-03-29T00:00:00"/>
    <s v="Sun"/>
    <s v="Weekend"/>
    <x v="4"/>
    <n v="3052"/>
    <n v="58"/>
    <n v="47"/>
    <n v="3063"/>
    <n v="81"/>
  </r>
  <r>
    <x v="2"/>
    <d v="2026-03-29T00:00:00"/>
    <s v="Sun"/>
    <s v="Weekend"/>
    <x v="5"/>
    <n v="1746"/>
    <n v="20"/>
    <n v="14"/>
    <n v="1752"/>
    <n v="70"/>
  </r>
  <r>
    <x v="2"/>
    <d v="2026-03-29T00:00:00"/>
    <s v="Sun"/>
    <s v="Weekend"/>
    <x v="6"/>
    <n v="1854"/>
    <n v="53"/>
    <n v="38"/>
    <n v="1869"/>
    <n v="71.7"/>
  </r>
  <r>
    <x v="2"/>
    <d v="2026-03-29T00:00:00"/>
    <s v="Sun"/>
    <s v="Weekend"/>
    <x v="7"/>
    <n v="2146"/>
    <n v="53"/>
    <n v="37"/>
    <n v="2162"/>
    <n v="69.8"/>
  </r>
  <r>
    <x v="2"/>
    <d v="2026-03-29T00:00:00"/>
    <s v="Sun"/>
    <s v="Weekend"/>
    <x v="8"/>
    <n v="2637"/>
    <n v="52"/>
    <n v="35"/>
    <n v="2654"/>
    <n v="67.3"/>
  </r>
  <r>
    <x v="2"/>
    <d v="2026-03-29T00:00:00"/>
    <s v="Sun"/>
    <s v="Weekend"/>
    <x v="9"/>
    <n v="1064"/>
    <n v="24"/>
    <n v="21"/>
    <n v="1067"/>
    <n v="87.5"/>
  </r>
  <r>
    <x v="2"/>
    <d v="2026-03-29T00:00:00"/>
    <s v="Sun"/>
    <s v="Weekend"/>
    <x v="10"/>
    <n v="3323"/>
    <n v="60"/>
    <n v="39"/>
    <n v="3344"/>
    <n v="65"/>
  </r>
  <r>
    <x v="2"/>
    <d v="2026-03-30T00:00:00"/>
    <s v="Mon"/>
    <s v="Weekday"/>
    <x v="0"/>
    <n v="2699"/>
    <n v="150"/>
    <n v="123"/>
    <n v="2726"/>
    <n v="82"/>
  </r>
  <r>
    <x v="2"/>
    <d v="2026-03-30T00:00:00"/>
    <s v="Mon"/>
    <s v="Weekday"/>
    <x v="1"/>
    <n v="1936"/>
    <n v="129"/>
    <n v="91"/>
    <n v="1974"/>
    <n v="70.5"/>
  </r>
  <r>
    <x v="2"/>
    <d v="2026-03-30T00:00:00"/>
    <s v="Mon"/>
    <s v="Weekday"/>
    <x v="2"/>
    <n v="3085"/>
    <n v="133"/>
    <n v="101"/>
    <n v="3117"/>
    <n v="75.900000000000006"/>
  </r>
  <r>
    <x v="2"/>
    <d v="2026-03-30T00:00:00"/>
    <s v="Mon"/>
    <s v="Weekday"/>
    <x v="3"/>
    <n v="1472"/>
    <n v="110"/>
    <n v="83"/>
    <n v="1499"/>
    <n v="75.5"/>
  </r>
  <r>
    <x v="2"/>
    <d v="2026-03-30T00:00:00"/>
    <s v="Mon"/>
    <s v="Weekday"/>
    <x v="4"/>
    <n v="3063"/>
    <n v="154"/>
    <n v="102"/>
    <n v="3115"/>
    <n v="66.2"/>
  </r>
  <r>
    <x v="2"/>
    <d v="2026-03-30T00:00:00"/>
    <s v="Mon"/>
    <s v="Weekday"/>
    <x v="5"/>
    <n v="1752"/>
    <n v="92"/>
    <n v="77"/>
    <n v="1767"/>
    <n v="83.7"/>
  </r>
  <r>
    <x v="2"/>
    <d v="2026-03-30T00:00:00"/>
    <s v="Mon"/>
    <s v="Weekday"/>
    <x v="6"/>
    <n v="1869"/>
    <n v="76"/>
    <n v="61"/>
    <n v="1884"/>
    <n v="80.3"/>
  </r>
  <r>
    <x v="2"/>
    <d v="2026-03-30T00:00:00"/>
    <s v="Mon"/>
    <s v="Weekday"/>
    <x v="7"/>
    <n v="2162"/>
    <n v="108"/>
    <n v="83"/>
    <n v="2187"/>
    <n v="76.900000000000006"/>
  </r>
  <r>
    <x v="2"/>
    <d v="2026-03-30T00:00:00"/>
    <s v="Mon"/>
    <s v="Weekday"/>
    <x v="8"/>
    <n v="2654"/>
    <n v="155"/>
    <n v="113"/>
    <n v="2696"/>
    <n v="72.900000000000006"/>
  </r>
  <r>
    <x v="2"/>
    <d v="2026-03-30T00:00:00"/>
    <s v="Mon"/>
    <s v="Weekday"/>
    <x v="9"/>
    <n v="1067"/>
    <n v="61"/>
    <n v="59"/>
    <n v="1069"/>
    <n v="96.7"/>
  </r>
  <r>
    <x v="2"/>
    <d v="2026-03-30T00:00:00"/>
    <s v="Mon"/>
    <s v="Weekday"/>
    <x v="10"/>
    <n v="3344"/>
    <n v="130"/>
    <n v="93"/>
    <n v="3381"/>
    <n v="71.5"/>
  </r>
  <r>
    <x v="2"/>
    <d v="2026-03-31T00:00:00"/>
    <s v="Tue"/>
    <s v="Weekday"/>
    <x v="0"/>
    <n v="2726"/>
    <n v="113"/>
    <n v="80"/>
    <n v="2759"/>
    <n v="70.8"/>
  </r>
  <r>
    <x v="2"/>
    <d v="2026-03-31T00:00:00"/>
    <s v="Tue"/>
    <s v="Weekday"/>
    <x v="1"/>
    <n v="1974"/>
    <n v="118"/>
    <n v="82"/>
    <n v="2010"/>
    <n v="69.5"/>
  </r>
  <r>
    <x v="2"/>
    <d v="2026-03-31T00:00:00"/>
    <s v="Tue"/>
    <s v="Weekday"/>
    <x v="2"/>
    <n v="3117"/>
    <n v="149"/>
    <n v="92"/>
    <n v="3174"/>
    <n v="61.7"/>
  </r>
  <r>
    <x v="2"/>
    <d v="2026-03-31T00:00:00"/>
    <s v="Tue"/>
    <s v="Weekday"/>
    <x v="3"/>
    <n v="1499"/>
    <n v="118"/>
    <n v="110"/>
    <n v="1507"/>
    <n v="93.2"/>
  </r>
  <r>
    <x v="2"/>
    <d v="2026-03-31T00:00:00"/>
    <s v="Tue"/>
    <s v="Weekday"/>
    <x v="4"/>
    <n v="3115"/>
    <n v="126"/>
    <n v="93"/>
    <n v="3148"/>
    <n v="73.8"/>
  </r>
  <r>
    <x v="2"/>
    <d v="2026-03-31T00:00:00"/>
    <s v="Tue"/>
    <s v="Weekday"/>
    <x v="5"/>
    <n v="1767"/>
    <n v="106"/>
    <n v="75"/>
    <n v="1798"/>
    <n v="70.8"/>
  </r>
  <r>
    <x v="2"/>
    <d v="2026-03-31T00:00:00"/>
    <s v="Tue"/>
    <s v="Weekday"/>
    <x v="6"/>
    <n v="1884"/>
    <n v="78"/>
    <n v="65"/>
    <n v="1897"/>
    <n v="83.3"/>
  </r>
  <r>
    <x v="2"/>
    <d v="2026-03-31T00:00:00"/>
    <s v="Tue"/>
    <s v="Weekday"/>
    <x v="7"/>
    <n v="2187"/>
    <n v="98"/>
    <n v="74"/>
    <n v="2211"/>
    <n v="75.5"/>
  </r>
  <r>
    <x v="2"/>
    <d v="2026-03-31T00:00:00"/>
    <s v="Tue"/>
    <s v="Weekday"/>
    <x v="8"/>
    <n v="2696"/>
    <n v="140"/>
    <n v="95"/>
    <n v="2741"/>
    <n v="67.900000000000006"/>
  </r>
  <r>
    <x v="2"/>
    <d v="2026-03-31T00:00:00"/>
    <s v="Tue"/>
    <s v="Weekday"/>
    <x v="9"/>
    <n v="1069"/>
    <n v="66"/>
    <n v="59"/>
    <n v="1076"/>
    <n v="89.4"/>
  </r>
  <r>
    <x v="2"/>
    <d v="2026-03-31T00:00:00"/>
    <s v="Tue"/>
    <s v="Weekday"/>
    <x v="10"/>
    <n v="3381"/>
    <n v="100"/>
    <n v="81"/>
    <n v="3400"/>
    <n v="81"/>
  </r>
  <r>
    <x v="3"/>
    <d v="2026-04-01T00:00:00"/>
    <s v="Wed"/>
    <s v="Weekday"/>
    <x v="0"/>
    <n v="2759"/>
    <n v="94"/>
    <n v="61"/>
    <n v="2792"/>
    <n v="64.900000000000006"/>
  </r>
  <r>
    <x v="3"/>
    <d v="2026-04-01T00:00:00"/>
    <s v="Wed"/>
    <s v="Weekday"/>
    <x v="1"/>
    <n v="2010"/>
    <n v="117"/>
    <n v="89"/>
    <n v="2038"/>
    <n v="76.099999999999994"/>
  </r>
  <r>
    <x v="3"/>
    <d v="2026-04-01T00:00:00"/>
    <s v="Wed"/>
    <s v="Weekday"/>
    <x v="2"/>
    <n v="3174"/>
    <n v="121"/>
    <n v="79"/>
    <n v="3216"/>
    <n v="65.3"/>
  </r>
  <r>
    <x v="3"/>
    <d v="2026-04-01T00:00:00"/>
    <s v="Wed"/>
    <s v="Weekday"/>
    <x v="3"/>
    <n v="1507"/>
    <n v="68"/>
    <n v="62"/>
    <n v="1513"/>
    <n v="91.2"/>
  </r>
  <r>
    <x v="3"/>
    <d v="2026-04-01T00:00:00"/>
    <s v="Wed"/>
    <s v="Weekday"/>
    <x v="4"/>
    <n v="3148"/>
    <n v="113"/>
    <n v="91"/>
    <n v="3170"/>
    <n v="80.5"/>
  </r>
  <r>
    <x v="3"/>
    <d v="2026-04-01T00:00:00"/>
    <s v="Wed"/>
    <s v="Weekday"/>
    <x v="5"/>
    <n v="1798"/>
    <n v="97"/>
    <n v="82"/>
    <n v="1813"/>
    <n v="84.5"/>
  </r>
  <r>
    <x v="3"/>
    <d v="2026-04-01T00:00:00"/>
    <s v="Wed"/>
    <s v="Weekday"/>
    <x v="6"/>
    <n v="1897"/>
    <n v="86"/>
    <n v="79"/>
    <n v="1904"/>
    <n v="91.9"/>
  </r>
  <r>
    <x v="3"/>
    <d v="2026-04-01T00:00:00"/>
    <s v="Wed"/>
    <s v="Weekday"/>
    <x v="7"/>
    <n v="2211"/>
    <n v="92"/>
    <n v="61"/>
    <n v="2242"/>
    <n v="66.3"/>
  </r>
  <r>
    <x v="3"/>
    <d v="2026-04-01T00:00:00"/>
    <s v="Wed"/>
    <s v="Weekday"/>
    <x v="8"/>
    <n v="2741"/>
    <n v="88"/>
    <n v="58"/>
    <n v="2771"/>
    <n v="65.900000000000006"/>
  </r>
  <r>
    <x v="3"/>
    <d v="2026-04-01T00:00:00"/>
    <s v="Wed"/>
    <s v="Weekday"/>
    <x v="9"/>
    <n v="1076"/>
    <n v="68"/>
    <n v="56"/>
    <n v="1088"/>
    <n v="82.4"/>
  </r>
  <r>
    <x v="3"/>
    <d v="2026-04-01T00:00:00"/>
    <s v="Wed"/>
    <s v="Weekday"/>
    <x v="10"/>
    <n v="3400"/>
    <n v="159"/>
    <n v="97"/>
    <n v="3462"/>
    <n v="61"/>
  </r>
  <r>
    <x v="3"/>
    <d v="2026-04-02T00:00:00"/>
    <s v="Thu"/>
    <s v="Weekday"/>
    <x v="0"/>
    <n v="2792"/>
    <n v="80"/>
    <n v="57"/>
    <n v="2815"/>
    <n v="71.2"/>
  </r>
  <r>
    <x v="3"/>
    <d v="2026-04-02T00:00:00"/>
    <s v="Thu"/>
    <s v="Weekday"/>
    <x v="1"/>
    <n v="2038"/>
    <n v="114"/>
    <n v="92"/>
    <n v="2060"/>
    <n v="80.7"/>
  </r>
  <r>
    <x v="3"/>
    <d v="2026-04-02T00:00:00"/>
    <s v="Thu"/>
    <s v="Weekday"/>
    <x v="2"/>
    <n v="3216"/>
    <n v="133"/>
    <n v="87"/>
    <n v="3262"/>
    <n v="65.400000000000006"/>
  </r>
  <r>
    <x v="3"/>
    <d v="2026-04-02T00:00:00"/>
    <s v="Thu"/>
    <s v="Weekday"/>
    <x v="3"/>
    <n v="1513"/>
    <n v="69"/>
    <n v="54"/>
    <n v="1528"/>
    <n v="78.3"/>
  </r>
  <r>
    <x v="3"/>
    <d v="2026-04-02T00:00:00"/>
    <s v="Thu"/>
    <s v="Weekday"/>
    <x v="4"/>
    <n v="3170"/>
    <n v="143"/>
    <n v="91"/>
    <n v="3222"/>
    <n v="63.6"/>
  </r>
  <r>
    <x v="3"/>
    <d v="2026-04-02T00:00:00"/>
    <s v="Thu"/>
    <s v="Weekday"/>
    <x v="5"/>
    <n v="1813"/>
    <n v="55"/>
    <n v="43"/>
    <n v="1825"/>
    <n v="78.2"/>
  </r>
  <r>
    <x v="3"/>
    <d v="2026-04-02T00:00:00"/>
    <s v="Thu"/>
    <s v="Weekday"/>
    <x v="6"/>
    <n v="1904"/>
    <n v="87"/>
    <n v="73"/>
    <n v="1918"/>
    <n v="83.9"/>
  </r>
  <r>
    <x v="3"/>
    <d v="2026-04-02T00:00:00"/>
    <s v="Thu"/>
    <s v="Weekday"/>
    <x v="7"/>
    <n v="2242"/>
    <n v="119"/>
    <n v="89"/>
    <n v="2272"/>
    <n v="74.8"/>
  </r>
  <r>
    <x v="3"/>
    <d v="2026-04-02T00:00:00"/>
    <s v="Thu"/>
    <s v="Weekday"/>
    <x v="8"/>
    <n v="2771"/>
    <n v="118"/>
    <n v="76"/>
    <n v="2813"/>
    <n v="64.400000000000006"/>
  </r>
  <r>
    <x v="3"/>
    <d v="2026-04-02T00:00:00"/>
    <s v="Thu"/>
    <s v="Weekday"/>
    <x v="9"/>
    <n v="1088"/>
    <n v="101"/>
    <n v="92"/>
    <n v="1097"/>
    <n v="91.1"/>
  </r>
  <r>
    <x v="3"/>
    <d v="2026-04-02T00:00:00"/>
    <s v="Thu"/>
    <s v="Weekday"/>
    <x v="10"/>
    <n v="3462"/>
    <n v="163"/>
    <n v="106"/>
    <n v="3519"/>
    <n v="65"/>
  </r>
  <r>
    <x v="3"/>
    <d v="2026-04-03T00:00:00"/>
    <s v="Fri"/>
    <s v="Weekday"/>
    <x v="0"/>
    <n v="2815"/>
    <n v="88"/>
    <n v="58"/>
    <n v="2845"/>
    <n v="65.900000000000006"/>
  </r>
  <r>
    <x v="3"/>
    <d v="2026-04-03T00:00:00"/>
    <s v="Fri"/>
    <s v="Weekday"/>
    <x v="1"/>
    <n v="2060"/>
    <n v="112"/>
    <n v="85"/>
    <n v="2087"/>
    <n v="75.900000000000006"/>
  </r>
  <r>
    <x v="3"/>
    <d v="2026-04-03T00:00:00"/>
    <s v="Fri"/>
    <s v="Weekday"/>
    <x v="2"/>
    <n v="3262"/>
    <n v="127"/>
    <n v="78"/>
    <n v="3311"/>
    <n v="61.4"/>
  </r>
  <r>
    <x v="3"/>
    <d v="2026-04-03T00:00:00"/>
    <s v="Fri"/>
    <s v="Weekday"/>
    <x v="3"/>
    <n v="1528"/>
    <n v="114"/>
    <n v="92"/>
    <n v="1550"/>
    <n v="80.7"/>
  </r>
  <r>
    <x v="3"/>
    <d v="2026-04-03T00:00:00"/>
    <s v="Fri"/>
    <s v="Weekday"/>
    <x v="4"/>
    <n v="3222"/>
    <n v="112"/>
    <n v="81"/>
    <n v="3253"/>
    <n v="72.3"/>
  </r>
  <r>
    <x v="3"/>
    <d v="2026-04-03T00:00:00"/>
    <s v="Fri"/>
    <s v="Weekday"/>
    <x v="5"/>
    <n v="1825"/>
    <n v="67"/>
    <n v="52"/>
    <n v="1840"/>
    <n v="77.599999999999994"/>
  </r>
  <r>
    <x v="3"/>
    <d v="2026-04-03T00:00:00"/>
    <s v="Fri"/>
    <s v="Weekday"/>
    <x v="6"/>
    <n v="1918"/>
    <n v="121"/>
    <n v="92"/>
    <n v="1947"/>
    <n v="76"/>
  </r>
  <r>
    <x v="3"/>
    <d v="2026-04-03T00:00:00"/>
    <s v="Fri"/>
    <s v="Weekday"/>
    <x v="7"/>
    <n v="2272"/>
    <n v="88"/>
    <n v="69"/>
    <n v="2291"/>
    <n v="78.400000000000006"/>
  </r>
  <r>
    <x v="3"/>
    <d v="2026-04-03T00:00:00"/>
    <s v="Fri"/>
    <s v="Weekday"/>
    <x v="8"/>
    <n v="2813"/>
    <n v="111"/>
    <n v="92"/>
    <n v="2832"/>
    <n v="82.9"/>
  </r>
  <r>
    <x v="3"/>
    <d v="2026-04-03T00:00:00"/>
    <s v="Fri"/>
    <s v="Weekday"/>
    <x v="9"/>
    <n v="1097"/>
    <n v="72"/>
    <n v="67"/>
    <n v="1102"/>
    <n v="93.1"/>
  </r>
  <r>
    <x v="3"/>
    <d v="2026-04-03T00:00:00"/>
    <s v="Fri"/>
    <s v="Weekday"/>
    <x v="10"/>
    <n v="3519"/>
    <n v="104"/>
    <n v="82"/>
    <n v="3541"/>
    <n v="78.8"/>
  </r>
  <r>
    <x v="3"/>
    <d v="2026-04-04T00:00:00"/>
    <s v="Sat"/>
    <s v="Weekend"/>
    <x v="0"/>
    <n v="2845"/>
    <n v="67"/>
    <n v="46"/>
    <n v="2866"/>
    <n v="68.7"/>
  </r>
  <r>
    <x v="3"/>
    <d v="2026-04-04T00:00:00"/>
    <s v="Sat"/>
    <s v="Weekend"/>
    <x v="1"/>
    <n v="2087"/>
    <n v="48"/>
    <n v="33"/>
    <n v="2102"/>
    <n v="68.8"/>
  </r>
  <r>
    <x v="3"/>
    <d v="2026-04-04T00:00:00"/>
    <s v="Sat"/>
    <s v="Weekend"/>
    <x v="2"/>
    <n v="3311"/>
    <n v="50"/>
    <n v="30"/>
    <n v="3331"/>
    <n v="60"/>
  </r>
  <r>
    <x v="3"/>
    <d v="2026-04-04T00:00:00"/>
    <s v="Sat"/>
    <s v="Weekend"/>
    <x v="3"/>
    <n v="1550"/>
    <n v="44"/>
    <n v="39"/>
    <n v="1555"/>
    <n v="88.6"/>
  </r>
  <r>
    <x v="3"/>
    <d v="2026-04-04T00:00:00"/>
    <s v="Sat"/>
    <s v="Weekend"/>
    <x v="4"/>
    <n v="3253"/>
    <n v="57"/>
    <n v="36"/>
    <n v="3274"/>
    <n v="63.2"/>
  </r>
  <r>
    <x v="3"/>
    <d v="2026-04-04T00:00:00"/>
    <s v="Sat"/>
    <s v="Weekend"/>
    <x v="5"/>
    <n v="1840"/>
    <n v="33"/>
    <n v="27"/>
    <n v="1846"/>
    <n v="81.8"/>
  </r>
  <r>
    <x v="3"/>
    <d v="2026-04-04T00:00:00"/>
    <s v="Sat"/>
    <s v="Weekend"/>
    <x v="6"/>
    <n v="1947"/>
    <n v="43"/>
    <n v="37"/>
    <n v="1953"/>
    <n v="86"/>
  </r>
  <r>
    <x v="3"/>
    <d v="2026-04-04T00:00:00"/>
    <s v="Sat"/>
    <s v="Weekend"/>
    <x v="7"/>
    <n v="2291"/>
    <n v="51"/>
    <n v="43"/>
    <n v="2299"/>
    <n v="84.3"/>
  </r>
  <r>
    <x v="3"/>
    <d v="2026-04-04T00:00:00"/>
    <s v="Sat"/>
    <s v="Weekend"/>
    <x v="8"/>
    <n v="2832"/>
    <n v="63"/>
    <n v="42"/>
    <n v="2853"/>
    <n v="66.7"/>
  </r>
  <r>
    <x v="3"/>
    <d v="2026-04-04T00:00:00"/>
    <s v="Sat"/>
    <s v="Weekend"/>
    <x v="9"/>
    <n v="1102"/>
    <n v="30"/>
    <n v="24"/>
    <n v="1108"/>
    <n v="80"/>
  </r>
  <r>
    <x v="3"/>
    <d v="2026-04-04T00:00:00"/>
    <s v="Sat"/>
    <s v="Weekend"/>
    <x v="10"/>
    <n v="3541"/>
    <n v="53"/>
    <n v="40"/>
    <n v="3554"/>
    <n v="75.5"/>
  </r>
  <r>
    <x v="3"/>
    <d v="2026-04-05T00:00:00"/>
    <s v="Sun"/>
    <s v="Weekend"/>
    <x v="0"/>
    <n v="2866"/>
    <n v="64"/>
    <n v="48"/>
    <n v="2882"/>
    <n v="75"/>
  </r>
  <r>
    <x v="3"/>
    <d v="2026-04-05T00:00:00"/>
    <s v="Sun"/>
    <s v="Weekend"/>
    <x v="1"/>
    <n v="2102"/>
    <n v="33"/>
    <n v="29"/>
    <n v="2106"/>
    <n v="87.9"/>
  </r>
  <r>
    <x v="3"/>
    <d v="2026-04-05T00:00:00"/>
    <s v="Sun"/>
    <s v="Weekend"/>
    <x v="2"/>
    <n v="3331"/>
    <n v="39"/>
    <n v="24"/>
    <n v="3346"/>
    <n v="61.5"/>
  </r>
  <r>
    <x v="3"/>
    <d v="2026-04-05T00:00:00"/>
    <s v="Sun"/>
    <s v="Weekend"/>
    <x v="3"/>
    <n v="1555"/>
    <n v="33"/>
    <n v="26"/>
    <n v="1562"/>
    <n v="78.8"/>
  </r>
  <r>
    <x v="3"/>
    <d v="2026-04-05T00:00:00"/>
    <s v="Sun"/>
    <s v="Weekend"/>
    <x v="4"/>
    <n v="3274"/>
    <n v="90"/>
    <n v="68"/>
    <n v="3296"/>
    <n v="75.599999999999994"/>
  </r>
  <r>
    <x v="3"/>
    <d v="2026-04-05T00:00:00"/>
    <s v="Sun"/>
    <s v="Weekend"/>
    <x v="5"/>
    <n v="1846"/>
    <n v="24"/>
    <n v="19"/>
    <n v="1851"/>
    <n v="79.2"/>
  </r>
  <r>
    <x v="3"/>
    <d v="2026-04-05T00:00:00"/>
    <s v="Sun"/>
    <s v="Weekend"/>
    <x v="6"/>
    <n v="1953"/>
    <n v="54"/>
    <n v="47"/>
    <n v="1960"/>
    <n v="87"/>
  </r>
  <r>
    <x v="3"/>
    <d v="2026-04-05T00:00:00"/>
    <s v="Sun"/>
    <s v="Weekend"/>
    <x v="7"/>
    <n v="2299"/>
    <n v="55"/>
    <n v="44"/>
    <n v="2310"/>
    <n v="80"/>
  </r>
  <r>
    <x v="3"/>
    <d v="2026-04-05T00:00:00"/>
    <s v="Sun"/>
    <s v="Weekend"/>
    <x v="8"/>
    <n v="2853"/>
    <n v="50"/>
    <n v="40"/>
    <n v="2863"/>
    <n v="80"/>
  </r>
  <r>
    <x v="3"/>
    <d v="2026-04-05T00:00:00"/>
    <s v="Sun"/>
    <s v="Weekend"/>
    <x v="9"/>
    <n v="1108"/>
    <n v="49"/>
    <n v="38"/>
    <n v="1119"/>
    <n v="77.599999999999994"/>
  </r>
  <r>
    <x v="3"/>
    <d v="2026-04-05T00:00:00"/>
    <s v="Sun"/>
    <s v="Weekend"/>
    <x v="10"/>
    <n v="3554"/>
    <n v="81"/>
    <n v="52"/>
    <n v="3583"/>
    <n v="64.2"/>
  </r>
  <r>
    <x v="3"/>
    <d v="2026-04-06T00:00:00"/>
    <s v="Mon"/>
    <s v="Weekday"/>
    <x v="0"/>
    <n v="2882"/>
    <n v="100"/>
    <n v="79"/>
    <n v="2903"/>
    <n v="79"/>
  </r>
  <r>
    <x v="3"/>
    <d v="2026-04-06T00:00:00"/>
    <s v="Mon"/>
    <s v="Weekday"/>
    <x v="1"/>
    <n v="2106"/>
    <n v="70"/>
    <n v="60"/>
    <n v="2116"/>
    <n v="85.7"/>
  </r>
  <r>
    <x v="3"/>
    <d v="2026-04-06T00:00:00"/>
    <s v="Mon"/>
    <s v="Weekday"/>
    <x v="2"/>
    <n v="3346"/>
    <n v="123"/>
    <n v="89"/>
    <n v="3380"/>
    <n v="72.400000000000006"/>
  </r>
  <r>
    <x v="3"/>
    <d v="2026-04-06T00:00:00"/>
    <s v="Mon"/>
    <s v="Weekday"/>
    <x v="3"/>
    <n v="1562"/>
    <n v="108"/>
    <n v="86"/>
    <n v="1584"/>
    <n v="79.599999999999994"/>
  </r>
  <r>
    <x v="3"/>
    <d v="2026-04-06T00:00:00"/>
    <s v="Mon"/>
    <s v="Weekday"/>
    <x v="4"/>
    <n v="3296"/>
    <n v="164"/>
    <n v="107"/>
    <n v="3353"/>
    <n v="65.2"/>
  </r>
  <r>
    <x v="3"/>
    <d v="2026-04-06T00:00:00"/>
    <s v="Mon"/>
    <s v="Weekday"/>
    <x v="5"/>
    <n v="1851"/>
    <n v="105"/>
    <n v="91"/>
    <n v="1865"/>
    <n v="86.7"/>
  </r>
  <r>
    <x v="3"/>
    <d v="2026-04-06T00:00:00"/>
    <s v="Mon"/>
    <s v="Weekday"/>
    <x v="6"/>
    <n v="1960"/>
    <n v="113"/>
    <n v="101"/>
    <n v="1972"/>
    <n v="89.4"/>
  </r>
  <r>
    <x v="3"/>
    <d v="2026-04-06T00:00:00"/>
    <s v="Mon"/>
    <s v="Weekday"/>
    <x v="7"/>
    <n v="2310"/>
    <n v="97"/>
    <n v="83"/>
    <n v="2324"/>
    <n v="85.6"/>
  </r>
  <r>
    <x v="3"/>
    <d v="2026-04-06T00:00:00"/>
    <s v="Mon"/>
    <s v="Weekday"/>
    <x v="8"/>
    <n v="2863"/>
    <n v="110"/>
    <n v="74"/>
    <n v="2899"/>
    <n v="67.3"/>
  </r>
  <r>
    <x v="3"/>
    <d v="2026-04-06T00:00:00"/>
    <s v="Mon"/>
    <s v="Weekday"/>
    <x v="9"/>
    <n v="1119"/>
    <n v="78"/>
    <n v="65"/>
    <n v="1132"/>
    <n v="83.3"/>
  </r>
  <r>
    <x v="3"/>
    <d v="2026-04-06T00:00:00"/>
    <s v="Mon"/>
    <s v="Weekday"/>
    <x v="10"/>
    <n v="3583"/>
    <n v="164"/>
    <n v="100"/>
    <n v="3647"/>
    <n v="61"/>
  </r>
  <r>
    <x v="3"/>
    <d v="2026-04-07T00:00:00"/>
    <s v="Tue"/>
    <s v="Weekday"/>
    <x v="0"/>
    <n v="2903"/>
    <n v="110"/>
    <n v="89"/>
    <n v="2924"/>
    <n v="80.900000000000006"/>
  </r>
  <r>
    <x v="3"/>
    <d v="2026-04-07T00:00:00"/>
    <s v="Tue"/>
    <s v="Weekday"/>
    <x v="1"/>
    <n v="2116"/>
    <n v="130"/>
    <n v="93"/>
    <n v="2153"/>
    <n v="71.5"/>
  </r>
  <r>
    <x v="3"/>
    <d v="2026-04-07T00:00:00"/>
    <s v="Tue"/>
    <s v="Weekday"/>
    <x v="2"/>
    <n v="3380"/>
    <n v="100"/>
    <n v="75"/>
    <n v="3405"/>
    <n v="75"/>
  </r>
  <r>
    <x v="3"/>
    <d v="2026-04-07T00:00:00"/>
    <s v="Tue"/>
    <s v="Weekday"/>
    <x v="3"/>
    <n v="1584"/>
    <n v="112"/>
    <n v="86"/>
    <n v="1610"/>
    <n v="76.8"/>
  </r>
  <r>
    <x v="3"/>
    <d v="2026-04-07T00:00:00"/>
    <s v="Tue"/>
    <s v="Weekday"/>
    <x v="4"/>
    <n v="3353"/>
    <n v="168"/>
    <n v="112"/>
    <n v="3409"/>
    <n v="66.7"/>
  </r>
  <r>
    <x v="3"/>
    <d v="2026-04-07T00:00:00"/>
    <s v="Tue"/>
    <s v="Weekday"/>
    <x v="5"/>
    <n v="1865"/>
    <n v="58"/>
    <n v="49"/>
    <n v="1874"/>
    <n v="84.5"/>
  </r>
  <r>
    <x v="3"/>
    <d v="2026-04-07T00:00:00"/>
    <s v="Tue"/>
    <s v="Weekday"/>
    <x v="6"/>
    <n v="1972"/>
    <n v="135"/>
    <n v="114"/>
    <n v="1993"/>
    <n v="84.4"/>
  </r>
  <r>
    <x v="3"/>
    <d v="2026-04-07T00:00:00"/>
    <s v="Tue"/>
    <s v="Weekday"/>
    <x v="7"/>
    <n v="2324"/>
    <n v="75"/>
    <n v="57"/>
    <n v="2342"/>
    <n v="76"/>
  </r>
  <r>
    <x v="3"/>
    <d v="2026-04-07T00:00:00"/>
    <s v="Tue"/>
    <s v="Weekday"/>
    <x v="8"/>
    <n v="2899"/>
    <n v="152"/>
    <n v="124"/>
    <n v="2927"/>
    <n v="81.599999999999994"/>
  </r>
  <r>
    <x v="3"/>
    <d v="2026-04-07T00:00:00"/>
    <s v="Tue"/>
    <s v="Weekday"/>
    <x v="9"/>
    <n v="1132"/>
    <n v="93"/>
    <n v="85"/>
    <n v="1140"/>
    <n v="91.4"/>
  </r>
  <r>
    <x v="3"/>
    <d v="2026-04-07T00:00:00"/>
    <s v="Tue"/>
    <s v="Weekday"/>
    <x v="10"/>
    <n v="3647"/>
    <n v="122"/>
    <n v="91"/>
    <n v="3678"/>
    <n v="74.599999999999994"/>
  </r>
  <r>
    <x v="3"/>
    <d v="2026-04-08T00:00:00"/>
    <s v="Wed"/>
    <s v="Weekday"/>
    <x v="0"/>
    <n v="2924"/>
    <n v="146"/>
    <n v="108"/>
    <n v="2962"/>
    <n v="74"/>
  </r>
  <r>
    <x v="3"/>
    <d v="2026-04-08T00:00:00"/>
    <s v="Wed"/>
    <s v="Weekday"/>
    <x v="1"/>
    <n v="2153"/>
    <n v="77"/>
    <n v="60"/>
    <n v="2170"/>
    <n v="77.900000000000006"/>
  </r>
  <r>
    <x v="3"/>
    <d v="2026-04-08T00:00:00"/>
    <s v="Wed"/>
    <s v="Weekday"/>
    <x v="2"/>
    <n v="3405"/>
    <n v="118"/>
    <n v="72"/>
    <n v="3451"/>
    <n v="61"/>
  </r>
  <r>
    <x v="3"/>
    <d v="2026-04-08T00:00:00"/>
    <s v="Wed"/>
    <s v="Weekday"/>
    <x v="3"/>
    <n v="1610"/>
    <n v="81"/>
    <n v="60"/>
    <n v="1631"/>
    <n v="74.099999999999994"/>
  </r>
  <r>
    <x v="3"/>
    <d v="2026-04-08T00:00:00"/>
    <s v="Wed"/>
    <s v="Weekday"/>
    <x v="4"/>
    <n v="3409"/>
    <n v="175"/>
    <n v="143"/>
    <n v="3441"/>
    <n v="81.7"/>
  </r>
  <r>
    <x v="3"/>
    <d v="2026-04-08T00:00:00"/>
    <s v="Wed"/>
    <s v="Weekday"/>
    <x v="5"/>
    <n v="1874"/>
    <n v="64"/>
    <n v="52"/>
    <n v="1886"/>
    <n v="81.2"/>
  </r>
  <r>
    <x v="3"/>
    <d v="2026-04-08T00:00:00"/>
    <s v="Wed"/>
    <s v="Weekday"/>
    <x v="6"/>
    <n v="1993"/>
    <n v="103"/>
    <n v="74"/>
    <n v="2022"/>
    <n v="71.8"/>
  </r>
  <r>
    <x v="3"/>
    <d v="2026-04-08T00:00:00"/>
    <s v="Wed"/>
    <s v="Weekday"/>
    <x v="7"/>
    <n v="2342"/>
    <n v="69"/>
    <n v="56"/>
    <n v="2355"/>
    <n v="81.2"/>
  </r>
  <r>
    <x v="3"/>
    <d v="2026-04-08T00:00:00"/>
    <s v="Wed"/>
    <s v="Weekday"/>
    <x v="8"/>
    <n v="2927"/>
    <n v="92"/>
    <n v="65"/>
    <n v="2954"/>
    <n v="70.7"/>
  </r>
  <r>
    <x v="3"/>
    <d v="2026-04-08T00:00:00"/>
    <s v="Wed"/>
    <s v="Weekday"/>
    <x v="9"/>
    <n v="1140"/>
    <n v="59"/>
    <n v="46"/>
    <n v="1153"/>
    <n v="78"/>
  </r>
  <r>
    <x v="3"/>
    <d v="2026-04-08T00:00:00"/>
    <s v="Wed"/>
    <s v="Weekday"/>
    <x v="10"/>
    <n v="3678"/>
    <n v="137"/>
    <n v="85"/>
    <n v="3730"/>
    <n v="62"/>
  </r>
  <r>
    <x v="3"/>
    <d v="2026-04-09T00:00:00"/>
    <s v="Thu"/>
    <s v="Weekday"/>
    <x v="0"/>
    <n v="2962"/>
    <n v="140"/>
    <n v="98"/>
    <n v="3004"/>
    <n v="70"/>
  </r>
  <r>
    <x v="3"/>
    <d v="2026-04-09T00:00:00"/>
    <s v="Thu"/>
    <s v="Weekday"/>
    <x v="1"/>
    <n v="2170"/>
    <n v="120"/>
    <n v="99"/>
    <n v="2191"/>
    <n v="82.5"/>
  </r>
  <r>
    <x v="3"/>
    <d v="2026-04-09T00:00:00"/>
    <s v="Thu"/>
    <s v="Weekday"/>
    <x v="2"/>
    <n v="3451"/>
    <n v="142"/>
    <n v="91"/>
    <n v="3502"/>
    <n v="64.099999999999994"/>
  </r>
  <r>
    <x v="3"/>
    <d v="2026-04-09T00:00:00"/>
    <s v="Thu"/>
    <s v="Weekday"/>
    <x v="3"/>
    <n v="1631"/>
    <n v="66"/>
    <n v="50"/>
    <n v="1647"/>
    <n v="75.8"/>
  </r>
  <r>
    <x v="3"/>
    <d v="2026-04-09T00:00:00"/>
    <s v="Thu"/>
    <s v="Weekday"/>
    <x v="4"/>
    <n v="3441"/>
    <n v="155"/>
    <n v="118"/>
    <n v="3478"/>
    <n v="76.099999999999994"/>
  </r>
  <r>
    <x v="3"/>
    <d v="2026-04-09T00:00:00"/>
    <s v="Thu"/>
    <s v="Weekday"/>
    <x v="5"/>
    <n v="1886"/>
    <n v="77"/>
    <n v="65"/>
    <n v="1898"/>
    <n v="84.4"/>
  </r>
  <r>
    <x v="3"/>
    <d v="2026-04-09T00:00:00"/>
    <s v="Thu"/>
    <s v="Weekday"/>
    <x v="6"/>
    <n v="2022"/>
    <n v="134"/>
    <n v="123"/>
    <n v="2033"/>
    <n v="91.8"/>
  </r>
  <r>
    <x v="3"/>
    <d v="2026-04-09T00:00:00"/>
    <s v="Thu"/>
    <s v="Weekday"/>
    <x v="7"/>
    <n v="2355"/>
    <n v="111"/>
    <n v="74"/>
    <n v="2392"/>
    <n v="66.7"/>
  </r>
  <r>
    <x v="3"/>
    <d v="2026-04-09T00:00:00"/>
    <s v="Thu"/>
    <s v="Weekday"/>
    <x v="8"/>
    <n v="2954"/>
    <n v="97"/>
    <n v="63"/>
    <n v="2988"/>
    <n v="64.900000000000006"/>
  </r>
  <r>
    <x v="3"/>
    <d v="2026-04-09T00:00:00"/>
    <s v="Thu"/>
    <s v="Weekday"/>
    <x v="9"/>
    <n v="1153"/>
    <n v="80"/>
    <n v="72"/>
    <n v="1161"/>
    <n v="90"/>
  </r>
  <r>
    <x v="3"/>
    <d v="2026-04-09T00:00:00"/>
    <s v="Thu"/>
    <s v="Weekday"/>
    <x v="10"/>
    <n v="3730"/>
    <n v="108"/>
    <n v="72"/>
    <n v="3766"/>
    <n v="66.7"/>
  </r>
  <r>
    <x v="3"/>
    <d v="2026-04-10T00:00:00"/>
    <s v="Fri"/>
    <s v="Weekday"/>
    <x v="0"/>
    <n v="3004"/>
    <n v="111"/>
    <n v="74"/>
    <n v="3041"/>
    <n v="66.7"/>
  </r>
  <r>
    <x v="3"/>
    <d v="2026-04-10T00:00:00"/>
    <s v="Fri"/>
    <s v="Weekday"/>
    <x v="1"/>
    <n v="2191"/>
    <n v="98"/>
    <n v="85"/>
    <n v="2204"/>
    <n v="86.7"/>
  </r>
  <r>
    <x v="3"/>
    <d v="2026-04-10T00:00:00"/>
    <s v="Fri"/>
    <s v="Weekday"/>
    <x v="2"/>
    <n v="3502"/>
    <n v="102"/>
    <n v="62"/>
    <n v="3542"/>
    <n v="60.8"/>
  </r>
  <r>
    <x v="3"/>
    <d v="2026-04-10T00:00:00"/>
    <s v="Fri"/>
    <s v="Weekday"/>
    <x v="3"/>
    <n v="1647"/>
    <n v="101"/>
    <n v="92"/>
    <n v="1656"/>
    <n v="91.1"/>
  </r>
  <r>
    <x v="3"/>
    <d v="2026-04-10T00:00:00"/>
    <s v="Fri"/>
    <s v="Weekday"/>
    <x v="4"/>
    <n v="3478"/>
    <n v="101"/>
    <n v="64"/>
    <n v="3515"/>
    <n v="63.4"/>
  </r>
  <r>
    <x v="3"/>
    <d v="2026-04-10T00:00:00"/>
    <s v="Fri"/>
    <s v="Weekday"/>
    <x v="5"/>
    <n v="1898"/>
    <n v="109"/>
    <n v="81"/>
    <n v="1926"/>
    <n v="74.3"/>
  </r>
  <r>
    <x v="3"/>
    <d v="2026-04-10T00:00:00"/>
    <s v="Fri"/>
    <s v="Weekday"/>
    <x v="6"/>
    <n v="2033"/>
    <n v="96"/>
    <n v="82"/>
    <n v="2047"/>
    <n v="85.4"/>
  </r>
  <r>
    <x v="3"/>
    <d v="2026-04-10T00:00:00"/>
    <s v="Fri"/>
    <s v="Weekday"/>
    <x v="7"/>
    <n v="2392"/>
    <n v="96"/>
    <n v="78"/>
    <n v="2410"/>
    <n v="81.2"/>
  </r>
  <r>
    <x v="3"/>
    <d v="2026-04-10T00:00:00"/>
    <s v="Fri"/>
    <s v="Weekday"/>
    <x v="8"/>
    <n v="2988"/>
    <n v="112"/>
    <n v="83"/>
    <n v="3017"/>
    <n v="74.099999999999994"/>
  </r>
  <r>
    <x v="3"/>
    <d v="2026-04-10T00:00:00"/>
    <s v="Fri"/>
    <s v="Weekday"/>
    <x v="9"/>
    <n v="1161"/>
    <n v="58"/>
    <n v="47"/>
    <n v="1172"/>
    <n v="81"/>
  </r>
  <r>
    <x v="3"/>
    <d v="2026-04-10T00:00:00"/>
    <s v="Fri"/>
    <s v="Weekday"/>
    <x v="10"/>
    <n v="3766"/>
    <n v="143"/>
    <n v="87"/>
    <n v="3822"/>
    <n v="60.8"/>
  </r>
  <r>
    <x v="3"/>
    <d v="2026-04-11T00:00:00"/>
    <s v="Sat"/>
    <s v="Weekend"/>
    <x v="0"/>
    <n v="3041"/>
    <n v="44"/>
    <n v="32"/>
    <n v="3053"/>
    <n v="72.7"/>
  </r>
  <r>
    <x v="3"/>
    <d v="2026-04-11T00:00:00"/>
    <s v="Sat"/>
    <s v="Weekend"/>
    <x v="1"/>
    <n v="2204"/>
    <n v="41"/>
    <n v="28"/>
    <n v="2217"/>
    <n v="68.3"/>
  </r>
  <r>
    <x v="3"/>
    <d v="2026-04-11T00:00:00"/>
    <s v="Sat"/>
    <s v="Weekend"/>
    <x v="2"/>
    <n v="3542"/>
    <n v="73"/>
    <n v="44"/>
    <n v="3571"/>
    <n v="60.3"/>
  </r>
  <r>
    <x v="3"/>
    <d v="2026-04-11T00:00:00"/>
    <s v="Sat"/>
    <s v="Weekend"/>
    <x v="3"/>
    <n v="1656"/>
    <n v="44"/>
    <n v="33"/>
    <n v="1667"/>
    <n v="75"/>
  </r>
  <r>
    <x v="3"/>
    <d v="2026-04-11T00:00:00"/>
    <s v="Sat"/>
    <s v="Weekend"/>
    <x v="4"/>
    <n v="3515"/>
    <n v="43"/>
    <n v="35"/>
    <n v="3523"/>
    <n v="81.400000000000006"/>
  </r>
  <r>
    <x v="3"/>
    <d v="2026-04-11T00:00:00"/>
    <s v="Sat"/>
    <s v="Weekend"/>
    <x v="5"/>
    <n v="1926"/>
    <n v="50"/>
    <n v="42"/>
    <n v="1934"/>
    <n v="84"/>
  </r>
  <r>
    <x v="3"/>
    <d v="2026-04-11T00:00:00"/>
    <s v="Sat"/>
    <s v="Weekend"/>
    <x v="6"/>
    <n v="2047"/>
    <n v="63"/>
    <n v="47"/>
    <n v="2063"/>
    <n v="74.599999999999994"/>
  </r>
  <r>
    <x v="3"/>
    <d v="2026-04-11T00:00:00"/>
    <s v="Sat"/>
    <s v="Weekend"/>
    <x v="7"/>
    <n v="2410"/>
    <n v="29"/>
    <n v="23"/>
    <n v="2416"/>
    <n v="79.3"/>
  </r>
  <r>
    <x v="3"/>
    <d v="2026-04-11T00:00:00"/>
    <s v="Sat"/>
    <s v="Weekend"/>
    <x v="8"/>
    <n v="3017"/>
    <n v="39"/>
    <n v="26"/>
    <n v="3030"/>
    <n v="66.7"/>
  </r>
  <r>
    <x v="3"/>
    <d v="2026-04-11T00:00:00"/>
    <s v="Sat"/>
    <s v="Weekend"/>
    <x v="9"/>
    <n v="1172"/>
    <n v="24"/>
    <n v="22"/>
    <n v="1174"/>
    <n v="91.7"/>
  </r>
  <r>
    <x v="3"/>
    <d v="2026-04-11T00:00:00"/>
    <s v="Sat"/>
    <s v="Weekend"/>
    <x v="10"/>
    <n v="3822"/>
    <n v="42"/>
    <n v="28"/>
    <n v="3836"/>
    <n v="66.7"/>
  </r>
  <r>
    <x v="3"/>
    <d v="2026-04-12T00:00:00"/>
    <s v="Sun"/>
    <s v="Weekend"/>
    <x v="0"/>
    <n v="3053"/>
    <n v="74"/>
    <n v="57"/>
    <n v="3070"/>
    <n v="77"/>
  </r>
  <r>
    <x v="3"/>
    <d v="2026-04-12T00:00:00"/>
    <s v="Sun"/>
    <s v="Weekend"/>
    <x v="1"/>
    <n v="2217"/>
    <n v="64"/>
    <n v="52"/>
    <n v="2229"/>
    <n v="81.2"/>
  </r>
  <r>
    <x v="3"/>
    <d v="2026-04-12T00:00:00"/>
    <s v="Sun"/>
    <s v="Weekend"/>
    <x v="2"/>
    <n v="3571"/>
    <n v="56"/>
    <n v="37"/>
    <n v="3590"/>
    <n v="66.099999999999994"/>
  </r>
  <r>
    <x v="3"/>
    <d v="2026-04-12T00:00:00"/>
    <s v="Sun"/>
    <s v="Weekend"/>
    <x v="3"/>
    <n v="1667"/>
    <n v="37"/>
    <n v="32"/>
    <n v="1672"/>
    <n v="86.5"/>
  </r>
  <r>
    <x v="3"/>
    <d v="2026-04-12T00:00:00"/>
    <s v="Sun"/>
    <s v="Weekend"/>
    <x v="4"/>
    <n v="3523"/>
    <n v="55"/>
    <n v="38"/>
    <n v="3540"/>
    <n v="69.099999999999994"/>
  </r>
  <r>
    <x v="3"/>
    <d v="2026-04-12T00:00:00"/>
    <s v="Sun"/>
    <s v="Weekend"/>
    <x v="5"/>
    <n v="1934"/>
    <n v="45"/>
    <n v="32"/>
    <n v="1947"/>
    <n v="71.099999999999994"/>
  </r>
  <r>
    <x v="3"/>
    <d v="2026-04-12T00:00:00"/>
    <s v="Sun"/>
    <s v="Weekend"/>
    <x v="6"/>
    <n v="2063"/>
    <n v="49"/>
    <n v="42"/>
    <n v="2070"/>
    <n v="85.7"/>
  </r>
  <r>
    <x v="3"/>
    <d v="2026-04-12T00:00:00"/>
    <s v="Sun"/>
    <s v="Weekend"/>
    <x v="7"/>
    <n v="2416"/>
    <n v="46"/>
    <n v="31"/>
    <n v="2431"/>
    <n v="67.400000000000006"/>
  </r>
  <r>
    <x v="3"/>
    <d v="2026-04-12T00:00:00"/>
    <s v="Sun"/>
    <s v="Weekend"/>
    <x v="8"/>
    <n v="3030"/>
    <n v="34"/>
    <n v="28"/>
    <n v="3036"/>
    <n v="82.4"/>
  </r>
  <r>
    <x v="3"/>
    <d v="2026-04-12T00:00:00"/>
    <s v="Sun"/>
    <s v="Weekend"/>
    <x v="9"/>
    <n v="1174"/>
    <n v="41"/>
    <n v="40"/>
    <n v="1175"/>
    <n v="97.6"/>
  </r>
  <r>
    <x v="3"/>
    <d v="2026-04-12T00:00:00"/>
    <s v="Sun"/>
    <s v="Weekend"/>
    <x v="10"/>
    <n v="3836"/>
    <n v="44"/>
    <n v="27"/>
    <n v="3853"/>
    <n v="61.4"/>
  </r>
  <r>
    <x v="3"/>
    <d v="2026-04-13T00:00:00"/>
    <s v="Mon"/>
    <s v="Weekday"/>
    <x v="0"/>
    <n v="3070"/>
    <n v="127"/>
    <n v="91"/>
    <n v="3106"/>
    <n v="71.7"/>
  </r>
  <r>
    <x v="3"/>
    <d v="2026-04-13T00:00:00"/>
    <s v="Mon"/>
    <s v="Weekday"/>
    <x v="1"/>
    <n v="2229"/>
    <n v="80"/>
    <n v="70"/>
    <n v="2239"/>
    <n v="87.5"/>
  </r>
  <r>
    <x v="3"/>
    <d v="2026-04-13T00:00:00"/>
    <s v="Mon"/>
    <s v="Weekday"/>
    <x v="2"/>
    <n v="3590"/>
    <n v="159"/>
    <n v="114"/>
    <n v="3635"/>
    <n v="71.7"/>
  </r>
  <r>
    <x v="3"/>
    <d v="2026-04-13T00:00:00"/>
    <s v="Mon"/>
    <s v="Weekday"/>
    <x v="3"/>
    <n v="1672"/>
    <n v="99"/>
    <n v="94"/>
    <n v="1677"/>
    <n v="94.9"/>
  </r>
  <r>
    <x v="3"/>
    <d v="2026-04-13T00:00:00"/>
    <s v="Mon"/>
    <s v="Weekday"/>
    <x v="4"/>
    <n v="3540"/>
    <n v="167"/>
    <n v="103"/>
    <n v="3604"/>
    <n v="61.7"/>
  </r>
  <r>
    <x v="3"/>
    <d v="2026-04-13T00:00:00"/>
    <s v="Mon"/>
    <s v="Weekday"/>
    <x v="5"/>
    <n v="1947"/>
    <n v="92"/>
    <n v="79"/>
    <n v="1960"/>
    <n v="85.9"/>
  </r>
  <r>
    <x v="3"/>
    <d v="2026-04-13T00:00:00"/>
    <s v="Mon"/>
    <s v="Weekday"/>
    <x v="6"/>
    <n v="2070"/>
    <n v="113"/>
    <n v="102"/>
    <n v="2081"/>
    <n v="90.3"/>
  </r>
  <r>
    <x v="3"/>
    <d v="2026-04-13T00:00:00"/>
    <s v="Mon"/>
    <s v="Weekday"/>
    <x v="7"/>
    <n v="2431"/>
    <n v="71"/>
    <n v="50"/>
    <n v="2452"/>
    <n v="70.400000000000006"/>
  </r>
  <r>
    <x v="3"/>
    <d v="2026-04-13T00:00:00"/>
    <s v="Mon"/>
    <s v="Weekday"/>
    <x v="8"/>
    <n v="3036"/>
    <n v="118"/>
    <n v="78"/>
    <n v="3076"/>
    <n v="66.099999999999994"/>
  </r>
  <r>
    <x v="3"/>
    <d v="2026-04-13T00:00:00"/>
    <s v="Mon"/>
    <s v="Weekday"/>
    <x v="9"/>
    <n v="1175"/>
    <n v="61"/>
    <n v="58"/>
    <n v="1178"/>
    <n v="95.1"/>
  </r>
  <r>
    <x v="3"/>
    <d v="2026-04-13T00:00:00"/>
    <s v="Mon"/>
    <s v="Weekday"/>
    <x v="10"/>
    <n v="3853"/>
    <n v="165"/>
    <n v="109"/>
    <n v="3909"/>
    <n v="66.099999999999994"/>
  </r>
  <r>
    <x v="3"/>
    <d v="2026-04-14T00:00:00"/>
    <s v="Tue"/>
    <s v="Weekday"/>
    <x v="0"/>
    <n v="3106"/>
    <n v="142"/>
    <n v="100"/>
    <n v="3148"/>
    <n v="70.400000000000006"/>
  </r>
  <r>
    <x v="3"/>
    <d v="2026-04-14T00:00:00"/>
    <s v="Tue"/>
    <s v="Weekday"/>
    <x v="1"/>
    <n v="2239"/>
    <n v="127"/>
    <n v="89"/>
    <n v="2277"/>
    <n v="70.099999999999994"/>
  </r>
  <r>
    <x v="3"/>
    <d v="2026-04-14T00:00:00"/>
    <s v="Tue"/>
    <s v="Weekday"/>
    <x v="2"/>
    <n v="3635"/>
    <n v="101"/>
    <n v="80"/>
    <n v="3656"/>
    <n v="79.2"/>
  </r>
  <r>
    <x v="3"/>
    <d v="2026-04-14T00:00:00"/>
    <s v="Tue"/>
    <s v="Weekday"/>
    <x v="3"/>
    <n v="1677"/>
    <n v="87"/>
    <n v="73"/>
    <n v="1691"/>
    <n v="83.9"/>
  </r>
  <r>
    <x v="3"/>
    <d v="2026-04-14T00:00:00"/>
    <s v="Tue"/>
    <s v="Weekday"/>
    <x v="4"/>
    <n v="3604"/>
    <n v="105"/>
    <n v="65"/>
    <n v="3644"/>
    <n v="61.9"/>
  </r>
  <r>
    <x v="3"/>
    <d v="2026-04-14T00:00:00"/>
    <s v="Tue"/>
    <s v="Weekday"/>
    <x v="5"/>
    <n v="1960"/>
    <n v="71"/>
    <n v="60"/>
    <n v="1971"/>
    <n v="84.5"/>
  </r>
  <r>
    <x v="3"/>
    <d v="2026-04-14T00:00:00"/>
    <s v="Tue"/>
    <s v="Weekday"/>
    <x v="6"/>
    <n v="2081"/>
    <n v="91"/>
    <n v="73"/>
    <n v="2099"/>
    <n v="80.2"/>
  </r>
  <r>
    <x v="3"/>
    <d v="2026-04-14T00:00:00"/>
    <s v="Tue"/>
    <s v="Weekday"/>
    <x v="7"/>
    <n v="2452"/>
    <n v="75"/>
    <n v="63"/>
    <n v="2464"/>
    <n v="84"/>
  </r>
  <r>
    <x v="3"/>
    <d v="2026-04-14T00:00:00"/>
    <s v="Tue"/>
    <s v="Weekday"/>
    <x v="8"/>
    <n v="3076"/>
    <n v="155"/>
    <n v="126"/>
    <n v="3105"/>
    <n v="81.3"/>
  </r>
  <r>
    <x v="3"/>
    <d v="2026-04-14T00:00:00"/>
    <s v="Tue"/>
    <s v="Weekday"/>
    <x v="9"/>
    <n v="1178"/>
    <n v="90"/>
    <n v="70"/>
    <n v="1198"/>
    <n v="77.8"/>
  </r>
  <r>
    <x v="3"/>
    <d v="2026-04-14T00:00:00"/>
    <s v="Tue"/>
    <s v="Weekday"/>
    <x v="10"/>
    <n v="3909"/>
    <n v="109"/>
    <n v="68"/>
    <n v="3950"/>
    <n v="62.4"/>
  </r>
  <r>
    <x v="3"/>
    <d v="2026-04-15T00:00:00"/>
    <s v="Wed"/>
    <s v="Weekday"/>
    <x v="0"/>
    <n v="3148"/>
    <n v="96"/>
    <n v="63"/>
    <n v="3181"/>
    <n v="65.599999999999994"/>
  </r>
  <r>
    <x v="3"/>
    <d v="2026-04-15T00:00:00"/>
    <s v="Wed"/>
    <s v="Weekday"/>
    <x v="1"/>
    <n v="2277"/>
    <n v="89"/>
    <n v="73"/>
    <n v="2293"/>
    <n v="82"/>
  </r>
  <r>
    <x v="3"/>
    <d v="2026-04-15T00:00:00"/>
    <s v="Wed"/>
    <s v="Weekday"/>
    <x v="2"/>
    <n v="3656"/>
    <n v="95"/>
    <n v="68"/>
    <n v="3683"/>
    <n v="71.599999999999994"/>
  </r>
  <r>
    <x v="3"/>
    <d v="2026-04-15T00:00:00"/>
    <s v="Wed"/>
    <s v="Weekday"/>
    <x v="3"/>
    <n v="1691"/>
    <n v="73"/>
    <n v="61"/>
    <n v="1703"/>
    <n v="83.6"/>
  </r>
  <r>
    <x v="3"/>
    <d v="2026-04-15T00:00:00"/>
    <s v="Wed"/>
    <s v="Weekday"/>
    <x v="4"/>
    <n v="3644"/>
    <n v="113"/>
    <n v="81"/>
    <n v="3676"/>
    <n v="71.7"/>
  </r>
  <r>
    <x v="3"/>
    <d v="2026-04-15T00:00:00"/>
    <s v="Wed"/>
    <s v="Weekday"/>
    <x v="5"/>
    <n v="1971"/>
    <n v="99"/>
    <n v="84"/>
    <n v="1986"/>
    <n v="84.8"/>
  </r>
  <r>
    <x v="3"/>
    <d v="2026-04-15T00:00:00"/>
    <s v="Wed"/>
    <s v="Weekday"/>
    <x v="6"/>
    <n v="2099"/>
    <n v="127"/>
    <n v="110"/>
    <n v="2116"/>
    <n v="86.6"/>
  </r>
  <r>
    <x v="3"/>
    <d v="2026-04-15T00:00:00"/>
    <s v="Wed"/>
    <s v="Weekday"/>
    <x v="7"/>
    <n v="2464"/>
    <n v="112"/>
    <n v="77"/>
    <n v="2499"/>
    <n v="68.8"/>
  </r>
  <r>
    <x v="3"/>
    <d v="2026-04-15T00:00:00"/>
    <s v="Wed"/>
    <s v="Weekday"/>
    <x v="8"/>
    <n v="3105"/>
    <n v="115"/>
    <n v="78"/>
    <n v="3142"/>
    <n v="67.8"/>
  </r>
  <r>
    <x v="3"/>
    <d v="2026-04-15T00:00:00"/>
    <s v="Wed"/>
    <s v="Weekday"/>
    <x v="9"/>
    <n v="1198"/>
    <n v="66"/>
    <n v="57"/>
    <n v="1207"/>
    <n v="86.4"/>
  </r>
  <r>
    <x v="3"/>
    <d v="2026-04-15T00:00:00"/>
    <s v="Wed"/>
    <s v="Weekday"/>
    <x v="10"/>
    <n v="3950"/>
    <n v="98"/>
    <n v="64"/>
    <n v="3984"/>
    <n v="65.3"/>
  </r>
  <r>
    <x v="3"/>
    <d v="2026-04-16T00:00:00"/>
    <s v="Thu"/>
    <s v="Weekday"/>
    <x v="0"/>
    <n v="3181"/>
    <n v="84"/>
    <n v="69"/>
    <n v="3196"/>
    <n v="82.1"/>
  </r>
  <r>
    <x v="3"/>
    <d v="2026-04-16T00:00:00"/>
    <s v="Thu"/>
    <s v="Weekday"/>
    <x v="1"/>
    <n v="2293"/>
    <n v="84"/>
    <n v="64"/>
    <n v="2313"/>
    <n v="76.2"/>
  </r>
  <r>
    <x v="3"/>
    <d v="2026-04-16T00:00:00"/>
    <s v="Thu"/>
    <s v="Weekday"/>
    <x v="2"/>
    <n v="3683"/>
    <n v="148"/>
    <n v="99"/>
    <n v="3732"/>
    <n v="66.900000000000006"/>
  </r>
  <r>
    <x v="3"/>
    <d v="2026-04-16T00:00:00"/>
    <s v="Thu"/>
    <s v="Weekday"/>
    <x v="3"/>
    <n v="1703"/>
    <n v="79"/>
    <n v="66"/>
    <n v="1716"/>
    <n v="83.5"/>
  </r>
  <r>
    <x v="3"/>
    <d v="2026-04-16T00:00:00"/>
    <s v="Thu"/>
    <s v="Weekday"/>
    <x v="4"/>
    <n v="3676"/>
    <n v="128"/>
    <n v="79"/>
    <n v="3725"/>
    <n v="61.7"/>
  </r>
  <r>
    <x v="3"/>
    <d v="2026-04-16T00:00:00"/>
    <s v="Thu"/>
    <s v="Weekday"/>
    <x v="5"/>
    <n v="1986"/>
    <n v="92"/>
    <n v="68"/>
    <n v="2010"/>
    <n v="73.900000000000006"/>
  </r>
  <r>
    <x v="3"/>
    <d v="2026-04-16T00:00:00"/>
    <s v="Thu"/>
    <s v="Weekday"/>
    <x v="6"/>
    <n v="2116"/>
    <n v="126"/>
    <n v="100"/>
    <n v="2142"/>
    <n v="79.400000000000006"/>
  </r>
  <r>
    <x v="3"/>
    <d v="2026-04-16T00:00:00"/>
    <s v="Thu"/>
    <s v="Weekday"/>
    <x v="7"/>
    <n v="2499"/>
    <n v="82"/>
    <n v="56"/>
    <n v="2525"/>
    <n v="68.3"/>
  </r>
  <r>
    <x v="3"/>
    <d v="2026-04-16T00:00:00"/>
    <s v="Thu"/>
    <s v="Weekday"/>
    <x v="8"/>
    <n v="3142"/>
    <n v="120"/>
    <n v="87"/>
    <n v="3175"/>
    <n v="72.5"/>
  </r>
  <r>
    <x v="3"/>
    <d v="2026-04-16T00:00:00"/>
    <s v="Thu"/>
    <s v="Weekday"/>
    <x v="9"/>
    <n v="1207"/>
    <n v="96"/>
    <n v="90"/>
    <n v="1213"/>
    <n v="93.8"/>
  </r>
  <r>
    <x v="3"/>
    <d v="2026-04-16T00:00:00"/>
    <s v="Thu"/>
    <s v="Weekday"/>
    <x v="10"/>
    <n v="3984"/>
    <n v="146"/>
    <n v="110"/>
    <n v="4020"/>
    <n v="75.3"/>
  </r>
  <r>
    <x v="3"/>
    <d v="2026-04-17T00:00:00"/>
    <s v="Fri"/>
    <s v="Weekday"/>
    <x v="0"/>
    <n v="3196"/>
    <n v="135"/>
    <n v="98"/>
    <n v="3233"/>
    <n v="72.599999999999994"/>
  </r>
  <r>
    <x v="3"/>
    <d v="2026-04-17T00:00:00"/>
    <s v="Fri"/>
    <s v="Weekday"/>
    <x v="1"/>
    <n v="2313"/>
    <n v="116"/>
    <n v="91"/>
    <n v="2338"/>
    <n v="78.400000000000006"/>
  </r>
  <r>
    <x v="3"/>
    <d v="2026-04-17T00:00:00"/>
    <s v="Fri"/>
    <s v="Weekday"/>
    <x v="2"/>
    <n v="3732"/>
    <n v="145"/>
    <n v="106"/>
    <n v="3771"/>
    <n v="73.099999999999994"/>
  </r>
  <r>
    <x v="3"/>
    <d v="2026-04-17T00:00:00"/>
    <s v="Fri"/>
    <s v="Weekday"/>
    <x v="3"/>
    <n v="1716"/>
    <n v="92"/>
    <n v="72"/>
    <n v="1736"/>
    <n v="78.3"/>
  </r>
  <r>
    <x v="3"/>
    <d v="2026-04-17T00:00:00"/>
    <s v="Fri"/>
    <s v="Weekday"/>
    <x v="4"/>
    <n v="3725"/>
    <n v="149"/>
    <n v="120"/>
    <n v="3754"/>
    <n v="80.5"/>
  </r>
  <r>
    <x v="3"/>
    <d v="2026-04-17T00:00:00"/>
    <s v="Fri"/>
    <s v="Weekday"/>
    <x v="5"/>
    <n v="2010"/>
    <n v="86"/>
    <n v="64"/>
    <n v="2032"/>
    <n v="74.400000000000006"/>
  </r>
  <r>
    <x v="3"/>
    <d v="2026-04-17T00:00:00"/>
    <s v="Fri"/>
    <s v="Weekday"/>
    <x v="6"/>
    <n v="2142"/>
    <n v="107"/>
    <n v="78"/>
    <n v="2171"/>
    <n v="72.900000000000006"/>
  </r>
  <r>
    <x v="3"/>
    <d v="2026-04-17T00:00:00"/>
    <s v="Fri"/>
    <s v="Weekday"/>
    <x v="7"/>
    <n v="2525"/>
    <n v="110"/>
    <n v="85"/>
    <n v="2550"/>
    <n v="77.3"/>
  </r>
  <r>
    <x v="3"/>
    <d v="2026-04-17T00:00:00"/>
    <s v="Fri"/>
    <s v="Weekday"/>
    <x v="8"/>
    <n v="3175"/>
    <n v="85"/>
    <n v="70"/>
    <n v="3190"/>
    <n v="82.4"/>
  </r>
  <r>
    <x v="3"/>
    <d v="2026-04-17T00:00:00"/>
    <s v="Fri"/>
    <s v="Weekday"/>
    <x v="9"/>
    <n v="1213"/>
    <n v="89"/>
    <n v="75"/>
    <n v="1227"/>
    <n v="84.3"/>
  </r>
  <r>
    <x v="3"/>
    <d v="2026-04-17T00:00:00"/>
    <s v="Fri"/>
    <s v="Weekday"/>
    <x v="10"/>
    <n v="4020"/>
    <n v="141"/>
    <n v="99"/>
    <n v="4062"/>
    <n v="70.2"/>
  </r>
  <r>
    <x v="3"/>
    <d v="2026-04-18T00:00:00"/>
    <s v="Sat"/>
    <s v="Weekend"/>
    <x v="0"/>
    <n v="3233"/>
    <n v="51"/>
    <n v="43"/>
    <n v="3241"/>
    <n v="84.3"/>
  </r>
  <r>
    <x v="3"/>
    <d v="2026-04-18T00:00:00"/>
    <s v="Sat"/>
    <s v="Weekend"/>
    <x v="1"/>
    <n v="2338"/>
    <n v="54"/>
    <n v="42"/>
    <n v="2350"/>
    <n v="77.8"/>
  </r>
  <r>
    <x v="3"/>
    <d v="2026-04-18T00:00:00"/>
    <s v="Sat"/>
    <s v="Weekend"/>
    <x v="2"/>
    <n v="3771"/>
    <n v="61"/>
    <n v="47"/>
    <n v="3785"/>
    <n v="77"/>
  </r>
  <r>
    <x v="3"/>
    <d v="2026-04-18T00:00:00"/>
    <s v="Sat"/>
    <s v="Weekend"/>
    <x v="3"/>
    <n v="1736"/>
    <n v="42"/>
    <n v="39"/>
    <n v="1739"/>
    <n v="92.9"/>
  </r>
  <r>
    <x v="3"/>
    <d v="2026-04-18T00:00:00"/>
    <s v="Sat"/>
    <s v="Weekend"/>
    <x v="4"/>
    <n v="3754"/>
    <n v="48"/>
    <n v="32"/>
    <n v="3770"/>
    <n v="66.7"/>
  </r>
  <r>
    <x v="3"/>
    <d v="2026-04-18T00:00:00"/>
    <s v="Sat"/>
    <s v="Weekend"/>
    <x v="5"/>
    <n v="2032"/>
    <n v="46"/>
    <n v="37"/>
    <n v="2041"/>
    <n v="80.400000000000006"/>
  </r>
  <r>
    <x v="3"/>
    <d v="2026-04-18T00:00:00"/>
    <s v="Sat"/>
    <s v="Weekend"/>
    <x v="6"/>
    <n v="2171"/>
    <n v="41"/>
    <n v="33"/>
    <n v="2179"/>
    <n v="80.5"/>
  </r>
  <r>
    <x v="3"/>
    <d v="2026-04-18T00:00:00"/>
    <s v="Sat"/>
    <s v="Weekend"/>
    <x v="7"/>
    <n v="2550"/>
    <n v="51"/>
    <n v="41"/>
    <n v="2560"/>
    <n v="80.400000000000006"/>
  </r>
  <r>
    <x v="3"/>
    <d v="2026-04-18T00:00:00"/>
    <s v="Sat"/>
    <s v="Weekend"/>
    <x v="8"/>
    <n v="3190"/>
    <n v="34"/>
    <n v="25"/>
    <n v="3199"/>
    <n v="73.5"/>
  </r>
  <r>
    <x v="3"/>
    <d v="2026-04-18T00:00:00"/>
    <s v="Sat"/>
    <s v="Weekend"/>
    <x v="9"/>
    <n v="1227"/>
    <n v="31"/>
    <n v="25"/>
    <n v="1233"/>
    <n v="80.599999999999994"/>
  </r>
  <r>
    <x v="3"/>
    <d v="2026-04-18T00:00:00"/>
    <s v="Sat"/>
    <s v="Weekend"/>
    <x v="10"/>
    <n v="4062"/>
    <n v="65"/>
    <n v="51"/>
    <n v="4076"/>
    <n v="78.5"/>
  </r>
  <r>
    <x v="3"/>
    <d v="2026-04-19T00:00:00"/>
    <s v="Sun"/>
    <s v="Weekend"/>
    <x v="0"/>
    <n v="3241"/>
    <n v="64"/>
    <n v="48"/>
    <n v="3257"/>
    <n v="75"/>
  </r>
  <r>
    <x v="3"/>
    <d v="2026-04-19T00:00:00"/>
    <s v="Sun"/>
    <s v="Weekend"/>
    <x v="1"/>
    <n v="2350"/>
    <n v="38"/>
    <n v="27"/>
    <n v="2361"/>
    <n v="71.099999999999994"/>
  </r>
  <r>
    <x v="3"/>
    <d v="2026-04-19T00:00:00"/>
    <s v="Sun"/>
    <s v="Weekend"/>
    <x v="2"/>
    <n v="3785"/>
    <n v="54"/>
    <n v="40"/>
    <n v="3799"/>
    <n v="74.099999999999994"/>
  </r>
  <r>
    <x v="3"/>
    <d v="2026-04-19T00:00:00"/>
    <s v="Sun"/>
    <s v="Weekend"/>
    <x v="3"/>
    <n v="1739"/>
    <n v="45"/>
    <n v="34"/>
    <n v="1750"/>
    <n v="75.599999999999994"/>
  </r>
  <r>
    <x v="3"/>
    <d v="2026-04-19T00:00:00"/>
    <s v="Sun"/>
    <s v="Weekend"/>
    <x v="4"/>
    <n v="3770"/>
    <n v="88"/>
    <n v="61"/>
    <n v="3797"/>
    <n v="69.3"/>
  </r>
  <r>
    <x v="3"/>
    <d v="2026-04-19T00:00:00"/>
    <s v="Sun"/>
    <s v="Weekend"/>
    <x v="5"/>
    <n v="2041"/>
    <n v="39"/>
    <n v="29"/>
    <n v="2051"/>
    <n v="74.400000000000006"/>
  </r>
  <r>
    <x v="3"/>
    <d v="2026-04-19T00:00:00"/>
    <s v="Sun"/>
    <s v="Weekend"/>
    <x v="6"/>
    <n v="2179"/>
    <n v="42"/>
    <n v="32"/>
    <n v="2189"/>
    <n v="76.2"/>
  </r>
  <r>
    <x v="3"/>
    <d v="2026-04-19T00:00:00"/>
    <s v="Sun"/>
    <s v="Weekend"/>
    <x v="7"/>
    <n v="2560"/>
    <n v="27"/>
    <n v="17"/>
    <n v="2570"/>
    <n v="63"/>
  </r>
  <r>
    <x v="3"/>
    <d v="2026-04-19T00:00:00"/>
    <s v="Sun"/>
    <s v="Weekend"/>
    <x v="8"/>
    <n v="3199"/>
    <n v="49"/>
    <n v="38"/>
    <n v="3210"/>
    <n v="77.599999999999994"/>
  </r>
  <r>
    <x v="3"/>
    <d v="2026-04-19T00:00:00"/>
    <s v="Sun"/>
    <s v="Weekend"/>
    <x v="9"/>
    <n v="1233"/>
    <n v="41"/>
    <n v="32"/>
    <n v="1242"/>
    <n v="78"/>
  </r>
  <r>
    <x v="3"/>
    <d v="2026-04-19T00:00:00"/>
    <s v="Sun"/>
    <s v="Weekend"/>
    <x v="10"/>
    <n v="4076"/>
    <n v="67"/>
    <n v="46"/>
    <n v="4097"/>
    <n v="68.7"/>
  </r>
  <r>
    <x v="3"/>
    <d v="2026-04-20T00:00:00"/>
    <s v="Mon"/>
    <s v="Weekday"/>
    <x v="0"/>
    <n v="3257"/>
    <n v="93"/>
    <n v="73"/>
    <n v="3277"/>
    <n v="78.5"/>
  </r>
  <r>
    <x v="3"/>
    <d v="2026-04-20T00:00:00"/>
    <s v="Mon"/>
    <s v="Weekday"/>
    <x v="1"/>
    <n v="2361"/>
    <n v="84"/>
    <n v="63"/>
    <n v="2382"/>
    <n v="75"/>
  </r>
  <r>
    <x v="3"/>
    <d v="2026-04-20T00:00:00"/>
    <s v="Mon"/>
    <s v="Weekday"/>
    <x v="2"/>
    <n v="3799"/>
    <n v="156"/>
    <n v="122"/>
    <n v="3833"/>
    <n v="78.2"/>
  </r>
  <r>
    <x v="3"/>
    <d v="2026-04-20T00:00:00"/>
    <s v="Mon"/>
    <s v="Weekday"/>
    <x v="3"/>
    <n v="1750"/>
    <n v="63"/>
    <n v="55"/>
    <n v="1758"/>
    <n v="87.3"/>
  </r>
  <r>
    <x v="3"/>
    <d v="2026-04-20T00:00:00"/>
    <s v="Mon"/>
    <s v="Weekday"/>
    <x v="4"/>
    <n v="3797"/>
    <n v="131"/>
    <n v="84"/>
    <n v="3844"/>
    <n v="64.099999999999994"/>
  </r>
  <r>
    <x v="3"/>
    <d v="2026-04-20T00:00:00"/>
    <s v="Mon"/>
    <s v="Weekday"/>
    <x v="5"/>
    <n v="2051"/>
    <n v="79"/>
    <n v="57"/>
    <n v="2073"/>
    <n v="72.2"/>
  </r>
  <r>
    <x v="3"/>
    <d v="2026-04-20T00:00:00"/>
    <s v="Mon"/>
    <s v="Weekday"/>
    <x v="6"/>
    <n v="2189"/>
    <n v="134"/>
    <n v="117"/>
    <n v="2206"/>
    <n v="87.3"/>
  </r>
  <r>
    <x v="3"/>
    <d v="2026-04-20T00:00:00"/>
    <s v="Mon"/>
    <s v="Weekday"/>
    <x v="7"/>
    <n v="2570"/>
    <n v="98"/>
    <n v="81"/>
    <n v="2587"/>
    <n v="82.7"/>
  </r>
  <r>
    <x v="3"/>
    <d v="2026-04-20T00:00:00"/>
    <s v="Mon"/>
    <s v="Weekday"/>
    <x v="8"/>
    <n v="3210"/>
    <n v="125"/>
    <n v="104"/>
    <n v="3231"/>
    <n v="83.2"/>
  </r>
  <r>
    <x v="3"/>
    <d v="2026-04-20T00:00:00"/>
    <s v="Mon"/>
    <s v="Weekday"/>
    <x v="9"/>
    <n v="1242"/>
    <n v="83"/>
    <n v="80"/>
    <n v="1245"/>
    <n v="96.4"/>
  </r>
  <r>
    <x v="3"/>
    <d v="2026-04-20T00:00:00"/>
    <s v="Mon"/>
    <s v="Weekday"/>
    <x v="10"/>
    <n v="4097"/>
    <n v="149"/>
    <n v="116"/>
    <n v="4130"/>
    <n v="77.900000000000006"/>
  </r>
  <r>
    <x v="3"/>
    <d v="2026-04-21T00:00:00"/>
    <s v="Tue"/>
    <s v="Weekday"/>
    <x v="0"/>
    <n v="3277"/>
    <n v="146"/>
    <n v="109"/>
    <n v="3314"/>
    <n v="74.7"/>
  </r>
  <r>
    <x v="3"/>
    <d v="2026-04-21T00:00:00"/>
    <s v="Tue"/>
    <s v="Weekday"/>
    <x v="1"/>
    <n v="2382"/>
    <n v="110"/>
    <n v="84"/>
    <n v="2408"/>
    <n v="76.400000000000006"/>
  </r>
  <r>
    <x v="3"/>
    <d v="2026-04-21T00:00:00"/>
    <s v="Tue"/>
    <s v="Weekday"/>
    <x v="2"/>
    <n v="3833"/>
    <n v="125"/>
    <n v="89"/>
    <n v="3869"/>
    <n v="71.2"/>
  </r>
  <r>
    <x v="3"/>
    <d v="2026-04-21T00:00:00"/>
    <s v="Tue"/>
    <s v="Weekday"/>
    <x v="3"/>
    <n v="1758"/>
    <n v="64"/>
    <n v="59"/>
    <n v="1763"/>
    <n v="92.2"/>
  </r>
  <r>
    <x v="3"/>
    <d v="2026-04-21T00:00:00"/>
    <s v="Tue"/>
    <s v="Weekday"/>
    <x v="4"/>
    <n v="3844"/>
    <n v="136"/>
    <n v="91"/>
    <n v="3889"/>
    <n v="66.900000000000006"/>
  </r>
  <r>
    <x v="3"/>
    <d v="2026-04-21T00:00:00"/>
    <s v="Tue"/>
    <s v="Weekday"/>
    <x v="5"/>
    <n v="2073"/>
    <n v="67"/>
    <n v="50"/>
    <n v="2090"/>
    <n v="74.599999999999994"/>
  </r>
  <r>
    <x v="3"/>
    <d v="2026-04-21T00:00:00"/>
    <s v="Tue"/>
    <s v="Weekday"/>
    <x v="6"/>
    <n v="2206"/>
    <n v="115"/>
    <n v="99"/>
    <n v="2222"/>
    <n v="86.1"/>
  </r>
  <r>
    <x v="3"/>
    <d v="2026-04-21T00:00:00"/>
    <s v="Tue"/>
    <s v="Weekday"/>
    <x v="7"/>
    <n v="2587"/>
    <n v="70"/>
    <n v="48"/>
    <n v="2609"/>
    <n v="68.599999999999994"/>
  </r>
  <r>
    <x v="3"/>
    <d v="2026-04-21T00:00:00"/>
    <s v="Tue"/>
    <s v="Weekday"/>
    <x v="8"/>
    <n v="3231"/>
    <n v="104"/>
    <n v="73"/>
    <n v="3262"/>
    <n v="70.2"/>
  </r>
  <r>
    <x v="3"/>
    <d v="2026-04-21T00:00:00"/>
    <s v="Tue"/>
    <s v="Weekday"/>
    <x v="9"/>
    <n v="1245"/>
    <n v="79"/>
    <n v="65"/>
    <n v="1259"/>
    <n v="82.3"/>
  </r>
  <r>
    <x v="3"/>
    <d v="2026-04-21T00:00:00"/>
    <s v="Tue"/>
    <s v="Weekday"/>
    <x v="10"/>
    <n v="4130"/>
    <n v="122"/>
    <n v="76"/>
    <n v="4176"/>
    <n v="62.3"/>
  </r>
  <r>
    <x v="3"/>
    <d v="2026-04-22T00:00:00"/>
    <s v="Wed"/>
    <s v="Weekday"/>
    <x v="0"/>
    <n v="3314"/>
    <n v="133"/>
    <n v="98"/>
    <n v="3349"/>
    <n v="73.7"/>
  </r>
  <r>
    <x v="3"/>
    <d v="2026-04-22T00:00:00"/>
    <s v="Wed"/>
    <s v="Weekday"/>
    <x v="1"/>
    <n v="2408"/>
    <n v="127"/>
    <n v="112"/>
    <n v="2423"/>
    <n v="88.2"/>
  </r>
  <r>
    <x v="3"/>
    <d v="2026-04-22T00:00:00"/>
    <s v="Wed"/>
    <s v="Weekday"/>
    <x v="2"/>
    <n v="3869"/>
    <n v="92"/>
    <n v="73"/>
    <n v="3888"/>
    <n v="79.3"/>
  </r>
  <r>
    <x v="3"/>
    <d v="2026-04-22T00:00:00"/>
    <s v="Wed"/>
    <s v="Weekday"/>
    <x v="3"/>
    <n v="1763"/>
    <n v="84"/>
    <n v="78"/>
    <n v="1769"/>
    <n v="92.9"/>
  </r>
  <r>
    <x v="3"/>
    <d v="2026-04-22T00:00:00"/>
    <s v="Wed"/>
    <s v="Weekday"/>
    <x v="4"/>
    <n v="3889"/>
    <n v="100"/>
    <n v="73"/>
    <n v="3916"/>
    <n v="73"/>
  </r>
  <r>
    <x v="3"/>
    <d v="2026-04-22T00:00:00"/>
    <s v="Wed"/>
    <s v="Weekday"/>
    <x v="5"/>
    <n v="2090"/>
    <n v="69"/>
    <n v="58"/>
    <n v="2101"/>
    <n v="84.1"/>
  </r>
  <r>
    <x v="3"/>
    <d v="2026-04-22T00:00:00"/>
    <s v="Wed"/>
    <s v="Weekday"/>
    <x v="6"/>
    <n v="2222"/>
    <n v="124"/>
    <n v="102"/>
    <n v="2244"/>
    <n v="82.3"/>
  </r>
  <r>
    <x v="3"/>
    <d v="2026-04-22T00:00:00"/>
    <s v="Wed"/>
    <s v="Weekday"/>
    <x v="7"/>
    <n v="2609"/>
    <n v="99"/>
    <n v="82"/>
    <n v="2626"/>
    <n v="82.8"/>
  </r>
  <r>
    <x v="3"/>
    <d v="2026-04-22T00:00:00"/>
    <s v="Wed"/>
    <s v="Weekday"/>
    <x v="8"/>
    <n v="3262"/>
    <n v="113"/>
    <n v="87"/>
    <n v="3288"/>
    <n v="77"/>
  </r>
  <r>
    <x v="3"/>
    <d v="2026-04-22T00:00:00"/>
    <s v="Wed"/>
    <s v="Weekday"/>
    <x v="9"/>
    <n v="1259"/>
    <n v="69"/>
    <n v="57"/>
    <n v="1271"/>
    <n v="82.6"/>
  </r>
  <r>
    <x v="3"/>
    <d v="2026-04-22T00:00:00"/>
    <s v="Wed"/>
    <s v="Weekday"/>
    <x v="10"/>
    <n v="4176"/>
    <n v="150"/>
    <n v="106"/>
    <n v="4220"/>
    <n v="70.7"/>
  </r>
  <r>
    <x v="3"/>
    <d v="2026-04-23T00:00:00"/>
    <s v="Thu"/>
    <s v="Weekday"/>
    <x v="0"/>
    <n v="3349"/>
    <n v="96"/>
    <n v="81"/>
    <n v="3364"/>
    <n v="84.4"/>
  </r>
  <r>
    <x v="3"/>
    <d v="2026-04-23T00:00:00"/>
    <s v="Thu"/>
    <s v="Weekday"/>
    <x v="1"/>
    <n v="2423"/>
    <n v="104"/>
    <n v="72"/>
    <n v="2455"/>
    <n v="69.2"/>
  </r>
  <r>
    <x v="3"/>
    <d v="2026-04-23T00:00:00"/>
    <s v="Thu"/>
    <s v="Weekday"/>
    <x v="2"/>
    <n v="3888"/>
    <n v="140"/>
    <n v="102"/>
    <n v="3926"/>
    <n v="72.900000000000006"/>
  </r>
  <r>
    <x v="3"/>
    <d v="2026-04-23T00:00:00"/>
    <s v="Thu"/>
    <s v="Weekday"/>
    <x v="3"/>
    <n v="1769"/>
    <n v="96"/>
    <n v="72"/>
    <n v="1793"/>
    <n v="75"/>
  </r>
  <r>
    <x v="3"/>
    <d v="2026-04-23T00:00:00"/>
    <s v="Thu"/>
    <s v="Weekday"/>
    <x v="4"/>
    <n v="3916"/>
    <n v="110"/>
    <n v="88"/>
    <n v="3938"/>
    <n v="80"/>
  </r>
  <r>
    <x v="3"/>
    <d v="2026-04-23T00:00:00"/>
    <s v="Thu"/>
    <s v="Weekday"/>
    <x v="5"/>
    <n v="2101"/>
    <n v="77"/>
    <n v="56"/>
    <n v="2122"/>
    <n v="72.7"/>
  </r>
  <r>
    <x v="3"/>
    <d v="2026-04-23T00:00:00"/>
    <s v="Thu"/>
    <s v="Weekday"/>
    <x v="6"/>
    <n v="2244"/>
    <n v="134"/>
    <n v="101"/>
    <n v="2277"/>
    <n v="75.400000000000006"/>
  </r>
  <r>
    <x v="3"/>
    <d v="2026-04-23T00:00:00"/>
    <s v="Thu"/>
    <s v="Weekday"/>
    <x v="7"/>
    <n v="2626"/>
    <n v="68"/>
    <n v="48"/>
    <n v="2646"/>
    <n v="70.599999999999994"/>
  </r>
  <r>
    <x v="3"/>
    <d v="2026-04-23T00:00:00"/>
    <s v="Thu"/>
    <s v="Weekday"/>
    <x v="8"/>
    <n v="3288"/>
    <n v="133"/>
    <n v="95"/>
    <n v="3326"/>
    <n v="71.400000000000006"/>
  </r>
  <r>
    <x v="3"/>
    <d v="2026-04-23T00:00:00"/>
    <s v="Thu"/>
    <s v="Weekday"/>
    <x v="9"/>
    <n v="1271"/>
    <n v="68"/>
    <n v="60"/>
    <n v="1279"/>
    <n v="88.2"/>
  </r>
  <r>
    <x v="3"/>
    <d v="2026-04-23T00:00:00"/>
    <s v="Thu"/>
    <s v="Weekday"/>
    <x v="10"/>
    <n v="4220"/>
    <n v="136"/>
    <n v="92"/>
    <n v="4264"/>
    <n v="67.599999999999994"/>
  </r>
  <r>
    <x v="3"/>
    <d v="2026-04-24T00:00:00"/>
    <s v="Fri"/>
    <s v="Weekday"/>
    <x v="0"/>
    <n v="3364"/>
    <n v="149"/>
    <n v="97"/>
    <n v="3416"/>
    <n v="65.099999999999994"/>
  </r>
  <r>
    <x v="3"/>
    <d v="2026-04-24T00:00:00"/>
    <s v="Fri"/>
    <s v="Weekday"/>
    <x v="1"/>
    <n v="2455"/>
    <n v="130"/>
    <n v="102"/>
    <n v="2483"/>
    <n v="78.5"/>
  </r>
  <r>
    <x v="3"/>
    <d v="2026-04-24T00:00:00"/>
    <s v="Fri"/>
    <s v="Weekday"/>
    <x v="2"/>
    <n v="3926"/>
    <n v="118"/>
    <n v="90"/>
    <n v="3954"/>
    <n v="76.3"/>
  </r>
  <r>
    <x v="3"/>
    <d v="2026-04-24T00:00:00"/>
    <s v="Fri"/>
    <s v="Weekday"/>
    <x v="3"/>
    <n v="1793"/>
    <n v="64"/>
    <n v="60"/>
    <n v="1797"/>
    <n v="93.8"/>
  </r>
  <r>
    <x v="3"/>
    <d v="2026-04-24T00:00:00"/>
    <s v="Fri"/>
    <s v="Weekday"/>
    <x v="4"/>
    <n v="3938"/>
    <n v="105"/>
    <n v="65"/>
    <n v="3978"/>
    <n v="61.9"/>
  </r>
  <r>
    <x v="3"/>
    <d v="2026-04-24T00:00:00"/>
    <s v="Fri"/>
    <s v="Weekday"/>
    <x v="5"/>
    <n v="2122"/>
    <n v="110"/>
    <n v="81"/>
    <n v="2151"/>
    <n v="73.599999999999994"/>
  </r>
  <r>
    <x v="3"/>
    <d v="2026-04-24T00:00:00"/>
    <s v="Fri"/>
    <s v="Weekday"/>
    <x v="6"/>
    <n v="2277"/>
    <n v="100"/>
    <n v="72"/>
    <n v="2305"/>
    <n v="72"/>
  </r>
  <r>
    <x v="3"/>
    <d v="2026-04-24T00:00:00"/>
    <s v="Fri"/>
    <s v="Weekday"/>
    <x v="7"/>
    <n v="2646"/>
    <n v="104"/>
    <n v="72"/>
    <n v="2678"/>
    <n v="69.2"/>
  </r>
  <r>
    <x v="3"/>
    <d v="2026-04-24T00:00:00"/>
    <s v="Fri"/>
    <s v="Weekday"/>
    <x v="8"/>
    <n v="3326"/>
    <n v="115"/>
    <n v="77"/>
    <n v="3364"/>
    <n v="67"/>
  </r>
  <r>
    <x v="3"/>
    <d v="2026-04-24T00:00:00"/>
    <s v="Fri"/>
    <s v="Weekday"/>
    <x v="9"/>
    <n v="1279"/>
    <n v="85"/>
    <n v="69"/>
    <n v="1295"/>
    <n v="81.2"/>
  </r>
  <r>
    <x v="3"/>
    <d v="2026-04-24T00:00:00"/>
    <s v="Fri"/>
    <s v="Weekday"/>
    <x v="10"/>
    <n v="4264"/>
    <n v="167"/>
    <n v="114"/>
    <n v="4317"/>
    <n v="68.3"/>
  </r>
  <r>
    <x v="3"/>
    <d v="2026-04-25T00:00:00"/>
    <s v="Sat"/>
    <s v="Weekend"/>
    <x v="0"/>
    <n v="3416"/>
    <n v="51"/>
    <n v="34"/>
    <n v="3433"/>
    <n v="66.7"/>
  </r>
  <r>
    <x v="3"/>
    <d v="2026-04-25T00:00:00"/>
    <s v="Sat"/>
    <s v="Weekend"/>
    <x v="1"/>
    <n v="2483"/>
    <n v="65"/>
    <n v="45"/>
    <n v="2503"/>
    <n v="69.2"/>
  </r>
  <r>
    <x v="3"/>
    <d v="2026-04-25T00:00:00"/>
    <s v="Sat"/>
    <s v="Weekend"/>
    <x v="2"/>
    <n v="3954"/>
    <n v="55"/>
    <n v="42"/>
    <n v="3967"/>
    <n v="76.400000000000006"/>
  </r>
  <r>
    <x v="3"/>
    <d v="2026-04-25T00:00:00"/>
    <s v="Sat"/>
    <s v="Weekend"/>
    <x v="3"/>
    <n v="1797"/>
    <n v="48"/>
    <n v="42"/>
    <n v="1803"/>
    <n v="87.5"/>
  </r>
  <r>
    <x v="3"/>
    <d v="2026-04-25T00:00:00"/>
    <s v="Sat"/>
    <s v="Weekend"/>
    <x v="4"/>
    <n v="3978"/>
    <n v="85"/>
    <n v="58"/>
    <n v="4005"/>
    <n v="68.2"/>
  </r>
  <r>
    <x v="3"/>
    <d v="2026-04-25T00:00:00"/>
    <s v="Sat"/>
    <s v="Weekend"/>
    <x v="5"/>
    <n v="2151"/>
    <n v="24"/>
    <n v="20"/>
    <n v="2155"/>
    <n v="83.3"/>
  </r>
  <r>
    <x v="3"/>
    <d v="2026-04-25T00:00:00"/>
    <s v="Sat"/>
    <s v="Weekend"/>
    <x v="6"/>
    <n v="2305"/>
    <n v="70"/>
    <n v="53"/>
    <n v="2322"/>
    <n v="75.7"/>
  </r>
  <r>
    <x v="3"/>
    <d v="2026-04-25T00:00:00"/>
    <s v="Sat"/>
    <s v="Weekend"/>
    <x v="7"/>
    <n v="2678"/>
    <n v="32"/>
    <n v="26"/>
    <n v="2684"/>
    <n v="81.2"/>
  </r>
  <r>
    <x v="3"/>
    <d v="2026-04-25T00:00:00"/>
    <s v="Sat"/>
    <s v="Weekend"/>
    <x v="8"/>
    <n v="3364"/>
    <n v="53"/>
    <n v="43"/>
    <n v="3374"/>
    <n v="81.099999999999994"/>
  </r>
  <r>
    <x v="3"/>
    <d v="2026-04-25T00:00:00"/>
    <s v="Sat"/>
    <s v="Weekend"/>
    <x v="9"/>
    <n v="1295"/>
    <n v="41"/>
    <n v="32"/>
    <n v="1304"/>
    <n v="78"/>
  </r>
  <r>
    <x v="3"/>
    <d v="2026-04-25T00:00:00"/>
    <s v="Sat"/>
    <s v="Weekend"/>
    <x v="10"/>
    <n v="4317"/>
    <n v="74"/>
    <n v="57"/>
    <n v="4334"/>
    <n v="77"/>
  </r>
  <r>
    <x v="3"/>
    <d v="2026-04-26T00:00:00"/>
    <s v="Sun"/>
    <s v="Weekend"/>
    <x v="0"/>
    <n v="3433"/>
    <n v="53"/>
    <n v="34"/>
    <n v="3452"/>
    <n v="64.2"/>
  </r>
  <r>
    <x v="3"/>
    <d v="2026-04-26T00:00:00"/>
    <s v="Sun"/>
    <s v="Weekend"/>
    <x v="1"/>
    <n v="2503"/>
    <n v="54"/>
    <n v="44"/>
    <n v="2513"/>
    <n v="81.5"/>
  </r>
  <r>
    <x v="3"/>
    <d v="2026-04-26T00:00:00"/>
    <s v="Sun"/>
    <s v="Weekend"/>
    <x v="2"/>
    <n v="3967"/>
    <n v="42"/>
    <n v="31"/>
    <n v="3978"/>
    <n v="73.8"/>
  </r>
  <r>
    <x v="3"/>
    <d v="2026-04-26T00:00:00"/>
    <s v="Sun"/>
    <s v="Weekend"/>
    <x v="3"/>
    <n v="1803"/>
    <n v="47"/>
    <n v="42"/>
    <n v="1808"/>
    <n v="89.4"/>
  </r>
  <r>
    <x v="3"/>
    <d v="2026-04-26T00:00:00"/>
    <s v="Sun"/>
    <s v="Weekend"/>
    <x v="4"/>
    <n v="4005"/>
    <n v="85"/>
    <n v="56"/>
    <n v="4034"/>
    <n v="65.900000000000006"/>
  </r>
  <r>
    <x v="3"/>
    <d v="2026-04-26T00:00:00"/>
    <s v="Sun"/>
    <s v="Weekend"/>
    <x v="5"/>
    <n v="2155"/>
    <n v="47"/>
    <n v="33"/>
    <n v="2169"/>
    <n v="70.2"/>
  </r>
  <r>
    <x v="3"/>
    <d v="2026-04-26T00:00:00"/>
    <s v="Sun"/>
    <s v="Weekend"/>
    <x v="6"/>
    <n v="2322"/>
    <n v="63"/>
    <n v="55"/>
    <n v="2330"/>
    <n v="87.3"/>
  </r>
  <r>
    <x v="3"/>
    <d v="2026-04-26T00:00:00"/>
    <s v="Sun"/>
    <s v="Weekend"/>
    <x v="7"/>
    <n v="2684"/>
    <n v="43"/>
    <n v="36"/>
    <n v="2691"/>
    <n v="83.7"/>
  </r>
  <r>
    <x v="3"/>
    <d v="2026-04-26T00:00:00"/>
    <s v="Sun"/>
    <s v="Weekend"/>
    <x v="8"/>
    <n v="3374"/>
    <n v="64"/>
    <n v="47"/>
    <n v="3391"/>
    <n v="73.400000000000006"/>
  </r>
  <r>
    <x v="3"/>
    <d v="2026-04-26T00:00:00"/>
    <s v="Sun"/>
    <s v="Weekend"/>
    <x v="9"/>
    <n v="1304"/>
    <n v="35"/>
    <n v="31"/>
    <n v="1308"/>
    <n v="88.6"/>
  </r>
  <r>
    <x v="3"/>
    <d v="2026-04-26T00:00:00"/>
    <s v="Sun"/>
    <s v="Weekend"/>
    <x v="10"/>
    <n v="4334"/>
    <n v="58"/>
    <n v="38"/>
    <n v="4354"/>
    <n v="65.5"/>
  </r>
  <r>
    <x v="3"/>
    <d v="2026-04-27T00:00:00"/>
    <s v="Mon"/>
    <s v="Weekday"/>
    <x v="0"/>
    <n v="3452"/>
    <n v="123"/>
    <n v="79"/>
    <n v="3496"/>
    <n v="64.2"/>
  </r>
  <r>
    <x v="3"/>
    <d v="2026-04-27T00:00:00"/>
    <s v="Mon"/>
    <s v="Weekday"/>
    <x v="1"/>
    <n v="2513"/>
    <n v="101"/>
    <n v="80"/>
    <n v="2534"/>
    <n v="79.2"/>
  </r>
  <r>
    <x v="3"/>
    <d v="2026-04-27T00:00:00"/>
    <s v="Mon"/>
    <s v="Weekday"/>
    <x v="2"/>
    <n v="3978"/>
    <n v="113"/>
    <n v="82"/>
    <n v="4009"/>
    <n v="72.599999999999994"/>
  </r>
  <r>
    <x v="3"/>
    <d v="2026-04-27T00:00:00"/>
    <s v="Mon"/>
    <s v="Weekday"/>
    <x v="3"/>
    <n v="1808"/>
    <n v="73"/>
    <n v="65"/>
    <n v="1816"/>
    <n v="89"/>
  </r>
  <r>
    <x v="3"/>
    <d v="2026-04-27T00:00:00"/>
    <s v="Mon"/>
    <s v="Weekday"/>
    <x v="4"/>
    <n v="4034"/>
    <n v="133"/>
    <n v="92"/>
    <n v="4075"/>
    <n v="69.2"/>
  </r>
  <r>
    <x v="3"/>
    <d v="2026-04-27T00:00:00"/>
    <s v="Mon"/>
    <s v="Weekday"/>
    <x v="5"/>
    <n v="2169"/>
    <n v="67"/>
    <n v="54"/>
    <n v="2182"/>
    <n v="80.599999999999994"/>
  </r>
  <r>
    <x v="3"/>
    <d v="2026-04-27T00:00:00"/>
    <s v="Mon"/>
    <s v="Weekday"/>
    <x v="6"/>
    <n v="2330"/>
    <n v="110"/>
    <n v="96"/>
    <n v="2344"/>
    <n v="87.3"/>
  </r>
  <r>
    <x v="3"/>
    <d v="2026-04-27T00:00:00"/>
    <s v="Mon"/>
    <s v="Weekday"/>
    <x v="7"/>
    <n v="2691"/>
    <n v="65"/>
    <n v="50"/>
    <n v="2706"/>
    <n v="76.900000000000006"/>
  </r>
  <r>
    <x v="3"/>
    <d v="2026-04-27T00:00:00"/>
    <s v="Mon"/>
    <s v="Weekday"/>
    <x v="8"/>
    <n v="3391"/>
    <n v="109"/>
    <n v="71"/>
    <n v="3429"/>
    <n v="65.099999999999994"/>
  </r>
  <r>
    <x v="3"/>
    <d v="2026-04-27T00:00:00"/>
    <s v="Mon"/>
    <s v="Weekday"/>
    <x v="9"/>
    <n v="1308"/>
    <n v="70"/>
    <n v="65"/>
    <n v="1313"/>
    <n v="92.9"/>
  </r>
  <r>
    <x v="3"/>
    <d v="2026-04-27T00:00:00"/>
    <s v="Mon"/>
    <s v="Weekday"/>
    <x v="10"/>
    <n v="4354"/>
    <n v="147"/>
    <n v="104"/>
    <n v="4397"/>
    <n v="70.7"/>
  </r>
  <r>
    <x v="3"/>
    <d v="2026-04-28T00:00:00"/>
    <s v="Tue"/>
    <s v="Weekday"/>
    <x v="0"/>
    <n v="3496"/>
    <n v="108"/>
    <n v="82"/>
    <n v="3522"/>
    <n v="75.900000000000006"/>
  </r>
  <r>
    <x v="3"/>
    <d v="2026-04-28T00:00:00"/>
    <s v="Tue"/>
    <s v="Weekday"/>
    <x v="1"/>
    <n v="2534"/>
    <n v="114"/>
    <n v="86"/>
    <n v="2562"/>
    <n v="75.400000000000006"/>
  </r>
  <r>
    <x v="3"/>
    <d v="2026-04-28T00:00:00"/>
    <s v="Tue"/>
    <s v="Weekday"/>
    <x v="2"/>
    <n v="4009"/>
    <n v="129"/>
    <n v="98"/>
    <n v="4040"/>
    <n v="76"/>
  </r>
  <r>
    <x v="3"/>
    <d v="2026-04-28T00:00:00"/>
    <s v="Tue"/>
    <s v="Weekday"/>
    <x v="3"/>
    <n v="1816"/>
    <n v="97"/>
    <n v="83"/>
    <n v="1830"/>
    <n v="85.6"/>
  </r>
  <r>
    <x v="3"/>
    <d v="2026-04-28T00:00:00"/>
    <s v="Tue"/>
    <s v="Weekday"/>
    <x v="4"/>
    <n v="4075"/>
    <n v="160"/>
    <n v="121"/>
    <n v="4114"/>
    <n v="75.599999999999994"/>
  </r>
  <r>
    <x v="3"/>
    <d v="2026-04-28T00:00:00"/>
    <s v="Tue"/>
    <s v="Weekday"/>
    <x v="5"/>
    <n v="2182"/>
    <n v="77"/>
    <n v="62"/>
    <n v="2197"/>
    <n v="80.5"/>
  </r>
  <r>
    <x v="3"/>
    <d v="2026-04-28T00:00:00"/>
    <s v="Tue"/>
    <s v="Weekday"/>
    <x v="6"/>
    <n v="2344"/>
    <n v="120"/>
    <n v="108"/>
    <n v="2356"/>
    <n v="90"/>
  </r>
  <r>
    <x v="3"/>
    <d v="2026-04-28T00:00:00"/>
    <s v="Tue"/>
    <s v="Weekday"/>
    <x v="7"/>
    <n v="2706"/>
    <n v="94"/>
    <n v="70"/>
    <n v="2730"/>
    <n v="74.5"/>
  </r>
  <r>
    <x v="3"/>
    <d v="2026-04-28T00:00:00"/>
    <s v="Tue"/>
    <s v="Weekday"/>
    <x v="8"/>
    <n v="3429"/>
    <n v="124"/>
    <n v="87"/>
    <n v="3466"/>
    <n v="70.2"/>
  </r>
  <r>
    <x v="3"/>
    <d v="2026-04-28T00:00:00"/>
    <s v="Tue"/>
    <s v="Weekday"/>
    <x v="9"/>
    <n v="1313"/>
    <n v="69"/>
    <n v="54"/>
    <n v="1328"/>
    <n v="78.3"/>
  </r>
  <r>
    <x v="3"/>
    <d v="2026-04-28T00:00:00"/>
    <s v="Tue"/>
    <s v="Weekday"/>
    <x v="10"/>
    <n v="4397"/>
    <n v="119"/>
    <n v="82"/>
    <n v="4434"/>
    <n v="68.900000000000006"/>
  </r>
  <r>
    <x v="3"/>
    <d v="2026-04-29T00:00:00"/>
    <s v="Wed"/>
    <s v="Weekday"/>
    <x v="0"/>
    <n v="3522"/>
    <n v="147"/>
    <n v="114"/>
    <n v="3555"/>
    <n v="77.599999999999994"/>
  </r>
  <r>
    <x v="3"/>
    <d v="2026-04-29T00:00:00"/>
    <s v="Wed"/>
    <s v="Weekday"/>
    <x v="1"/>
    <n v="2562"/>
    <n v="88"/>
    <n v="64"/>
    <n v="2586"/>
    <n v="72.7"/>
  </r>
  <r>
    <x v="3"/>
    <d v="2026-04-29T00:00:00"/>
    <s v="Wed"/>
    <s v="Weekday"/>
    <x v="2"/>
    <n v="4040"/>
    <n v="114"/>
    <n v="77"/>
    <n v="4077"/>
    <n v="67.5"/>
  </r>
  <r>
    <x v="3"/>
    <d v="2026-04-29T00:00:00"/>
    <s v="Wed"/>
    <s v="Weekday"/>
    <x v="3"/>
    <n v="1830"/>
    <n v="74"/>
    <n v="66"/>
    <n v="1838"/>
    <n v="89.2"/>
  </r>
  <r>
    <x v="3"/>
    <d v="2026-04-29T00:00:00"/>
    <s v="Wed"/>
    <s v="Weekday"/>
    <x v="4"/>
    <n v="4114"/>
    <n v="122"/>
    <n v="84"/>
    <n v="4152"/>
    <n v="68.900000000000006"/>
  </r>
  <r>
    <x v="3"/>
    <d v="2026-04-29T00:00:00"/>
    <s v="Wed"/>
    <s v="Weekday"/>
    <x v="5"/>
    <n v="2197"/>
    <n v="50"/>
    <n v="42"/>
    <n v="2205"/>
    <n v="84"/>
  </r>
  <r>
    <x v="3"/>
    <d v="2026-04-29T00:00:00"/>
    <s v="Wed"/>
    <s v="Weekday"/>
    <x v="6"/>
    <n v="2356"/>
    <n v="91"/>
    <n v="73"/>
    <n v="2374"/>
    <n v="80.2"/>
  </r>
  <r>
    <x v="3"/>
    <d v="2026-04-29T00:00:00"/>
    <s v="Wed"/>
    <s v="Weekday"/>
    <x v="7"/>
    <n v="2730"/>
    <n v="67"/>
    <n v="44"/>
    <n v="2753"/>
    <n v="65.7"/>
  </r>
  <r>
    <x v="3"/>
    <d v="2026-04-29T00:00:00"/>
    <s v="Wed"/>
    <s v="Weekday"/>
    <x v="8"/>
    <n v="3466"/>
    <n v="155"/>
    <n v="117"/>
    <n v="3504"/>
    <n v="75.5"/>
  </r>
  <r>
    <x v="3"/>
    <d v="2026-04-29T00:00:00"/>
    <s v="Wed"/>
    <s v="Weekday"/>
    <x v="9"/>
    <n v="1328"/>
    <n v="99"/>
    <n v="81"/>
    <n v="1346"/>
    <n v="81.8"/>
  </r>
  <r>
    <x v="3"/>
    <d v="2026-04-29T00:00:00"/>
    <s v="Wed"/>
    <s v="Weekday"/>
    <x v="10"/>
    <n v="4434"/>
    <n v="157"/>
    <n v="101"/>
    <n v="4490"/>
    <n v="64.3"/>
  </r>
  <r>
    <x v="3"/>
    <d v="2026-04-30T00:00:00"/>
    <s v="Thu"/>
    <s v="Weekday"/>
    <x v="0"/>
    <n v="3555"/>
    <n v="112"/>
    <n v="87"/>
    <n v="3580"/>
    <n v="77.7"/>
  </r>
  <r>
    <x v="3"/>
    <d v="2026-04-30T00:00:00"/>
    <s v="Thu"/>
    <s v="Weekday"/>
    <x v="1"/>
    <n v="2586"/>
    <n v="77"/>
    <n v="55"/>
    <n v="2608"/>
    <n v="71.400000000000006"/>
  </r>
  <r>
    <x v="3"/>
    <d v="2026-04-30T00:00:00"/>
    <s v="Thu"/>
    <s v="Weekday"/>
    <x v="2"/>
    <n v="4077"/>
    <n v="141"/>
    <n v="99"/>
    <n v="4119"/>
    <n v="70.2"/>
  </r>
  <r>
    <x v="3"/>
    <d v="2026-04-30T00:00:00"/>
    <s v="Thu"/>
    <s v="Weekday"/>
    <x v="3"/>
    <n v="1838"/>
    <n v="64"/>
    <n v="57"/>
    <n v="1845"/>
    <n v="89.1"/>
  </r>
  <r>
    <x v="3"/>
    <d v="2026-04-30T00:00:00"/>
    <s v="Thu"/>
    <s v="Weekday"/>
    <x v="4"/>
    <n v="4152"/>
    <n v="180"/>
    <n v="114"/>
    <n v="4218"/>
    <n v="63.3"/>
  </r>
  <r>
    <x v="3"/>
    <d v="2026-04-30T00:00:00"/>
    <s v="Thu"/>
    <s v="Weekday"/>
    <x v="5"/>
    <n v="2205"/>
    <n v="59"/>
    <n v="42"/>
    <n v="2222"/>
    <n v="71.2"/>
  </r>
  <r>
    <x v="3"/>
    <d v="2026-04-30T00:00:00"/>
    <s v="Thu"/>
    <s v="Weekday"/>
    <x v="6"/>
    <n v="2374"/>
    <n v="113"/>
    <n v="83"/>
    <n v="2404"/>
    <n v="73.5"/>
  </r>
  <r>
    <x v="3"/>
    <d v="2026-04-30T00:00:00"/>
    <s v="Thu"/>
    <s v="Weekday"/>
    <x v="7"/>
    <n v="2753"/>
    <n v="80"/>
    <n v="55"/>
    <n v="2778"/>
    <n v="68.8"/>
  </r>
  <r>
    <x v="3"/>
    <d v="2026-04-30T00:00:00"/>
    <s v="Thu"/>
    <s v="Weekday"/>
    <x v="8"/>
    <n v="3504"/>
    <n v="138"/>
    <n v="107"/>
    <n v="3535"/>
    <n v="77.5"/>
  </r>
  <r>
    <x v="3"/>
    <d v="2026-04-30T00:00:00"/>
    <s v="Thu"/>
    <s v="Weekday"/>
    <x v="9"/>
    <n v="1346"/>
    <n v="93"/>
    <n v="91"/>
    <n v="1348"/>
    <n v="97.8"/>
  </r>
  <r>
    <x v="3"/>
    <d v="2026-04-30T00:00:00"/>
    <s v="Thu"/>
    <s v="Weekday"/>
    <x v="10"/>
    <n v="4490"/>
    <n v="123"/>
    <n v="99"/>
    <n v="4514"/>
    <n v="80.5"/>
  </r>
  <r>
    <x v="4"/>
    <d v="2026-05-01T00:00:00"/>
    <s v="Fri"/>
    <s v="Weekday"/>
    <x v="0"/>
    <n v="3580"/>
    <n v="87"/>
    <n v="59"/>
    <n v="3608"/>
    <n v="67.8"/>
  </r>
  <r>
    <x v="4"/>
    <d v="2026-05-01T00:00:00"/>
    <s v="Fri"/>
    <s v="Weekday"/>
    <x v="1"/>
    <n v="2608"/>
    <n v="130"/>
    <n v="115"/>
    <n v="2623"/>
    <n v="88.5"/>
  </r>
  <r>
    <x v="4"/>
    <d v="2026-05-01T00:00:00"/>
    <s v="Fri"/>
    <s v="Weekday"/>
    <x v="2"/>
    <n v="4119"/>
    <n v="116"/>
    <n v="89"/>
    <n v="4146"/>
    <n v="76.7"/>
  </r>
  <r>
    <x v="4"/>
    <d v="2026-05-01T00:00:00"/>
    <s v="Fri"/>
    <s v="Weekday"/>
    <x v="3"/>
    <n v="1845"/>
    <n v="73"/>
    <n v="62"/>
    <n v="1856"/>
    <n v="84.9"/>
  </r>
  <r>
    <x v="4"/>
    <d v="2026-05-01T00:00:00"/>
    <s v="Fri"/>
    <s v="Weekday"/>
    <x v="4"/>
    <n v="4218"/>
    <n v="110"/>
    <n v="73"/>
    <n v="4255"/>
    <n v="66.400000000000006"/>
  </r>
  <r>
    <x v="4"/>
    <d v="2026-05-01T00:00:00"/>
    <s v="Fri"/>
    <s v="Weekday"/>
    <x v="5"/>
    <n v="2222"/>
    <n v="65"/>
    <n v="46"/>
    <n v="2241"/>
    <n v="70.8"/>
  </r>
  <r>
    <x v="4"/>
    <d v="2026-05-01T00:00:00"/>
    <s v="Fri"/>
    <s v="Weekday"/>
    <x v="6"/>
    <n v="2404"/>
    <n v="84"/>
    <n v="65"/>
    <n v="2423"/>
    <n v="77.400000000000006"/>
  </r>
  <r>
    <x v="4"/>
    <d v="2026-05-01T00:00:00"/>
    <s v="Fri"/>
    <s v="Weekday"/>
    <x v="7"/>
    <n v="2778"/>
    <n v="65"/>
    <n v="48"/>
    <n v="2795"/>
    <n v="73.8"/>
  </r>
  <r>
    <x v="4"/>
    <d v="2026-05-01T00:00:00"/>
    <s v="Fri"/>
    <s v="Weekday"/>
    <x v="8"/>
    <n v="3535"/>
    <n v="142"/>
    <n v="112"/>
    <n v="3565"/>
    <n v="78.900000000000006"/>
  </r>
  <r>
    <x v="4"/>
    <d v="2026-05-01T00:00:00"/>
    <s v="Fri"/>
    <s v="Weekday"/>
    <x v="9"/>
    <n v="1348"/>
    <n v="93"/>
    <n v="87"/>
    <n v="1354"/>
    <n v="93.5"/>
  </r>
  <r>
    <x v="4"/>
    <d v="2026-05-01T00:00:00"/>
    <s v="Fri"/>
    <s v="Weekday"/>
    <x v="10"/>
    <n v="4514"/>
    <n v="132"/>
    <n v="81"/>
    <n v="4565"/>
    <n v="61.4"/>
  </r>
  <r>
    <x v="4"/>
    <d v="2026-05-02T00:00:00"/>
    <s v="Sat"/>
    <s v="Weekend"/>
    <x v="0"/>
    <n v="3608"/>
    <n v="48"/>
    <n v="40"/>
    <n v="3616"/>
    <n v="83.3"/>
  </r>
  <r>
    <x v="4"/>
    <d v="2026-05-02T00:00:00"/>
    <s v="Sat"/>
    <s v="Weekend"/>
    <x v="1"/>
    <n v="2623"/>
    <n v="40"/>
    <n v="34"/>
    <n v="2629"/>
    <n v="85"/>
  </r>
  <r>
    <x v="4"/>
    <d v="2026-05-02T00:00:00"/>
    <s v="Sat"/>
    <s v="Weekend"/>
    <x v="2"/>
    <n v="4146"/>
    <n v="43"/>
    <n v="33"/>
    <n v="4156"/>
    <n v="76.7"/>
  </r>
  <r>
    <x v="4"/>
    <d v="2026-05-02T00:00:00"/>
    <s v="Sat"/>
    <s v="Weekend"/>
    <x v="3"/>
    <n v="1856"/>
    <n v="38"/>
    <n v="30"/>
    <n v="1864"/>
    <n v="78.900000000000006"/>
  </r>
  <r>
    <x v="4"/>
    <d v="2026-05-02T00:00:00"/>
    <s v="Sat"/>
    <s v="Weekend"/>
    <x v="4"/>
    <n v="4255"/>
    <n v="57"/>
    <n v="37"/>
    <n v="4275"/>
    <n v="64.900000000000006"/>
  </r>
  <r>
    <x v="4"/>
    <d v="2026-05-02T00:00:00"/>
    <s v="Sat"/>
    <s v="Weekend"/>
    <x v="5"/>
    <n v="2241"/>
    <n v="24"/>
    <n v="16"/>
    <n v="2249"/>
    <n v="66.7"/>
  </r>
  <r>
    <x v="4"/>
    <d v="2026-05-02T00:00:00"/>
    <s v="Sat"/>
    <s v="Weekend"/>
    <x v="6"/>
    <n v="2423"/>
    <n v="40"/>
    <n v="32"/>
    <n v="2431"/>
    <n v="80"/>
  </r>
  <r>
    <x v="4"/>
    <d v="2026-05-02T00:00:00"/>
    <s v="Sat"/>
    <s v="Weekend"/>
    <x v="7"/>
    <n v="2795"/>
    <n v="62"/>
    <n v="44"/>
    <n v="2813"/>
    <n v="71"/>
  </r>
  <r>
    <x v="4"/>
    <d v="2026-05-02T00:00:00"/>
    <s v="Sat"/>
    <s v="Weekend"/>
    <x v="8"/>
    <n v="3565"/>
    <n v="62"/>
    <n v="40"/>
    <n v="3587"/>
    <n v="64.5"/>
  </r>
  <r>
    <x v="4"/>
    <d v="2026-05-02T00:00:00"/>
    <s v="Sat"/>
    <s v="Weekend"/>
    <x v="9"/>
    <n v="1354"/>
    <n v="36"/>
    <n v="32"/>
    <n v="1358"/>
    <n v="88.9"/>
  </r>
  <r>
    <x v="4"/>
    <d v="2026-05-02T00:00:00"/>
    <s v="Sat"/>
    <s v="Weekend"/>
    <x v="10"/>
    <n v="4565"/>
    <n v="82"/>
    <n v="62"/>
    <n v="4585"/>
    <n v="75.599999999999994"/>
  </r>
  <r>
    <x v="4"/>
    <d v="2026-05-03T00:00:00"/>
    <s v="Sun"/>
    <s v="Weekend"/>
    <x v="0"/>
    <n v="3616"/>
    <n v="59"/>
    <n v="49"/>
    <n v="3626"/>
    <n v="83.1"/>
  </r>
  <r>
    <x v="4"/>
    <d v="2026-05-03T00:00:00"/>
    <s v="Sun"/>
    <s v="Weekend"/>
    <x v="1"/>
    <n v="2629"/>
    <n v="48"/>
    <n v="42"/>
    <n v="2635"/>
    <n v="87.5"/>
  </r>
  <r>
    <x v="4"/>
    <d v="2026-05-03T00:00:00"/>
    <s v="Sun"/>
    <s v="Weekend"/>
    <x v="2"/>
    <n v="4156"/>
    <n v="52"/>
    <n v="31"/>
    <n v="4177"/>
    <n v="59.6"/>
  </r>
  <r>
    <x v="4"/>
    <d v="2026-05-03T00:00:00"/>
    <s v="Sun"/>
    <s v="Weekend"/>
    <x v="3"/>
    <n v="1864"/>
    <n v="29"/>
    <n v="22"/>
    <n v="1871"/>
    <n v="75.900000000000006"/>
  </r>
  <r>
    <x v="4"/>
    <d v="2026-05-03T00:00:00"/>
    <s v="Sun"/>
    <s v="Weekend"/>
    <x v="4"/>
    <n v="4275"/>
    <n v="83"/>
    <n v="51"/>
    <n v="4307"/>
    <n v="61.4"/>
  </r>
  <r>
    <x v="4"/>
    <d v="2026-05-03T00:00:00"/>
    <s v="Sun"/>
    <s v="Weekend"/>
    <x v="5"/>
    <n v="2249"/>
    <n v="37"/>
    <n v="25"/>
    <n v="2261"/>
    <n v="67.599999999999994"/>
  </r>
  <r>
    <x v="4"/>
    <d v="2026-05-03T00:00:00"/>
    <s v="Sun"/>
    <s v="Weekend"/>
    <x v="6"/>
    <n v="2431"/>
    <n v="41"/>
    <n v="36"/>
    <n v="2436"/>
    <n v="87.8"/>
  </r>
  <r>
    <x v="4"/>
    <d v="2026-05-03T00:00:00"/>
    <s v="Sun"/>
    <s v="Weekend"/>
    <x v="7"/>
    <n v="2813"/>
    <n v="59"/>
    <n v="48"/>
    <n v="2824"/>
    <n v="81.400000000000006"/>
  </r>
  <r>
    <x v="4"/>
    <d v="2026-05-03T00:00:00"/>
    <s v="Sun"/>
    <s v="Weekend"/>
    <x v="8"/>
    <n v="3587"/>
    <n v="62"/>
    <n v="43"/>
    <n v="3606"/>
    <n v="69.400000000000006"/>
  </r>
  <r>
    <x v="4"/>
    <d v="2026-05-03T00:00:00"/>
    <s v="Sun"/>
    <s v="Weekend"/>
    <x v="9"/>
    <n v="1358"/>
    <n v="27"/>
    <n v="25"/>
    <n v="1360"/>
    <n v="92.6"/>
  </r>
  <r>
    <x v="4"/>
    <d v="2026-05-03T00:00:00"/>
    <s v="Sun"/>
    <s v="Weekend"/>
    <x v="10"/>
    <n v="4585"/>
    <n v="65"/>
    <n v="49"/>
    <n v="4601"/>
    <n v="75.400000000000006"/>
  </r>
  <r>
    <x v="4"/>
    <d v="2026-05-04T00:00:00"/>
    <s v="Mon"/>
    <s v="Weekday"/>
    <x v="0"/>
    <n v="3626"/>
    <n v="93"/>
    <n v="65"/>
    <n v="3654"/>
    <n v="69.900000000000006"/>
  </r>
  <r>
    <x v="4"/>
    <d v="2026-05-04T00:00:00"/>
    <s v="Mon"/>
    <s v="Weekday"/>
    <x v="1"/>
    <n v="2635"/>
    <n v="91"/>
    <n v="76"/>
    <n v="2650"/>
    <n v="83.5"/>
  </r>
  <r>
    <x v="4"/>
    <d v="2026-05-04T00:00:00"/>
    <s v="Mon"/>
    <s v="Weekday"/>
    <x v="2"/>
    <n v="4177"/>
    <n v="153"/>
    <n v="109"/>
    <n v="4221"/>
    <n v="71.2"/>
  </r>
  <r>
    <x v="4"/>
    <d v="2026-05-04T00:00:00"/>
    <s v="Mon"/>
    <s v="Weekday"/>
    <x v="3"/>
    <n v="1871"/>
    <n v="102"/>
    <n v="88"/>
    <n v="1885"/>
    <n v="86.3"/>
  </r>
  <r>
    <x v="4"/>
    <d v="2026-05-04T00:00:00"/>
    <s v="Mon"/>
    <s v="Weekday"/>
    <x v="4"/>
    <n v="4307"/>
    <n v="170"/>
    <n v="107"/>
    <n v="4370"/>
    <n v="62.9"/>
  </r>
  <r>
    <x v="4"/>
    <d v="2026-05-04T00:00:00"/>
    <s v="Mon"/>
    <s v="Weekday"/>
    <x v="5"/>
    <n v="2261"/>
    <n v="79"/>
    <n v="55"/>
    <n v="2285"/>
    <n v="69.599999999999994"/>
  </r>
  <r>
    <x v="4"/>
    <d v="2026-05-04T00:00:00"/>
    <s v="Mon"/>
    <s v="Weekday"/>
    <x v="6"/>
    <n v="2436"/>
    <n v="115"/>
    <n v="90"/>
    <n v="2461"/>
    <n v="78.3"/>
  </r>
  <r>
    <x v="4"/>
    <d v="2026-05-04T00:00:00"/>
    <s v="Mon"/>
    <s v="Weekday"/>
    <x v="7"/>
    <n v="2824"/>
    <n v="85"/>
    <n v="59"/>
    <n v="2850"/>
    <n v="69.400000000000006"/>
  </r>
  <r>
    <x v="4"/>
    <d v="2026-05-04T00:00:00"/>
    <s v="Mon"/>
    <s v="Weekday"/>
    <x v="8"/>
    <n v="3606"/>
    <n v="136"/>
    <n v="114"/>
    <n v="3628"/>
    <n v="83.8"/>
  </r>
  <r>
    <x v="4"/>
    <d v="2026-05-04T00:00:00"/>
    <s v="Mon"/>
    <s v="Weekday"/>
    <x v="9"/>
    <n v="1360"/>
    <n v="87"/>
    <n v="67"/>
    <n v="1380"/>
    <n v="77"/>
  </r>
  <r>
    <x v="4"/>
    <d v="2026-05-04T00:00:00"/>
    <s v="Mon"/>
    <s v="Weekday"/>
    <x v="10"/>
    <n v="4601"/>
    <n v="164"/>
    <n v="129"/>
    <n v="4636"/>
    <n v="78.7"/>
  </r>
  <r>
    <x v="4"/>
    <d v="2026-05-05T00:00:00"/>
    <s v="Tue"/>
    <s v="Weekday"/>
    <x v="0"/>
    <n v="3654"/>
    <n v="86"/>
    <n v="61"/>
    <n v="3679"/>
    <n v="70.900000000000006"/>
  </r>
  <r>
    <x v="4"/>
    <d v="2026-05-05T00:00:00"/>
    <s v="Tue"/>
    <s v="Weekday"/>
    <x v="1"/>
    <n v="2650"/>
    <n v="87"/>
    <n v="77"/>
    <n v="2660"/>
    <n v="88.5"/>
  </r>
  <r>
    <x v="4"/>
    <d v="2026-05-05T00:00:00"/>
    <s v="Tue"/>
    <s v="Weekday"/>
    <x v="2"/>
    <n v="4221"/>
    <n v="106"/>
    <n v="72"/>
    <n v="4255"/>
    <n v="67.900000000000006"/>
  </r>
  <r>
    <x v="4"/>
    <d v="2026-05-05T00:00:00"/>
    <s v="Tue"/>
    <s v="Weekday"/>
    <x v="3"/>
    <n v="1885"/>
    <n v="88"/>
    <n v="81"/>
    <n v="1892"/>
    <n v="92"/>
  </r>
  <r>
    <x v="4"/>
    <d v="2026-05-05T00:00:00"/>
    <s v="Tue"/>
    <s v="Weekday"/>
    <x v="4"/>
    <n v="4370"/>
    <n v="115"/>
    <n v="71"/>
    <n v="4414"/>
    <n v="61.7"/>
  </r>
  <r>
    <x v="4"/>
    <d v="2026-05-05T00:00:00"/>
    <s v="Tue"/>
    <s v="Weekday"/>
    <x v="5"/>
    <n v="2285"/>
    <n v="90"/>
    <n v="68"/>
    <n v="2307"/>
    <n v="75.599999999999994"/>
  </r>
  <r>
    <x v="4"/>
    <d v="2026-05-05T00:00:00"/>
    <s v="Tue"/>
    <s v="Weekday"/>
    <x v="6"/>
    <n v="2461"/>
    <n v="95"/>
    <n v="77"/>
    <n v="2479"/>
    <n v="81.099999999999994"/>
  </r>
  <r>
    <x v="4"/>
    <d v="2026-05-05T00:00:00"/>
    <s v="Tue"/>
    <s v="Weekday"/>
    <x v="7"/>
    <n v="2850"/>
    <n v="100"/>
    <n v="66"/>
    <n v="2884"/>
    <n v="66"/>
  </r>
  <r>
    <x v="4"/>
    <d v="2026-05-05T00:00:00"/>
    <s v="Tue"/>
    <s v="Weekday"/>
    <x v="8"/>
    <n v="3628"/>
    <n v="155"/>
    <n v="125"/>
    <n v="3658"/>
    <n v="80.599999999999994"/>
  </r>
  <r>
    <x v="4"/>
    <d v="2026-05-05T00:00:00"/>
    <s v="Tue"/>
    <s v="Weekday"/>
    <x v="9"/>
    <n v="1380"/>
    <n v="60"/>
    <n v="49"/>
    <n v="1391"/>
    <n v="81.7"/>
  </r>
  <r>
    <x v="4"/>
    <d v="2026-05-05T00:00:00"/>
    <s v="Tue"/>
    <s v="Weekday"/>
    <x v="10"/>
    <n v="4636"/>
    <n v="109"/>
    <n v="80"/>
    <n v="4665"/>
    <n v="73.400000000000006"/>
  </r>
  <r>
    <x v="4"/>
    <d v="2026-05-06T00:00:00"/>
    <s v="Wed"/>
    <s v="Weekday"/>
    <x v="0"/>
    <n v="3679"/>
    <n v="133"/>
    <n v="112"/>
    <n v="3700"/>
    <n v="84.2"/>
  </r>
  <r>
    <x v="4"/>
    <d v="2026-05-06T00:00:00"/>
    <s v="Wed"/>
    <s v="Weekday"/>
    <x v="1"/>
    <n v="2660"/>
    <n v="100"/>
    <n v="85"/>
    <n v="2675"/>
    <n v="85"/>
  </r>
  <r>
    <x v="4"/>
    <d v="2026-05-06T00:00:00"/>
    <s v="Wed"/>
    <s v="Weekday"/>
    <x v="2"/>
    <n v="4255"/>
    <n v="121"/>
    <n v="86"/>
    <n v="4290"/>
    <n v="71.099999999999994"/>
  </r>
  <r>
    <x v="4"/>
    <d v="2026-05-06T00:00:00"/>
    <s v="Wed"/>
    <s v="Weekday"/>
    <x v="3"/>
    <n v="1892"/>
    <n v="95"/>
    <n v="75"/>
    <n v="1912"/>
    <n v="78.900000000000006"/>
  </r>
  <r>
    <x v="4"/>
    <d v="2026-05-06T00:00:00"/>
    <s v="Wed"/>
    <s v="Weekday"/>
    <x v="4"/>
    <n v="4414"/>
    <n v="149"/>
    <n v="98"/>
    <n v="4465"/>
    <n v="65.8"/>
  </r>
  <r>
    <x v="4"/>
    <d v="2026-05-06T00:00:00"/>
    <s v="Wed"/>
    <s v="Weekday"/>
    <x v="5"/>
    <n v="2307"/>
    <n v="108"/>
    <n v="92"/>
    <n v="2323"/>
    <n v="85.2"/>
  </r>
  <r>
    <x v="4"/>
    <d v="2026-05-06T00:00:00"/>
    <s v="Wed"/>
    <s v="Weekday"/>
    <x v="6"/>
    <n v="2479"/>
    <n v="140"/>
    <n v="123"/>
    <n v="2496"/>
    <n v="87.9"/>
  </r>
  <r>
    <x v="4"/>
    <d v="2026-05-06T00:00:00"/>
    <s v="Wed"/>
    <s v="Weekday"/>
    <x v="7"/>
    <n v="2884"/>
    <n v="121"/>
    <n v="83"/>
    <n v="2922"/>
    <n v="68.599999999999994"/>
  </r>
  <r>
    <x v="4"/>
    <d v="2026-05-06T00:00:00"/>
    <s v="Wed"/>
    <s v="Weekday"/>
    <x v="8"/>
    <n v="3658"/>
    <n v="93"/>
    <n v="67"/>
    <n v="3684"/>
    <n v="72"/>
  </r>
  <r>
    <x v="4"/>
    <d v="2026-05-06T00:00:00"/>
    <s v="Wed"/>
    <s v="Weekday"/>
    <x v="9"/>
    <n v="1391"/>
    <n v="104"/>
    <n v="94"/>
    <n v="1401"/>
    <n v="90.4"/>
  </r>
  <r>
    <x v="4"/>
    <d v="2026-05-06T00:00:00"/>
    <s v="Wed"/>
    <s v="Weekday"/>
    <x v="10"/>
    <n v="4665"/>
    <n v="138"/>
    <n v="109"/>
    <n v="4694"/>
    <n v="79"/>
  </r>
  <r>
    <x v="4"/>
    <d v="2026-05-07T00:00:00"/>
    <s v="Thu"/>
    <s v="Weekday"/>
    <x v="0"/>
    <n v="3700"/>
    <n v="99"/>
    <n v="78"/>
    <n v="3721"/>
    <n v="78.8"/>
  </r>
  <r>
    <x v="4"/>
    <d v="2026-05-07T00:00:00"/>
    <s v="Thu"/>
    <s v="Weekday"/>
    <x v="1"/>
    <n v="2675"/>
    <n v="104"/>
    <n v="87"/>
    <n v="2692"/>
    <n v="83.7"/>
  </r>
  <r>
    <x v="4"/>
    <d v="2026-05-07T00:00:00"/>
    <s v="Thu"/>
    <s v="Weekday"/>
    <x v="2"/>
    <n v="4290"/>
    <n v="134"/>
    <n v="90"/>
    <n v="4334"/>
    <n v="67.2"/>
  </r>
  <r>
    <x v="4"/>
    <d v="2026-05-07T00:00:00"/>
    <s v="Thu"/>
    <s v="Weekday"/>
    <x v="3"/>
    <n v="1912"/>
    <n v="95"/>
    <n v="88"/>
    <n v="1919"/>
    <n v="92.6"/>
  </r>
  <r>
    <x v="4"/>
    <d v="2026-05-07T00:00:00"/>
    <s v="Thu"/>
    <s v="Weekday"/>
    <x v="4"/>
    <n v="4465"/>
    <n v="148"/>
    <n v="105"/>
    <n v="4508"/>
    <n v="70.900000000000006"/>
  </r>
  <r>
    <x v="4"/>
    <d v="2026-05-07T00:00:00"/>
    <s v="Thu"/>
    <s v="Weekday"/>
    <x v="5"/>
    <n v="2323"/>
    <n v="109"/>
    <n v="84"/>
    <n v="2348"/>
    <n v="77.099999999999994"/>
  </r>
  <r>
    <x v="4"/>
    <d v="2026-05-07T00:00:00"/>
    <s v="Thu"/>
    <s v="Weekday"/>
    <x v="6"/>
    <n v="2496"/>
    <n v="99"/>
    <n v="78"/>
    <n v="2517"/>
    <n v="78.8"/>
  </r>
  <r>
    <x v="4"/>
    <d v="2026-05-07T00:00:00"/>
    <s v="Thu"/>
    <s v="Weekday"/>
    <x v="7"/>
    <n v="2922"/>
    <n v="101"/>
    <n v="78"/>
    <n v="2945"/>
    <n v="77.2"/>
  </r>
  <r>
    <x v="4"/>
    <d v="2026-05-07T00:00:00"/>
    <s v="Thu"/>
    <s v="Weekday"/>
    <x v="8"/>
    <n v="3684"/>
    <n v="114"/>
    <n v="85"/>
    <n v="3713"/>
    <n v="74.599999999999994"/>
  </r>
  <r>
    <x v="4"/>
    <d v="2026-05-07T00:00:00"/>
    <s v="Thu"/>
    <s v="Weekday"/>
    <x v="9"/>
    <n v="1401"/>
    <n v="57"/>
    <n v="49"/>
    <n v="1409"/>
    <n v="86"/>
  </r>
  <r>
    <x v="4"/>
    <d v="2026-05-07T00:00:00"/>
    <s v="Thu"/>
    <s v="Weekday"/>
    <x v="10"/>
    <n v="4694"/>
    <n v="155"/>
    <n v="118"/>
    <n v="4731"/>
    <n v="76.099999999999994"/>
  </r>
  <r>
    <x v="4"/>
    <d v="2026-05-08T00:00:00"/>
    <s v="Fri"/>
    <s v="Weekday"/>
    <x v="0"/>
    <n v="3721"/>
    <n v="122"/>
    <n v="82"/>
    <n v="3761"/>
    <n v="67.2"/>
  </r>
  <r>
    <x v="4"/>
    <d v="2026-05-08T00:00:00"/>
    <s v="Fri"/>
    <s v="Weekday"/>
    <x v="1"/>
    <n v="2692"/>
    <n v="125"/>
    <n v="101"/>
    <n v="2716"/>
    <n v="80.8"/>
  </r>
  <r>
    <x v="4"/>
    <d v="2026-05-08T00:00:00"/>
    <s v="Fri"/>
    <s v="Weekday"/>
    <x v="2"/>
    <n v="4334"/>
    <n v="102"/>
    <n v="77"/>
    <n v="4359"/>
    <n v="75.5"/>
  </r>
  <r>
    <x v="4"/>
    <d v="2026-05-08T00:00:00"/>
    <s v="Fri"/>
    <s v="Weekday"/>
    <x v="3"/>
    <n v="1919"/>
    <n v="118"/>
    <n v="102"/>
    <n v="1935"/>
    <n v="86.4"/>
  </r>
  <r>
    <x v="4"/>
    <d v="2026-05-08T00:00:00"/>
    <s v="Fri"/>
    <s v="Weekday"/>
    <x v="4"/>
    <n v="4508"/>
    <n v="101"/>
    <n v="66"/>
    <n v="4543"/>
    <n v="65.3"/>
  </r>
  <r>
    <x v="4"/>
    <d v="2026-05-08T00:00:00"/>
    <s v="Fri"/>
    <s v="Weekday"/>
    <x v="5"/>
    <n v="2348"/>
    <n v="76"/>
    <n v="55"/>
    <n v="2369"/>
    <n v="72.400000000000006"/>
  </r>
  <r>
    <x v="4"/>
    <d v="2026-05-08T00:00:00"/>
    <s v="Fri"/>
    <s v="Weekday"/>
    <x v="6"/>
    <n v="2517"/>
    <n v="84"/>
    <n v="75"/>
    <n v="2526"/>
    <n v="89.3"/>
  </r>
  <r>
    <x v="4"/>
    <d v="2026-05-08T00:00:00"/>
    <s v="Fri"/>
    <s v="Weekday"/>
    <x v="7"/>
    <n v="2945"/>
    <n v="115"/>
    <n v="83"/>
    <n v="2977"/>
    <n v="72.2"/>
  </r>
  <r>
    <x v="4"/>
    <d v="2026-05-08T00:00:00"/>
    <s v="Fri"/>
    <s v="Weekday"/>
    <x v="8"/>
    <n v="3713"/>
    <n v="128"/>
    <n v="100"/>
    <n v="3741"/>
    <n v="78.099999999999994"/>
  </r>
  <r>
    <x v="4"/>
    <d v="2026-05-08T00:00:00"/>
    <s v="Fri"/>
    <s v="Weekday"/>
    <x v="9"/>
    <n v="1409"/>
    <n v="99"/>
    <n v="89"/>
    <n v="1419"/>
    <n v="89.9"/>
  </r>
  <r>
    <x v="4"/>
    <d v="2026-05-08T00:00:00"/>
    <s v="Fri"/>
    <s v="Weekday"/>
    <x v="10"/>
    <n v="4731"/>
    <n v="105"/>
    <n v="74"/>
    <n v="4762"/>
    <n v="70.5"/>
  </r>
  <r>
    <x v="4"/>
    <d v="2026-05-09T00:00:00"/>
    <s v="Sat"/>
    <s v="Weekend"/>
    <x v="0"/>
    <n v="3761"/>
    <n v="72"/>
    <n v="55"/>
    <n v="3778"/>
    <n v="76.400000000000006"/>
  </r>
  <r>
    <x v="4"/>
    <d v="2026-05-09T00:00:00"/>
    <s v="Sat"/>
    <s v="Weekend"/>
    <x v="1"/>
    <n v="2716"/>
    <n v="42"/>
    <n v="30"/>
    <n v="2728"/>
    <n v="71.400000000000006"/>
  </r>
  <r>
    <x v="4"/>
    <d v="2026-05-09T00:00:00"/>
    <s v="Sat"/>
    <s v="Weekend"/>
    <x v="2"/>
    <n v="4359"/>
    <n v="63"/>
    <n v="38"/>
    <n v="4384"/>
    <n v="60.3"/>
  </r>
  <r>
    <x v="4"/>
    <d v="2026-05-09T00:00:00"/>
    <s v="Sat"/>
    <s v="Weekend"/>
    <x v="3"/>
    <n v="1935"/>
    <n v="30"/>
    <n v="25"/>
    <n v="1940"/>
    <n v="83.3"/>
  </r>
  <r>
    <x v="4"/>
    <d v="2026-05-09T00:00:00"/>
    <s v="Sat"/>
    <s v="Weekend"/>
    <x v="4"/>
    <n v="4543"/>
    <n v="50"/>
    <n v="35"/>
    <n v="4558"/>
    <n v="70"/>
  </r>
  <r>
    <x v="4"/>
    <d v="2026-05-09T00:00:00"/>
    <s v="Sat"/>
    <s v="Weekend"/>
    <x v="5"/>
    <n v="2369"/>
    <n v="21"/>
    <n v="14"/>
    <n v="2376"/>
    <n v="66.7"/>
  </r>
  <r>
    <x v="4"/>
    <d v="2026-05-09T00:00:00"/>
    <s v="Sat"/>
    <s v="Weekend"/>
    <x v="6"/>
    <n v="2526"/>
    <n v="50"/>
    <n v="36"/>
    <n v="2540"/>
    <n v="72"/>
  </r>
  <r>
    <x v="4"/>
    <d v="2026-05-09T00:00:00"/>
    <s v="Sat"/>
    <s v="Weekend"/>
    <x v="7"/>
    <n v="2977"/>
    <n v="44"/>
    <n v="34"/>
    <n v="2987"/>
    <n v="77.3"/>
  </r>
  <r>
    <x v="4"/>
    <d v="2026-05-09T00:00:00"/>
    <s v="Sat"/>
    <s v="Weekend"/>
    <x v="8"/>
    <n v="3741"/>
    <n v="57"/>
    <n v="42"/>
    <n v="3756"/>
    <n v="73.7"/>
  </r>
  <r>
    <x v="4"/>
    <d v="2026-05-09T00:00:00"/>
    <s v="Sat"/>
    <s v="Weekend"/>
    <x v="9"/>
    <n v="1419"/>
    <n v="26"/>
    <n v="21"/>
    <n v="1424"/>
    <n v="80.8"/>
  </r>
  <r>
    <x v="4"/>
    <d v="2026-05-09T00:00:00"/>
    <s v="Sat"/>
    <s v="Weekend"/>
    <x v="10"/>
    <n v="4762"/>
    <n v="71"/>
    <n v="49"/>
    <n v="4784"/>
    <n v="69"/>
  </r>
  <r>
    <x v="4"/>
    <d v="2026-05-10T00:00:00"/>
    <s v="Sun"/>
    <s v="Weekend"/>
    <x v="0"/>
    <n v="3778"/>
    <n v="71"/>
    <n v="56"/>
    <n v="3793"/>
    <n v="78.900000000000006"/>
  </r>
  <r>
    <x v="4"/>
    <d v="2026-05-10T00:00:00"/>
    <s v="Sun"/>
    <s v="Weekend"/>
    <x v="1"/>
    <n v="2728"/>
    <n v="43"/>
    <n v="37"/>
    <n v="2734"/>
    <n v="86"/>
  </r>
  <r>
    <x v="4"/>
    <d v="2026-05-10T00:00:00"/>
    <s v="Sun"/>
    <s v="Weekend"/>
    <x v="2"/>
    <n v="4384"/>
    <n v="73"/>
    <n v="47"/>
    <n v="4410"/>
    <n v="64.400000000000006"/>
  </r>
  <r>
    <x v="4"/>
    <d v="2026-05-10T00:00:00"/>
    <s v="Sun"/>
    <s v="Weekend"/>
    <x v="3"/>
    <n v="1940"/>
    <n v="38"/>
    <n v="35"/>
    <n v="1943"/>
    <n v="92.1"/>
  </r>
  <r>
    <x v="4"/>
    <d v="2026-05-10T00:00:00"/>
    <s v="Sun"/>
    <s v="Weekend"/>
    <x v="4"/>
    <n v="4558"/>
    <n v="80"/>
    <n v="57"/>
    <n v="4581"/>
    <n v="71.2"/>
  </r>
  <r>
    <x v="4"/>
    <d v="2026-05-10T00:00:00"/>
    <s v="Sun"/>
    <s v="Weekend"/>
    <x v="5"/>
    <n v="2376"/>
    <n v="49"/>
    <n v="37"/>
    <n v="2388"/>
    <n v="75.5"/>
  </r>
  <r>
    <x v="4"/>
    <d v="2026-05-10T00:00:00"/>
    <s v="Sun"/>
    <s v="Weekend"/>
    <x v="6"/>
    <n v="2540"/>
    <n v="30"/>
    <n v="27"/>
    <n v="2543"/>
    <n v="90"/>
  </r>
  <r>
    <x v="4"/>
    <d v="2026-05-10T00:00:00"/>
    <s v="Sun"/>
    <s v="Weekend"/>
    <x v="7"/>
    <n v="2987"/>
    <n v="55"/>
    <n v="40"/>
    <n v="3002"/>
    <n v="72.7"/>
  </r>
  <r>
    <x v="4"/>
    <d v="2026-05-10T00:00:00"/>
    <s v="Sun"/>
    <s v="Weekend"/>
    <x v="8"/>
    <n v="3756"/>
    <n v="77"/>
    <n v="54"/>
    <n v="3779"/>
    <n v="70.099999999999994"/>
  </r>
  <r>
    <x v="4"/>
    <d v="2026-05-10T00:00:00"/>
    <s v="Sun"/>
    <s v="Weekend"/>
    <x v="9"/>
    <n v="1424"/>
    <n v="24"/>
    <n v="21"/>
    <n v="1427"/>
    <n v="87.5"/>
  </r>
  <r>
    <x v="4"/>
    <d v="2026-05-10T00:00:00"/>
    <s v="Sun"/>
    <s v="Weekend"/>
    <x v="10"/>
    <n v="4784"/>
    <n v="60"/>
    <n v="45"/>
    <n v="4799"/>
    <n v="75"/>
  </r>
  <r>
    <x v="4"/>
    <d v="2026-05-11T00:00:00"/>
    <s v="Mon"/>
    <s v="Weekday"/>
    <x v="0"/>
    <n v="3793"/>
    <n v="93"/>
    <n v="67"/>
    <n v="3819"/>
    <n v="72"/>
  </r>
  <r>
    <x v="4"/>
    <d v="2026-05-11T00:00:00"/>
    <s v="Mon"/>
    <s v="Weekday"/>
    <x v="1"/>
    <n v="2734"/>
    <n v="94"/>
    <n v="83"/>
    <n v="2745"/>
    <n v="88.3"/>
  </r>
  <r>
    <x v="4"/>
    <d v="2026-05-11T00:00:00"/>
    <s v="Mon"/>
    <s v="Weekday"/>
    <x v="2"/>
    <n v="4410"/>
    <n v="135"/>
    <n v="99"/>
    <n v="4446"/>
    <n v="73.3"/>
  </r>
  <r>
    <x v="4"/>
    <d v="2026-05-11T00:00:00"/>
    <s v="Mon"/>
    <s v="Weekday"/>
    <x v="3"/>
    <n v="1943"/>
    <n v="78"/>
    <n v="67"/>
    <n v="1954"/>
    <n v="85.9"/>
  </r>
  <r>
    <x v="4"/>
    <d v="2026-05-11T00:00:00"/>
    <s v="Mon"/>
    <s v="Weekday"/>
    <x v="4"/>
    <n v="4581"/>
    <n v="102"/>
    <n v="75"/>
    <n v="4608"/>
    <n v="73.5"/>
  </r>
  <r>
    <x v="4"/>
    <d v="2026-05-11T00:00:00"/>
    <s v="Mon"/>
    <s v="Weekday"/>
    <x v="5"/>
    <n v="2388"/>
    <n v="67"/>
    <n v="45"/>
    <n v="2410"/>
    <n v="67.2"/>
  </r>
  <r>
    <x v="4"/>
    <d v="2026-05-11T00:00:00"/>
    <s v="Mon"/>
    <s v="Weekday"/>
    <x v="6"/>
    <n v="2543"/>
    <n v="81"/>
    <n v="73"/>
    <n v="2551"/>
    <n v="90.1"/>
  </r>
  <r>
    <x v="4"/>
    <d v="2026-05-11T00:00:00"/>
    <s v="Mon"/>
    <s v="Weekday"/>
    <x v="7"/>
    <n v="3002"/>
    <n v="118"/>
    <n v="86"/>
    <n v="3034"/>
    <n v="72.900000000000006"/>
  </r>
  <r>
    <x v="4"/>
    <d v="2026-05-11T00:00:00"/>
    <s v="Mon"/>
    <s v="Weekday"/>
    <x v="8"/>
    <n v="3779"/>
    <n v="114"/>
    <n v="91"/>
    <n v="3802"/>
    <n v="79.8"/>
  </r>
  <r>
    <x v="4"/>
    <d v="2026-05-11T00:00:00"/>
    <s v="Mon"/>
    <s v="Weekday"/>
    <x v="9"/>
    <n v="1427"/>
    <n v="77"/>
    <n v="67"/>
    <n v="1437"/>
    <n v="87"/>
  </r>
  <r>
    <x v="4"/>
    <d v="2026-05-11T00:00:00"/>
    <s v="Mon"/>
    <s v="Weekday"/>
    <x v="10"/>
    <n v="4799"/>
    <n v="119"/>
    <n v="91"/>
    <n v="4827"/>
    <n v="76.5"/>
  </r>
  <r>
    <x v="4"/>
    <d v="2026-05-12T00:00:00"/>
    <s v="Tue"/>
    <s v="Weekday"/>
    <x v="0"/>
    <n v="3819"/>
    <n v="126"/>
    <n v="104"/>
    <n v="3841"/>
    <n v="82.5"/>
  </r>
  <r>
    <x v="4"/>
    <d v="2026-05-12T00:00:00"/>
    <s v="Tue"/>
    <s v="Weekday"/>
    <x v="1"/>
    <n v="2745"/>
    <n v="78"/>
    <n v="56"/>
    <n v="2767"/>
    <n v="71.8"/>
  </r>
  <r>
    <x v="4"/>
    <d v="2026-05-12T00:00:00"/>
    <s v="Tue"/>
    <s v="Weekday"/>
    <x v="2"/>
    <n v="4446"/>
    <n v="127"/>
    <n v="86"/>
    <n v="4487"/>
    <n v="67.7"/>
  </r>
  <r>
    <x v="4"/>
    <d v="2026-05-12T00:00:00"/>
    <s v="Tue"/>
    <s v="Weekday"/>
    <x v="3"/>
    <n v="1954"/>
    <n v="107"/>
    <n v="93"/>
    <n v="1968"/>
    <n v="86.9"/>
  </r>
  <r>
    <x v="4"/>
    <d v="2026-05-12T00:00:00"/>
    <s v="Tue"/>
    <s v="Weekday"/>
    <x v="4"/>
    <n v="4608"/>
    <n v="122"/>
    <n v="81"/>
    <n v="4649"/>
    <n v="66.400000000000006"/>
  </r>
  <r>
    <x v="4"/>
    <d v="2026-05-12T00:00:00"/>
    <s v="Tue"/>
    <s v="Weekday"/>
    <x v="5"/>
    <n v="2410"/>
    <n v="58"/>
    <n v="51"/>
    <n v="2417"/>
    <n v="87.9"/>
  </r>
  <r>
    <x v="4"/>
    <d v="2026-05-12T00:00:00"/>
    <s v="Tue"/>
    <s v="Weekday"/>
    <x v="6"/>
    <n v="2551"/>
    <n v="121"/>
    <n v="103"/>
    <n v="2569"/>
    <n v="85.1"/>
  </r>
  <r>
    <x v="4"/>
    <d v="2026-05-12T00:00:00"/>
    <s v="Tue"/>
    <s v="Weekday"/>
    <x v="7"/>
    <n v="3034"/>
    <n v="97"/>
    <n v="72"/>
    <n v="3059"/>
    <n v="74.2"/>
  </r>
  <r>
    <x v="4"/>
    <d v="2026-05-12T00:00:00"/>
    <s v="Tue"/>
    <s v="Weekday"/>
    <x v="8"/>
    <n v="3802"/>
    <n v="106"/>
    <n v="75"/>
    <n v="3833"/>
    <n v="70.8"/>
  </r>
  <r>
    <x v="4"/>
    <d v="2026-05-12T00:00:00"/>
    <s v="Tue"/>
    <s v="Weekday"/>
    <x v="9"/>
    <n v="1437"/>
    <n v="85"/>
    <n v="75"/>
    <n v="1447"/>
    <n v="88.2"/>
  </r>
  <r>
    <x v="4"/>
    <d v="2026-05-12T00:00:00"/>
    <s v="Tue"/>
    <s v="Weekday"/>
    <x v="10"/>
    <n v="4827"/>
    <n v="138"/>
    <n v="109"/>
    <n v="4856"/>
    <n v="79"/>
  </r>
  <r>
    <x v="4"/>
    <d v="2026-05-13T00:00:00"/>
    <s v="Wed"/>
    <s v="Weekday"/>
    <x v="0"/>
    <n v="3841"/>
    <n v="126"/>
    <n v="83"/>
    <n v="3884"/>
    <n v="65.900000000000006"/>
  </r>
  <r>
    <x v="4"/>
    <d v="2026-05-13T00:00:00"/>
    <s v="Wed"/>
    <s v="Weekday"/>
    <x v="1"/>
    <n v="2767"/>
    <n v="120"/>
    <n v="96"/>
    <n v="2791"/>
    <n v="80"/>
  </r>
  <r>
    <x v="4"/>
    <d v="2026-05-13T00:00:00"/>
    <s v="Wed"/>
    <s v="Weekday"/>
    <x v="2"/>
    <n v="4487"/>
    <n v="91"/>
    <n v="62"/>
    <n v="4516"/>
    <n v="68.099999999999994"/>
  </r>
  <r>
    <x v="4"/>
    <d v="2026-05-13T00:00:00"/>
    <s v="Wed"/>
    <s v="Weekday"/>
    <x v="3"/>
    <n v="1968"/>
    <n v="94"/>
    <n v="73"/>
    <n v="1989"/>
    <n v="77.7"/>
  </r>
  <r>
    <x v="4"/>
    <d v="2026-05-13T00:00:00"/>
    <s v="Wed"/>
    <s v="Weekday"/>
    <x v="4"/>
    <n v="4649"/>
    <n v="158"/>
    <n v="120"/>
    <n v="4687"/>
    <n v="75.900000000000006"/>
  </r>
  <r>
    <x v="4"/>
    <d v="2026-05-13T00:00:00"/>
    <s v="Wed"/>
    <s v="Weekday"/>
    <x v="5"/>
    <n v="2417"/>
    <n v="93"/>
    <n v="71"/>
    <n v="2439"/>
    <n v="76.3"/>
  </r>
  <r>
    <x v="4"/>
    <d v="2026-05-13T00:00:00"/>
    <s v="Wed"/>
    <s v="Weekday"/>
    <x v="6"/>
    <n v="2569"/>
    <n v="123"/>
    <n v="108"/>
    <n v="2584"/>
    <n v="87.8"/>
  </r>
  <r>
    <x v="4"/>
    <d v="2026-05-13T00:00:00"/>
    <s v="Wed"/>
    <s v="Weekday"/>
    <x v="7"/>
    <n v="3059"/>
    <n v="125"/>
    <n v="93"/>
    <n v="3091"/>
    <n v="74.400000000000006"/>
  </r>
  <r>
    <x v="4"/>
    <d v="2026-05-13T00:00:00"/>
    <s v="Wed"/>
    <s v="Weekday"/>
    <x v="8"/>
    <n v="3833"/>
    <n v="98"/>
    <n v="69"/>
    <n v="3862"/>
    <n v="70.400000000000006"/>
  </r>
  <r>
    <x v="4"/>
    <d v="2026-05-13T00:00:00"/>
    <s v="Wed"/>
    <s v="Weekday"/>
    <x v="9"/>
    <n v="1447"/>
    <n v="85"/>
    <n v="66"/>
    <n v="1466"/>
    <n v="77.599999999999994"/>
  </r>
  <r>
    <x v="4"/>
    <d v="2026-05-13T00:00:00"/>
    <s v="Wed"/>
    <s v="Weekday"/>
    <x v="10"/>
    <n v="4856"/>
    <n v="166"/>
    <n v="121"/>
    <n v="4901"/>
    <n v="72.900000000000006"/>
  </r>
  <r>
    <x v="4"/>
    <d v="2026-05-14T00:00:00"/>
    <s v="Thu"/>
    <s v="Weekday"/>
    <x v="0"/>
    <n v="3884"/>
    <n v="97"/>
    <n v="64"/>
    <n v="3917"/>
    <n v="66"/>
  </r>
  <r>
    <x v="4"/>
    <d v="2026-05-14T00:00:00"/>
    <s v="Thu"/>
    <s v="Weekday"/>
    <x v="1"/>
    <n v="2791"/>
    <n v="130"/>
    <n v="92"/>
    <n v="2829"/>
    <n v="70.8"/>
  </r>
  <r>
    <x v="4"/>
    <d v="2026-05-14T00:00:00"/>
    <s v="Thu"/>
    <s v="Weekday"/>
    <x v="2"/>
    <n v="4516"/>
    <n v="128"/>
    <n v="91"/>
    <n v="4553"/>
    <n v="71.099999999999994"/>
  </r>
  <r>
    <x v="4"/>
    <d v="2026-05-14T00:00:00"/>
    <s v="Thu"/>
    <s v="Weekday"/>
    <x v="3"/>
    <n v="1989"/>
    <n v="67"/>
    <n v="51"/>
    <n v="2005"/>
    <n v="76.099999999999994"/>
  </r>
  <r>
    <x v="4"/>
    <d v="2026-05-14T00:00:00"/>
    <s v="Thu"/>
    <s v="Weekday"/>
    <x v="4"/>
    <n v="4687"/>
    <n v="130"/>
    <n v="97"/>
    <n v="4720"/>
    <n v="74.599999999999994"/>
  </r>
  <r>
    <x v="4"/>
    <d v="2026-05-14T00:00:00"/>
    <s v="Thu"/>
    <s v="Weekday"/>
    <x v="5"/>
    <n v="2439"/>
    <n v="58"/>
    <n v="45"/>
    <n v="2452"/>
    <n v="77.599999999999994"/>
  </r>
  <r>
    <x v="4"/>
    <d v="2026-05-14T00:00:00"/>
    <s v="Thu"/>
    <s v="Weekday"/>
    <x v="6"/>
    <n v="2584"/>
    <n v="133"/>
    <n v="106"/>
    <n v="2611"/>
    <n v="79.7"/>
  </r>
  <r>
    <x v="4"/>
    <d v="2026-05-14T00:00:00"/>
    <s v="Thu"/>
    <s v="Weekday"/>
    <x v="7"/>
    <n v="3091"/>
    <n v="107"/>
    <n v="92"/>
    <n v="3106"/>
    <n v="86"/>
  </r>
  <r>
    <x v="4"/>
    <d v="2026-05-14T00:00:00"/>
    <s v="Thu"/>
    <s v="Weekday"/>
    <x v="8"/>
    <n v="3862"/>
    <n v="154"/>
    <n v="124"/>
    <n v="3892"/>
    <n v="80.5"/>
  </r>
  <r>
    <x v="4"/>
    <d v="2026-05-14T00:00:00"/>
    <s v="Thu"/>
    <s v="Weekday"/>
    <x v="9"/>
    <n v="1466"/>
    <n v="92"/>
    <n v="75"/>
    <n v="1483"/>
    <n v="81.5"/>
  </r>
  <r>
    <x v="4"/>
    <d v="2026-05-14T00:00:00"/>
    <s v="Thu"/>
    <s v="Weekday"/>
    <x v="10"/>
    <n v="4901"/>
    <n v="148"/>
    <n v="110"/>
    <n v="4939"/>
    <n v="74.3"/>
  </r>
  <r>
    <x v="4"/>
    <d v="2026-05-15T00:00:00"/>
    <s v="Fri"/>
    <s v="Weekday"/>
    <x v="0"/>
    <n v="3917"/>
    <n v="136"/>
    <n v="102"/>
    <n v="3951"/>
    <n v="75"/>
  </r>
  <r>
    <x v="4"/>
    <d v="2026-05-15T00:00:00"/>
    <s v="Fri"/>
    <s v="Weekday"/>
    <x v="1"/>
    <n v="2829"/>
    <n v="130"/>
    <n v="98"/>
    <n v="2861"/>
    <n v="75.400000000000006"/>
  </r>
  <r>
    <x v="4"/>
    <d v="2026-05-15T00:00:00"/>
    <s v="Fri"/>
    <s v="Weekday"/>
    <x v="2"/>
    <n v="4553"/>
    <n v="136"/>
    <n v="84"/>
    <n v="4605"/>
    <n v="61.8"/>
  </r>
  <r>
    <x v="4"/>
    <d v="2026-05-15T00:00:00"/>
    <s v="Fri"/>
    <s v="Weekday"/>
    <x v="3"/>
    <n v="2005"/>
    <n v="103"/>
    <n v="88"/>
    <n v="2020"/>
    <n v="85.4"/>
  </r>
  <r>
    <x v="4"/>
    <d v="2026-05-15T00:00:00"/>
    <s v="Fri"/>
    <s v="Weekday"/>
    <x v="4"/>
    <n v="4720"/>
    <n v="169"/>
    <n v="126"/>
    <n v="4763"/>
    <n v="74.599999999999994"/>
  </r>
  <r>
    <x v="4"/>
    <d v="2026-05-15T00:00:00"/>
    <s v="Fri"/>
    <s v="Weekday"/>
    <x v="5"/>
    <n v="2452"/>
    <n v="53"/>
    <n v="42"/>
    <n v="2463"/>
    <n v="79.2"/>
  </r>
  <r>
    <x v="4"/>
    <d v="2026-05-15T00:00:00"/>
    <s v="Fri"/>
    <s v="Weekday"/>
    <x v="6"/>
    <n v="2611"/>
    <n v="110"/>
    <n v="85"/>
    <n v="2636"/>
    <n v="77.3"/>
  </r>
  <r>
    <x v="4"/>
    <d v="2026-05-15T00:00:00"/>
    <s v="Fri"/>
    <s v="Weekday"/>
    <x v="7"/>
    <n v="3106"/>
    <n v="72"/>
    <n v="60"/>
    <n v="3118"/>
    <n v="83.3"/>
  </r>
  <r>
    <x v="4"/>
    <d v="2026-05-15T00:00:00"/>
    <s v="Fri"/>
    <s v="Weekday"/>
    <x v="8"/>
    <n v="3892"/>
    <n v="143"/>
    <n v="93"/>
    <n v="3942"/>
    <n v="65"/>
  </r>
  <r>
    <x v="4"/>
    <d v="2026-05-15T00:00:00"/>
    <s v="Fri"/>
    <s v="Weekday"/>
    <x v="9"/>
    <n v="1483"/>
    <n v="97"/>
    <n v="81"/>
    <n v="1499"/>
    <n v="83.5"/>
  </r>
  <r>
    <x v="4"/>
    <d v="2026-05-15T00:00:00"/>
    <s v="Fri"/>
    <s v="Weekday"/>
    <x v="10"/>
    <n v="4939"/>
    <n v="97"/>
    <n v="60"/>
    <n v="4976"/>
    <n v="61.9"/>
  </r>
  <r>
    <x v="4"/>
    <d v="2026-05-16T00:00:00"/>
    <s v="Sat"/>
    <s v="Weekend"/>
    <x v="0"/>
    <n v="3951"/>
    <n v="69"/>
    <n v="47"/>
    <n v="3973"/>
    <n v="68.099999999999994"/>
  </r>
  <r>
    <x v="4"/>
    <d v="2026-05-16T00:00:00"/>
    <s v="Sat"/>
    <s v="Weekend"/>
    <x v="1"/>
    <n v="2861"/>
    <n v="42"/>
    <n v="34"/>
    <n v="2869"/>
    <n v="81"/>
  </r>
  <r>
    <x v="4"/>
    <d v="2026-05-16T00:00:00"/>
    <s v="Sat"/>
    <s v="Weekend"/>
    <x v="2"/>
    <n v="4605"/>
    <n v="45"/>
    <n v="36"/>
    <n v="4614"/>
    <n v="80"/>
  </r>
  <r>
    <x v="4"/>
    <d v="2026-05-16T00:00:00"/>
    <s v="Sat"/>
    <s v="Weekend"/>
    <x v="3"/>
    <n v="2020"/>
    <n v="24"/>
    <n v="20"/>
    <n v="2024"/>
    <n v="83.3"/>
  </r>
  <r>
    <x v="4"/>
    <d v="2026-05-16T00:00:00"/>
    <s v="Sat"/>
    <s v="Weekend"/>
    <x v="4"/>
    <n v="4763"/>
    <n v="49"/>
    <n v="32"/>
    <n v="4780"/>
    <n v="65.3"/>
  </r>
  <r>
    <x v="4"/>
    <d v="2026-05-16T00:00:00"/>
    <s v="Sat"/>
    <s v="Weekend"/>
    <x v="5"/>
    <n v="2463"/>
    <n v="54"/>
    <n v="40"/>
    <n v="2477"/>
    <n v="74.099999999999994"/>
  </r>
  <r>
    <x v="4"/>
    <d v="2026-05-16T00:00:00"/>
    <s v="Sat"/>
    <s v="Weekend"/>
    <x v="6"/>
    <n v="2636"/>
    <n v="41"/>
    <n v="30"/>
    <n v="2647"/>
    <n v="73.2"/>
  </r>
  <r>
    <x v="4"/>
    <d v="2026-05-16T00:00:00"/>
    <s v="Sat"/>
    <s v="Weekend"/>
    <x v="7"/>
    <n v="3118"/>
    <n v="27"/>
    <n v="18"/>
    <n v="3127"/>
    <n v="66.7"/>
  </r>
  <r>
    <x v="4"/>
    <d v="2026-05-16T00:00:00"/>
    <s v="Sat"/>
    <s v="Weekend"/>
    <x v="8"/>
    <n v="3942"/>
    <n v="34"/>
    <n v="26"/>
    <n v="3950"/>
    <n v="76.5"/>
  </r>
  <r>
    <x v="4"/>
    <d v="2026-05-16T00:00:00"/>
    <s v="Sat"/>
    <s v="Weekend"/>
    <x v="9"/>
    <n v="1499"/>
    <n v="47"/>
    <n v="39"/>
    <n v="1507"/>
    <n v="83"/>
  </r>
  <r>
    <x v="4"/>
    <d v="2026-05-16T00:00:00"/>
    <s v="Sat"/>
    <s v="Weekend"/>
    <x v="10"/>
    <n v="4976"/>
    <n v="75"/>
    <n v="55"/>
    <n v="4996"/>
    <n v="73.3"/>
  </r>
  <r>
    <x v="4"/>
    <d v="2026-05-17T00:00:00"/>
    <s v="Sun"/>
    <s v="Weekend"/>
    <x v="0"/>
    <n v="3973"/>
    <n v="39"/>
    <n v="26"/>
    <n v="3986"/>
    <n v="66.7"/>
  </r>
  <r>
    <x v="4"/>
    <d v="2026-05-17T00:00:00"/>
    <s v="Sun"/>
    <s v="Weekend"/>
    <x v="1"/>
    <n v="2869"/>
    <n v="58"/>
    <n v="47"/>
    <n v="2880"/>
    <n v="81"/>
  </r>
  <r>
    <x v="4"/>
    <d v="2026-05-17T00:00:00"/>
    <s v="Sun"/>
    <s v="Weekend"/>
    <x v="2"/>
    <n v="4614"/>
    <n v="59"/>
    <n v="43"/>
    <n v="4630"/>
    <n v="72.900000000000006"/>
  </r>
  <r>
    <x v="4"/>
    <d v="2026-05-17T00:00:00"/>
    <s v="Sun"/>
    <s v="Weekend"/>
    <x v="3"/>
    <n v="2024"/>
    <n v="30"/>
    <n v="25"/>
    <n v="2029"/>
    <n v="83.3"/>
  </r>
  <r>
    <x v="4"/>
    <d v="2026-05-17T00:00:00"/>
    <s v="Sun"/>
    <s v="Weekend"/>
    <x v="4"/>
    <n v="4780"/>
    <n v="72"/>
    <n v="51"/>
    <n v="4801"/>
    <n v="70.8"/>
  </r>
  <r>
    <x v="4"/>
    <d v="2026-05-17T00:00:00"/>
    <s v="Sun"/>
    <s v="Weekend"/>
    <x v="5"/>
    <n v="2477"/>
    <n v="22"/>
    <n v="19"/>
    <n v="2480"/>
    <n v="86.4"/>
  </r>
  <r>
    <x v="4"/>
    <d v="2026-05-17T00:00:00"/>
    <s v="Sun"/>
    <s v="Weekend"/>
    <x v="6"/>
    <n v="2647"/>
    <n v="63"/>
    <n v="49"/>
    <n v="2661"/>
    <n v="77.8"/>
  </r>
  <r>
    <x v="4"/>
    <d v="2026-05-17T00:00:00"/>
    <s v="Sun"/>
    <s v="Weekend"/>
    <x v="7"/>
    <n v="3127"/>
    <n v="55"/>
    <n v="46"/>
    <n v="3136"/>
    <n v="83.6"/>
  </r>
  <r>
    <x v="4"/>
    <d v="2026-05-17T00:00:00"/>
    <s v="Sun"/>
    <s v="Weekend"/>
    <x v="8"/>
    <n v="3950"/>
    <n v="35"/>
    <n v="22"/>
    <n v="3963"/>
    <n v="62.9"/>
  </r>
  <r>
    <x v="4"/>
    <d v="2026-05-17T00:00:00"/>
    <s v="Sun"/>
    <s v="Weekend"/>
    <x v="9"/>
    <n v="1507"/>
    <n v="37"/>
    <n v="34"/>
    <n v="1510"/>
    <n v="91.9"/>
  </r>
  <r>
    <x v="4"/>
    <d v="2026-05-17T00:00:00"/>
    <s v="Sun"/>
    <s v="Weekend"/>
    <x v="10"/>
    <n v="4996"/>
    <n v="65"/>
    <n v="49"/>
    <n v="5012"/>
    <n v="75.400000000000006"/>
  </r>
  <r>
    <x v="4"/>
    <d v="2026-05-18T00:00:00"/>
    <s v="Mon"/>
    <s v="Weekday"/>
    <x v="0"/>
    <n v="3986"/>
    <n v="88"/>
    <n v="61"/>
    <n v="4013"/>
    <n v="69.3"/>
  </r>
  <r>
    <x v="4"/>
    <d v="2026-05-18T00:00:00"/>
    <s v="Mon"/>
    <s v="Weekday"/>
    <x v="1"/>
    <n v="2880"/>
    <n v="87"/>
    <n v="78"/>
    <n v="2889"/>
    <n v="89.7"/>
  </r>
  <r>
    <x v="4"/>
    <d v="2026-05-18T00:00:00"/>
    <s v="Mon"/>
    <s v="Weekday"/>
    <x v="2"/>
    <n v="4630"/>
    <n v="160"/>
    <n v="116"/>
    <n v="4674"/>
    <n v="72.5"/>
  </r>
  <r>
    <x v="4"/>
    <d v="2026-05-18T00:00:00"/>
    <s v="Mon"/>
    <s v="Weekday"/>
    <x v="3"/>
    <n v="2029"/>
    <n v="84"/>
    <n v="79"/>
    <n v="2034"/>
    <n v="94"/>
  </r>
  <r>
    <x v="4"/>
    <d v="2026-05-18T00:00:00"/>
    <s v="Mon"/>
    <s v="Weekday"/>
    <x v="4"/>
    <n v="4801"/>
    <n v="137"/>
    <n v="98"/>
    <n v="4840"/>
    <n v="71.5"/>
  </r>
  <r>
    <x v="4"/>
    <d v="2026-05-18T00:00:00"/>
    <s v="Mon"/>
    <s v="Weekday"/>
    <x v="5"/>
    <n v="2480"/>
    <n v="82"/>
    <n v="68"/>
    <n v="2494"/>
    <n v="82.9"/>
  </r>
  <r>
    <x v="4"/>
    <d v="2026-05-18T00:00:00"/>
    <s v="Mon"/>
    <s v="Weekday"/>
    <x v="6"/>
    <n v="2661"/>
    <n v="87"/>
    <n v="65"/>
    <n v="2683"/>
    <n v="74.7"/>
  </r>
  <r>
    <x v="4"/>
    <d v="2026-05-18T00:00:00"/>
    <s v="Mon"/>
    <s v="Weekday"/>
    <x v="7"/>
    <n v="3136"/>
    <n v="119"/>
    <n v="98"/>
    <n v="3157"/>
    <n v="82.4"/>
  </r>
  <r>
    <x v="4"/>
    <d v="2026-05-18T00:00:00"/>
    <s v="Mon"/>
    <s v="Weekday"/>
    <x v="8"/>
    <n v="3963"/>
    <n v="155"/>
    <n v="112"/>
    <n v="4006"/>
    <n v="72.3"/>
  </r>
  <r>
    <x v="4"/>
    <d v="2026-05-18T00:00:00"/>
    <s v="Mon"/>
    <s v="Weekday"/>
    <x v="9"/>
    <n v="1510"/>
    <n v="82"/>
    <n v="77"/>
    <n v="1515"/>
    <n v="93.9"/>
  </r>
  <r>
    <x v="4"/>
    <d v="2026-05-18T00:00:00"/>
    <s v="Mon"/>
    <s v="Weekday"/>
    <x v="10"/>
    <n v="5012"/>
    <n v="124"/>
    <n v="88"/>
    <n v="5048"/>
    <n v="71"/>
  </r>
  <r>
    <x v="4"/>
    <d v="2026-05-19T00:00:00"/>
    <s v="Tue"/>
    <s v="Weekday"/>
    <x v="0"/>
    <n v="4013"/>
    <n v="120"/>
    <n v="99"/>
    <n v="4034"/>
    <n v="82.5"/>
  </r>
  <r>
    <x v="4"/>
    <d v="2026-05-19T00:00:00"/>
    <s v="Tue"/>
    <s v="Weekday"/>
    <x v="1"/>
    <n v="2889"/>
    <n v="86"/>
    <n v="71"/>
    <n v="2904"/>
    <n v="82.6"/>
  </r>
  <r>
    <x v="4"/>
    <d v="2026-05-19T00:00:00"/>
    <s v="Tue"/>
    <s v="Weekday"/>
    <x v="2"/>
    <n v="4674"/>
    <n v="109"/>
    <n v="86"/>
    <n v="4697"/>
    <n v="78.900000000000006"/>
  </r>
  <r>
    <x v="4"/>
    <d v="2026-05-19T00:00:00"/>
    <s v="Tue"/>
    <s v="Weekday"/>
    <x v="3"/>
    <n v="2034"/>
    <n v="119"/>
    <n v="104"/>
    <n v="2049"/>
    <n v="87.4"/>
  </r>
  <r>
    <x v="4"/>
    <d v="2026-05-19T00:00:00"/>
    <s v="Tue"/>
    <s v="Weekday"/>
    <x v="4"/>
    <n v="4840"/>
    <n v="108"/>
    <n v="68"/>
    <n v="4880"/>
    <n v="63"/>
  </r>
  <r>
    <x v="4"/>
    <d v="2026-05-19T00:00:00"/>
    <s v="Tue"/>
    <s v="Weekday"/>
    <x v="5"/>
    <n v="2494"/>
    <n v="103"/>
    <n v="72"/>
    <n v="2525"/>
    <n v="69.900000000000006"/>
  </r>
  <r>
    <x v="4"/>
    <d v="2026-05-19T00:00:00"/>
    <s v="Tue"/>
    <s v="Weekday"/>
    <x v="6"/>
    <n v="2683"/>
    <n v="86"/>
    <n v="74"/>
    <n v="2695"/>
    <n v="86"/>
  </r>
  <r>
    <x v="4"/>
    <d v="2026-05-19T00:00:00"/>
    <s v="Tue"/>
    <s v="Weekday"/>
    <x v="7"/>
    <n v="3157"/>
    <n v="71"/>
    <n v="57"/>
    <n v="3171"/>
    <n v="80.3"/>
  </r>
  <r>
    <x v="4"/>
    <d v="2026-05-19T00:00:00"/>
    <s v="Tue"/>
    <s v="Weekday"/>
    <x v="8"/>
    <n v="4006"/>
    <n v="101"/>
    <n v="81"/>
    <n v="4026"/>
    <n v="80.2"/>
  </r>
  <r>
    <x v="4"/>
    <d v="2026-05-19T00:00:00"/>
    <s v="Tue"/>
    <s v="Weekday"/>
    <x v="9"/>
    <n v="1515"/>
    <n v="58"/>
    <n v="54"/>
    <n v="1519"/>
    <n v="93.1"/>
  </r>
  <r>
    <x v="4"/>
    <d v="2026-05-19T00:00:00"/>
    <s v="Tue"/>
    <s v="Weekday"/>
    <x v="10"/>
    <n v="5048"/>
    <n v="166"/>
    <n v="122"/>
    <n v="5092"/>
    <n v="73.5"/>
  </r>
  <r>
    <x v="4"/>
    <d v="2026-05-20T00:00:00"/>
    <s v="Wed"/>
    <s v="Weekday"/>
    <x v="0"/>
    <n v="4034"/>
    <n v="119"/>
    <n v="88"/>
    <n v="4065"/>
    <n v="73.900000000000006"/>
  </r>
  <r>
    <x v="4"/>
    <d v="2026-05-20T00:00:00"/>
    <s v="Wed"/>
    <s v="Weekday"/>
    <x v="1"/>
    <n v="2904"/>
    <n v="76"/>
    <n v="59"/>
    <n v="2921"/>
    <n v="77.599999999999994"/>
  </r>
  <r>
    <x v="4"/>
    <d v="2026-05-20T00:00:00"/>
    <s v="Wed"/>
    <s v="Weekday"/>
    <x v="2"/>
    <n v="4697"/>
    <n v="109"/>
    <n v="86"/>
    <n v="4720"/>
    <n v="78.900000000000006"/>
  </r>
  <r>
    <x v="4"/>
    <d v="2026-05-20T00:00:00"/>
    <s v="Wed"/>
    <s v="Weekday"/>
    <x v="3"/>
    <n v="2049"/>
    <n v="90"/>
    <n v="74"/>
    <n v="2065"/>
    <n v="82.2"/>
  </r>
  <r>
    <x v="4"/>
    <d v="2026-05-20T00:00:00"/>
    <s v="Wed"/>
    <s v="Weekday"/>
    <x v="4"/>
    <n v="4880"/>
    <n v="113"/>
    <n v="81"/>
    <n v="4912"/>
    <n v="71.7"/>
  </r>
  <r>
    <x v="4"/>
    <d v="2026-05-20T00:00:00"/>
    <s v="Wed"/>
    <s v="Weekday"/>
    <x v="5"/>
    <n v="2525"/>
    <n v="104"/>
    <n v="87"/>
    <n v="2542"/>
    <n v="83.7"/>
  </r>
  <r>
    <x v="4"/>
    <d v="2026-05-20T00:00:00"/>
    <s v="Wed"/>
    <s v="Weekday"/>
    <x v="6"/>
    <n v="2695"/>
    <n v="122"/>
    <n v="90"/>
    <n v="2727"/>
    <n v="73.8"/>
  </r>
  <r>
    <x v="4"/>
    <d v="2026-05-20T00:00:00"/>
    <s v="Wed"/>
    <s v="Weekday"/>
    <x v="7"/>
    <n v="3171"/>
    <n v="113"/>
    <n v="82"/>
    <n v="3202"/>
    <n v="72.599999999999994"/>
  </r>
  <r>
    <x v="4"/>
    <d v="2026-05-20T00:00:00"/>
    <s v="Wed"/>
    <s v="Weekday"/>
    <x v="8"/>
    <n v="4026"/>
    <n v="113"/>
    <n v="85"/>
    <n v="4054"/>
    <n v="75.2"/>
  </r>
  <r>
    <x v="4"/>
    <d v="2026-05-20T00:00:00"/>
    <s v="Wed"/>
    <s v="Weekday"/>
    <x v="9"/>
    <n v="1519"/>
    <n v="90"/>
    <n v="87"/>
    <n v="1522"/>
    <n v="96.7"/>
  </r>
  <r>
    <x v="4"/>
    <d v="2026-05-20T00:00:00"/>
    <s v="Wed"/>
    <s v="Weekday"/>
    <x v="10"/>
    <n v="5092"/>
    <n v="98"/>
    <n v="78"/>
    <n v="5112"/>
    <n v="79.599999999999994"/>
  </r>
  <r>
    <x v="4"/>
    <d v="2026-05-21T00:00:00"/>
    <s v="Thu"/>
    <s v="Weekday"/>
    <x v="0"/>
    <n v="4065"/>
    <n v="80"/>
    <n v="57"/>
    <n v="4088"/>
    <n v="71.2"/>
  </r>
  <r>
    <x v="4"/>
    <d v="2026-05-21T00:00:00"/>
    <s v="Thu"/>
    <s v="Weekday"/>
    <x v="1"/>
    <n v="2921"/>
    <n v="125"/>
    <n v="91"/>
    <n v="2955"/>
    <n v="72.8"/>
  </r>
  <r>
    <x v="4"/>
    <d v="2026-05-21T00:00:00"/>
    <s v="Thu"/>
    <s v="Weekday"/>
    <x v="2"/>
    <n v="4720"/>
    <n v="141"/>
    <n v="86"/>
    <n v="4775"/>
    <n v="61"/>
  </r>
  <r>
    <x v="4"/>
    <d v="2026-05-21T00:00:00"/>
    <s v="Thu"/>
    <s v="Weekday"/>
    <x v="3"/>
    <n v="2065"/>
    <n v="69"/>
    <n v="62"/>
    <n v="2072"/>
    <n v="89.9"/>
  </r>
  <r>
    <x v="4"/>
    <d v="2026-05-21T00:00:00"/>
    <s v="Thu"/>
    <s v="Weekday"/>
    <x v="4"/>
    <n v="4912"/>
    <n v="103"/>
    <n v="65"/>
    <n v="4950"/>
    <n v="63.1"/>
  </r>
  <r>
    <x v="4"/>
    <d v="2026-05-21T00:00:00"/>
    <s v="Thu"/>
    <s v="Weekday"/>
    <x v="5"/>
    <n v="2542"/>
    <n v="97"/>
    <n v="81"/>
    <n v="2558"/>
    <n v="83.5"/>
  </r>
  <r>
    <x v="4"/>
    <d v="2026-05-21T00:00:00"/>
    <s v="Thu"/>
    <s v="Weekday"/>
    <x v="6"/>
    <n v="2727"/>
    <n v="102"/>
    <n v="85"/>
    <n v="2744"/>
    <n v="83.3"/>
  </r>
  <r>
    <x v="4"/>
    <d v="2026-05-21T00:00:00"/>
    <s v="Thu"/>
    <s v="Weekday"/>
    <x v="7"/>
    <n v="3202"/>
    <n v="91"/>
    <n v="74"/>
    <n v="3219"/>
    <n v="81.3"/>
  </r>
  <r>
    <x v="4"/>
    <d v="2026-05-21T00:00:00"/>
    <s v="Thu"/>
    <s v="Weekday"/>
    <x v="8"/>
    <n v="4054"/>
    <n v="128"/>
    <n v="86"/>
    <n v="4096"/>
    <n v="67.2"/>
  </r>
  <r>
    <x v="4"/>
    <d v="2026-05-21T00:00:00"/>
    <s v="Thu"/>
    <s v="Weekday"/>
    <x v="9"/>
    <n v="1522"/>
    <n v="78"/>
    <n v="69"/>
    <n v="1531"/>
    <n v="88.5"/>
  </r>
  <r>
    <x v="4"/>
    <d v="2026-05-21T00:00:00"/>
    <s v="Thu"/>
    <s v="Weekday"/>
    <x v="10"/>
    <n v="5112"/>
    <n v="136"/>
    <n v="106"/>
    <n v="5142"/>
    <n v="77.900000000000006"/>
  </r>
  <r>
    <x v="4"/>
    <d v="2026-05-22T00:00:00"/>
    <s v="Fri"/>
    <s v="Weekday"/>
    <x v="0"/>
    <n v="4088"/>
    <n v="114"/>
    <n v="88"/>
    <n v="4114"/>
    <n v="77.2"/>
  </r>
  <r>
    <x v="4"/>
    <d v="2026-05-22T00:00:00"/>
    <s v="Fri"/>
    <s v="Weekday"/>
    <x v="1"/>
    <n v="2955"/>
    <n v="112"/>
    <n v="91"/>
    <n v="2976"/>
    <n v="81.2"/>
  </r>
  <r>
    <x v="4"/>
    <d v="2026-05-22T00:00:00"/>
    <s v="Fri"/>
    <s v="Weekday"/>
    <x v="2"/>
    <n v="4775"/>
    <n v="152"/>
    <n v="110"/>
    <n v="4817"/>
    <n v="72.400000000000006"/>
  </r>
  <r>
    <x v="4"/>
    <d v="2026-05-22T00:00:00"/>
    <s v="Fri"/>
    <s v="Weekday"/>
    <x v="3"/>
    <n v="2072"/>
    <n v="88"/>
    <n v="79"/>
    <n v="2081"/>
    <n v="89.8"/>
  </r>
  <r>
    <x v="4"/>
    <d v="2026-05-22T00:00:00"/>
    <s v="Fri"/>
    <s v="Weekday"/>
    <x v="4"/>
    <n v="4950"/>
    <n v="134"/>
    <n v="89"/>
    <n v="4995"/>
    <n v="66.400000000000006"/>
  </r>
  <r>
    <x v="4"/>
    <d v="2026-05-22T00:00:00"/>
    <s v="Fri"/>
    <s v="Weekday"/>
    <x v="5"/>
    <n v="2558"/>
    <n v="98"/>
    <n v="82"/>
    <n v="2574"/>
    <n v="83.7"/>
  </r>
  <r>
    <x v="4"/>
    <d v="2026-05-22T00:00:00"/>
    <s v="Fri"/>
    <s v="Weekday"/>
    <x v="6"/>
    <n v="2744"/>
    <n v="89"/>
    <n v="75"/>
    <n v="2758"/>
    <n v="84.3"/>
  </r>
  <r>
    <x v="4"/>
    <d v="2026-05-22T00:00:00"/>
    <s v="Fri"/>
    <s v="Weekday"/>
    <x v="7"/>
    <n v="3219"/>
    <n v="92"/>
    <n v="63"/>
    <n v="3248"/>
    <n v="68.5"/>
  </r>
  <r>
    <x v="4"/>
    <d v="2026-05-22T00:00:00"/>
    <s v="Fri"/>
    <s v="Weekday"/>
    <x v="8"/>
    <n v="4096"/>
    <n v="121"/>
    <n v="98"/>
    <n v="4119"/>
    <n v="81"/>
  </r>
  <r>
    <x v="4"/>
    <d v="2026-05-22T00:00:00"/>
    <s v="Fri"/>
    <s v="Weekday"/>
    <x v="9"/>
    <n v="1531"/>
    <n v="98"/>
    <n v="94"/>
    <n v="1535"/>
    <n v="95.9"/>
  </r>
  <r>
    <x v="4"/>
    <d v="2026-05-22T00:00:00"/>
    <s v="Fri"/>
    <s v="Weekday"/>
    <x v="10"/>
    <n v="5142"/>
    <n v="157"/>
    <n v="114"/>
    <n v="5185"/>
    <n v="72.599999999999994"/>
  </r>
  <r>
    <x v="4"/>
    <d v="2026-05-23T00:00:00"/>
    <s v="Sat"/>
    <s v="Weekend"/>
    <x v="0"/>
    <n v="4114"/>
    <n v="45"/>
    <n v="31"/>
    <n v="4128"/>
    <n v="68.900000000000006"/>
  </r>
  <r>
    <x v="4"/>
    <d v="2026-05-23T00:00:00"/>
    <s v="Sat"/>
    <s v="Weekend"/>
    <x v="1"/>
    <n v="2976"/>
    <n v="44"/>
    <n v="34"/>
    <n v="2986"/>
    <n v="77.3"/>
  </r>
  <r>
    <x v="4"/>
    <d v="2026-05-23T00:00:00"/>
    <s v="Sat"/>
    <s v="Weekend"/>
    <x v="2"/>
    <n v="4817"/>
    <n v="56"/>
    <n v="34"/>
    <n v="4839"/>
    <n v="60.7"/>
  </r>
  <r>
    <x v="4"/>
    <d v="2026-05-23T00:00:00"/>
    <s v="Sat"/>
    <s v="Weekend"/>
    <x v="3"/>
    <n v="2081"/>
    <n v="24"/>
    <n v="21"/>
    <n v="2084"/>
    <n v="87.5"/>
  </r>
  <r>
    <x v="4"/>
    <d v="2026-05-23T00:00:00"/>
    <s v="Sat"/>
    <s v="Weekend"/>
    <x v="4"/>
    <n v="4995"/>
    <n v="87"/>
    <n v="66"/>
    <n v="5016"/>
    <n v="75.900000000000006"/>
  </r>
  <r>
    <x v="4"/>
    <d v="2026-05-23T00:00:00"/>
    <s v="Sat"/>
    <s v="Weekend"/>
    <x v="5"/>
    <n v="2574"/>
    <n v="31"/>
    <n v="22"/>
    <n v="2583"/>
    <n v="71"/>
  </r>
  <r>
    <x v="4"/>
    <d v="2026-05-23T00:00:00"/>
    <s v="Sat"/>
    <s v="Weekend"/>
    <x v="6"/>
    <n v="2758"/>
    <n v="54"/>
    <n v="46"/>
    <n v="2766"/>
    <n v="85.2"/>
  </r>
  <r>
    <x v="4"/>
    <d v="2026-05-23T00:00:00"/>
    <s v="Sat"/>
    <s v="Weekend"/>
    <x v="7"/>
    <n v="3248"/>
    <n v="40"/>
    <n v="34"/>
    <n v="3254"/>
    <n v="85"/>
  </r>
  <r>
    <x v="4"/>
    <d v="2026-05-23T00:00:00"/>
    <s v="Sat"/>
    <s v="Weekend"/>
    <x v="8"/>
    <n v="4119"/>
    <n v="69"/>
    <n v="57"/>
    <n v="4131"/>
    <n v="82.6"/>
  </r>
  <r>
    <x v="4"/>
    <d v="2026-05-23T00:00:00"/>
    <s v="Sat"/>
    <s v="Weekend"/>
    <x v="9"/>
    <n v="1535"/>
    <n v="43"/>
    <n v="38"/>
    <n v="1540"/>
    <n v="88.4"/>
  </r>
  <r>
    <x v="4"/>
    <d v="2026-05-23T00:00:00"/>
    <s v="Sat"/>
    <s v="Weekend"/>
    <x v="10"/>
    <n v="5185"/>
    <n v="42"/>
    <n v="31"/>
    <n v="5196"/>
    <n v="73.8"/>
  </r>
  <r>
    <x v="4"/>
    <d v="2026-05-24T00:00:00"/>
    <s v="Sun"/>
    <s v="Weekend"/>
    <x v="0"/>
    <n v="4128"/>
    <n v="68"/>
    <n v="50"/>
    <n v="4146"/>
    <n v="73.5"/>
  </r>
  <r>
    <x v="4"/>
    <d v="2026-05-24T00:00:00"/>
    <s v="Sun"/>
    <s v="Weekend"/>
    <x v="1"/>
    <n v="2986"/>
    <n v="54"/>
    <n v="41"/>
    <n v="2999"/>
    <n v="75.900000000000006"/>
  </r>
  <r>
    <x v="4"/>
    <d v="2026-05-24T00:00:00"/>
    <s v="Sun"/>
    <s v="Weekend"/>
    <x v="2"/>
    <n v="4839"/>
    <n v="43"/>
    <n v="31"/>
    <n v="4851"/>
    <n v="72.099999999999994"/>
  </r>
  <r>
    <x v="4"/>
    <d v="2026-05-24T00:00:00"/>
    <s v="Sun"/>
    <s v="Weekend"/>
    <x v="3"/>
    <n v="2084"/>
    <n v="25"/>
    <n v="20"/>
    <n v="2089"/>
    <n v="80"/>
  </r>
  <r>
    <x v="4"/>
    <d v="2026-05-24T00:00:00"/>
    <s v="Sun"/>
    <s v="Weekend"/>
    <x v="4"/>
    <n v="5016"/>
    <n v="50"/>
    <n v="40"/>
    <n v="5026"/>
    <n v="80"/>
  </r>
  <r>
    <x v="4"/>
    <d v="2026-05-24T00:00:00"/>
    <s v="Sun"/>
    <s v="Weekend"/>
    <x v="5"/>
    <n v="2583"/>
    <n v="49"/>
    <n v="38"/>
    <n v="2594"/>
    <n v="77.599999999999994"/>
  </r>
  <r>
    <x v="4"/>
    <d v="2026-05-24T00:00:00"/>
    <s v="Sun"/>
    <s v="Weekend"/>
    <x v="6"/>
    <n v="2766"/>
    <n v="35"/>
    <n v="31"/>
    <n v="2770"/>
    <n v="88.6"/>
  </r>
  <r>
    <x v="4"/>
    <d v="2026-05-24T00:00:00"/>
    <s v="Sun"/>
    <s v="Weekend"/>
    <x v="7"/>
    <n v="3254"/>
    <n v="32"/>
    <n v="22"/>
    <n v="3264"/>
    <n v="68.8"/>
  </r>
  <r>
    <x v="4"/>
    <d v="2026-05-24T00:00:00"/>
    <s v="Sun"/>
    <s v="Weekend"/>
    <x v="8"/>
    <n v="4131"/>
    <n v="61"/>
    <n v="48"/>
    <n v="4144"/>
    <n v="78.7"/>
  </r>
  <r>
    <x v="4"/>
    <d v="2026-05-24T00:00:00"/>
    <s v="Sun"/>
    <s v="Weekend"/>
    <x v="9"/>
    <n v="1540"/>
    <n v="34"/>
    <n v="27"/>
    <n v="1547"/>
    <n v="79.400000000000006"/>
  </r>
  <r>
    <x v="4"/>
    <d v="2026-05-24T00:00:00"/>
    <s v="Sun"/>
    <s v="Weekend"/>
    <x v="10"/>
    <n v="5196"/>
    <n v="63"/>
    <n v="51"/>
    <n v="5208"/>
    <n v="81"/>
  </r>
  <r>
    <x v="4"/>
    <d v="2026-05-25T00:00:00"/>
    <s v="Mon"/>
    <s v="Weekday"/>
    <x v="0"/>
    <n v="4146"/>
    <n v="94"/>
    <n v="77"/>
    <n v="4163"/>
    <n v="81.900000000000006"/>
  </r>
  <r>
    <x v="4"/>
    <d v="2026-05-25T00:00:00"/>
    <s v="Mon"/>
    <s v="Weekday"/>
    <x v="1"/>
    <n v="2999"/>
    <n v="102"/>
    <n v="77"/>
    <n v="3024"/>
    <n v="75.5"/>
  </r>
  <r>
    <x v="4"/>
    <d v="2026-05-25T00:00:00"/>
    <s v="Mon"/>
    <s v="Weekday"/>
    <x v="2"/>
    <n v="4851"/>
    <n v="134"/>
    <n v="91"/>
    <n v="4894"/>
    <n v="67.900000000000006"/>
  </r>
  <r>
    <x v="4"/>
    <d v="2026-05-25T00:00:00"/>
    <s v="Mon"/>
    <s v="Weekday"/>
    <x v="3"/>
    <n v="2089"/>
    <n v="106"/>
    <n v="99"/>
    <n v="2096"/>
    <n v="93.4"/>
  </r>
  <r>
    <x v="4"/>
    <d v="2026-05-25T00:00:00"/>
    <s v="Mon"/>
    <s v="Weekday"/>
    <x v="4"/>
    <n v="5026"/>
    <n v="118"/>
    <n v="80"/>
    <n v="5064"/>
    <n v="67.8"/>
  </r>
  <r>
    <x v="4"/>
    <d v="2026-05-25T00:00:00"/>
    <s v="Mon"/>
    <s v="Weekday"/>
    <x v="5"/>
    <n v="2594"/>
    <n v="56"/>
    <n v="40"/>
    <n v="2610"/>
    <n v="71.400000000000006"/>
  </r>
  <r>
    <x v="4"/>
    <d v="2026-05-25T00:00:00"/>
    <s v="Mon"/>
    <s v="Weekday"/>
    <x v="6"/>
    <n v="2770"/>
    <n v="107"/>
    <n v="83"/>
    <n v="2794"/>
    <n v="77.599999999999994"/>
  </r>
  <r>
    <x v="4"/>
    <d v="2026-05-25T00:00:00"/>
    <s v="Mon"/>
    <s v="Weekday"/>
    <x v="7"/>
    <n v="3264"/>
    <n v="76"/>
    <n v="54"/>
    <n v="3286"/>
    <n v="71.099999999999994"/>
  </r>
  <r>
    <x v="4"/>
    <d v="2026-05-25T00:00:00"/>
    <s v="Mon"/>
    <s v="Weekday"/>
    <x v="8"/>
    <n v="4144"/>
    <n v="94"/>
    <n v="65"/>
    <n v="4173"/>
    <n v="69.099999999999994"/>
  </r>
  <r>
    <x v="4"/>
    <d v="2026-05-25T00:00:00"/>
    <s v="Mon"/>
    <s v="Weekday"/>
    <x v="9"/>
    <n v="1547"/>
    <n v="104"/>
    <n v="101"/>
    <n v="1550"/>
    <n v="97.1"/>
  </r>
  <r>
    <x v="4"/>
    <d v="2026-05-25T00:00:00"/>
    <s v="Mon"/>
    <s v="Weekday"/>
    <x v="10"/>
    <n v="5208"/>
    <n v="158"/>
    <n v="125"/>
    <n v="5241"/>
    <n v="79.099999999999994"/>
  </r>
  <r>
    <x v="4"/>
    <d v="2026-05-26T00:00:00"/>
    <s v="Tue"/>
    <s v="Weekday"/>
    <x v="0"/>
    <n v="4163"/>
    <n v="140"/>
    <n v="105"/>
    <n v="4198"/>
    <n v="75"/>
  </r>
  <r>
    <x v="4"/>
    <d v="2026-05-26T00:00:00"/>
    <s v="Tue"/>
    <s v="Weekday"/>
    <x v="1"/>
    <n v="3024"/>
    <n v="110"/>
    <n v="86"/>
    <n v="3048"/>
    <n v="78.2"/>
  </r>
  <r>
    <x v="4"/>
    <d v="2026-05-26T00:00:00"/>
    <s v="Tue"/>
    <s v="Weekday"/>
    <x v="2"/>
    <n v="4894"/>
    <n v="125"/>
    <n v="93"/>
    <n v="4926"/>
    <n v="74.400000000000006"/>
  </r>
  <r>
    <x v="4"/>
    <d v="2026-05-26T00:00:00"/>
    <s v="Tue"/>
    <s v="Weekday"/>
    <x v="3"/>
    <n v="2096"/>
    <n v="63"/>
    <n v="52"/>
    <n v="2107"/>
    <n v="82.5"/>
  </r>
  <r>
    <x v="4"/>
    <d v="2026-05-26T00:00:00"/>
    <s v="Tue"/>
    <s v="Weekday"/>
    <x v="4"/>
    <n v="5064"/>
    <n v="164"/>
    <n v="105"/>
    <n v="5123"/>
    <n v="64"/>
  </r>
  <r>
    <x v="4"/>
    <d v="2026-05-26T00:00:00"/>
    <s v="Tue"/>
    <s v="Weekday"/>
    <x v="5"/>
    <n v="2610"/>
    <n v="69"/>
    <n v="53"/>
    <n v="2626"/>
    <n v="76.8"/>
  </r>
  <r>
    <x v="4"/>
    <d v="2026-05-26T00:00:00"/>
    <s v="Tue"/>
    <s v="Weekday"/>
    <x v="6"/>
    <n v="2794"/>
    <n v="132"/>
    <n v="96"/>
    <n v="2830"/>
    <n v="72.7"/>
  </r>
  <r>
    <x v="4"/>
    <d v="2026-05-26T00:00:00"/>
    <s v="Tue"/>
    <s v="Weekday"/>
    <x v="7"/>
    <n v="3286"/>
    <n v="68"/>
    <n v="49"/>
    <n v="3305"/>
    <n v="72.099999999999994"/>
  </r>
  <r>
    <x v="4"/>
    <d v="2026-05-26T00:00:00"/>
    <s v="Tue"/>
    <s v="Weekday"/>
    <x v="8"/>
    <n v="4173"/>
    <n v="121"/>
    <n v="79"/>
    <n v="4215"/>
    <n v="65.3"/>
  </r>
  <r>
    <x v="4"/>
    <d v="2026-05-26T00:00:00"/>
    <s v="Tue"/>
    <s v="Weekday"/>
    <x v="9"/>
    <n v="1550"/>
    <n v="96"/>
    <n v="76"/>
    <n v="1570"/>
    <n v="79.2"/>
  </r>
  <r>
    <x v="4"/>
    <d v="2026-05-26T00:00:00"/>
    <s v="Tue"/>
    <s v="Weekday"/>
    <x v="10"/>
    <n v="5241"/>
    <n v="159"/>
    <n v="120"/>
    <n v="5280"/>
    <n v="75.5"/>
  </r>
  <r>
    <x v="4"/>
    <d v="2026-05-27T00:00:00"/>
    <s v="Wed"/>
    <s v="Weekday"/>
    <x v="0"/>
    <n v="4198"/>
    <n v="140"/>
    <n v="107"/>
    <n v="4231"/>
    <n v="76.400000000000006"/>
  </r>
  <r>
    <x v="4"/>
    <d v="2026-05-27T00:00:00"/>
    <s v="Wed"/>
    <s v="Weekday"/>
    <x v="1"/>
    <n v="3048"/>
    <n v="79"/>
    <n v="56"/>
    <n v="3071"/>
    <n v="70.900000000000006"/>
  </r>
  <r>
    <x v="4"/>
    <d v="2026-05-27T00:00:00"/>
    <s v="Wed"/>
    <s v="Weekday"/>
    <x v="2"/>
    <n v="4926"/>
    <n v="147"/>
    <n v="91"/>
    <n v="4982"/>
    <n v="61.9"/>
  </r>
  <r>
    <x v="4"/>
    <d v="2026-05-27T00:00:00"/>
    <s v="Wed"/>
    <s v="Weekday"/>
    <x v="3"/>
    <n v="2107"/>
    <n v="111"/>
    <n v="93"/>
    <n v="2125"/>
    <n v="83.8"/>
  </r>
  <r>
    <x v="4"/>
    <d v="2026-05-27T00:00:00"/>
    <s v="Wed"/>
    <s v="Weekday"/>
    <x v="4"/>
    <n v="5123"/>
    <n v="110"/>
    <n v="84"/>
    <n v="5149"/>
    <n v="76.400000000000006"/>
  </r>
  <r>
    <x v="4"/>
    <d v="2026-05-27T00:00:00"/>
    <s v="Wed"/>
    <s v="Weekday"/>
    <x v="5"/>
    <n v="2626"/>
    <n v="91"/>
    <n v="66"/>
    <n v="2651"/>
    <n v="72.5"/>
  </r>
  <r>
    <x v="4"/>
    <d v="2026-05-27T00:00:00"/>
    <s v="Wed"/>
    <s v="Weekday"/>
    <x v="6"/>
    <n v="2830"/>
    <n v="80"/>
    <n v="64"/>
    <n v="2846"/>
    <n v="80"/>
  </r>
  <r>
    <x v="4"/>
    <d v="2026-05-27T00:00:00"/>
    <s v="Wed"/>
    <s v="Weekday"/>
    <x v="7"/>
    <n v="3305"/>
    <n v="110"/>
    <n v="86"/>
    <n v="3329"/>
    <n v="78.2"/>
  </r>
  <r>
    <x v="4"/>
    <d v="2026-05-27T00:00:00"/>
    <s v="Wed"/>
    <s v="Weekday"/>
    <x v="8"/>
    <n v="4215"/>
    <n v="141"/>
    <n v="106"/>
    <n v="4250"/>
    <n v="75.2"/>
  </r>
  <r>
    <x v="4"/>
    <d v="2026-05-27T00:00:00"/>
    <s v="Wed"/>
    <s v="Weekday"/>
    <x v="9"/>
    <n v="1570"/>
    <n v="88"/>
    <n v="73"/>
    <n v="1585"/>
    <n v="83"/>
  </r>
  <r>
    <x v="4"/>
    <d v="2026-05-27T00:00:00"/>
    <s v="Wed"/>
    <s v="Weekday"/>
    <x v="10"/>
    <n v="5280"/>
    <n v="141"/>
    <n v="97"/>
    <n v="5324"/>
    <n v="68.8"/>
  </r>
  <r>
    <x v="4"/>
    <d v="2026-05-28T00:00:00"/>
    <s v="Thu"/>
    <s v="Weekday"/>
    <x v="0"/>
    <n v="4231"/>
    <n v="122"/>
    <n v="82"/>
    <n v="4271"/>
    <n v="67.2"/>
  </r>
  <r>
    <x v="4"/>
    <d v="2026-05-28T00:00:00"/>
    <s v="Thu"/>
    <s v="Weekday"/>
    <x v="1"/>
    <n v="3071"/>
    <n v="105"/>
    <n v="94"/>
    <n v="3082"/>
    <n v="89.5"/>
  </r>
  <r>
    <x v="4"/>
    <d v="2026-05-28T00:00:00"/>
    <s v="Thu"/>
    <s v="Weekday"/>
    <x v="2"/>
    <n v="4982"/>
    <n v="139"/>
    <n v="92"/>
    <n v="5029"/>
    <n v="66.2"/>
  </r>
  <r>
    <x v="4"/>
    <d v="2026-05-28T00:00:00"/>
    <s v="Thu"/>
    <s v="Weekday"/>
    <x v="3"/>
    <n v="2125"/>
    <n v="76"/>
    <n v="61"/>
    <n v="2140"/>
    <n v="80.3"/>
  </r>
  <r>
    <x v="4"/>
    <d v="2026-05-28T00:00:00"/>
    <s v="Thu"/>
    <s v="Weekday"/>
    <x v="4"/>
    <n v="5149"/>
    <n v="142"/>
    <n v="90"/>
    <n v="5201"/>
    <n v="63.4"/>
  </r>
  <r>
    <x v="4"/>
    <d v="2026-05-28T00:00:00"/>
    <s v="Thu"/>
    <s v="Weekday"/>
    <x v="5"/>
    <n v="2651"/>
    <n v="87"/>
    <n v="63"/>
    <n v="2675"/>
    <n v="72.400000000000006"/>
  </r>
  <r>
    <x v="4"/>
    <d v="2026-05-28T00:00:00"/>
    <s v="Thu"/>
    <s v="Weekday"/>
    <x v="6"/>
    <n v="2846"/>
    <n v="119"/>
    <n v="94"/>
    <n v="2871"/>
    <n v="79"/>
  </r>
  <r>
    <x v="4"/>
    <d v="2026-05-28T00:00:00"/>
    <s v="Thu"/>
    <s v="Weekday"/>
    <x v="7"/>
    <n v="3329"/>
    <n v="106"/>
    <n v="91"/>
    <n v="3344"/>
    <n v="85.8"/>
  </r>
  <r>
    <x v="4"/>
    <d v="2026-05-28T00:00:00"/>
    <s v="Thu"/>
    <s v="Weekday"/>
    <x v="8"/>
    <n v="4250"/>
    <n v="135"/>
    <n v="90"/>
    <n v="4295"/>
    <n v="66.7"/>
  </r>
  <r>
    <x v="4"/>
    <d v="2026-05-28T00:00:00"/>
    <s v="Thu"/>
    <s v="Weekday"/>
    <x v="9"/>
    <n v="1585"/>
    <n v="93"/>
    <n v="74"/>
    <n v="1604"/>
    <n v="79.599999999999994"/>
  </r>
  <r>
    <x v="4"/>
    <d v="2026-05-28T00:00:00"/>
    <s v="Thu"/>
    <s v="Weekday"/>
    <x v="10"/>
    <n v="5324"/>
    <n v="134"/>
    <n v="98"/>
    <n v="5360"/>
    <n v="73.099999999999994"/>
  </r>
  <r>
    <x v="4"/>
    <d v="2026-05-29T00:00:00"/>
    <s v="Fri"/>
    <s v="Weekday"/>
    <x v="0"/>
    <n v="4271"/>
    <n v="134"/>
    <n v="103"/>
    <n v="4302"/>
    <n v="76.900000000000006"/>
  </r>
  <r>
    <x v="4"/>
    <d v="2026-05-29T00:00:00"/>
    <s v="Fri"/>
    <s v="Weekday"/>
    <x v="1"/>
    <n v="3082"/>
    <n v="93"/>
    <n v="65"/>
    <n v="3110"/>
    <n v="69.900000000000006"/>
  </r>
  <r>
    <x v="4"/>
    <d v="2026-05-29T00:00:00"/>
    <s v="Fri"/>
    <s v="Weekday"/>
    <x v="2"/>
    <n v="5029"/>
    <n v="136"/>
    <n v="90"/>
    <n v="5075"/>
    <n v="66.2"/>
  </r>
  <r>
    <x v="4"/>
    <d v="2026-05-29T00:00:00"/>
    <s v="Fri"/>
    <s v="Weekday"/>
    <x v="3"/>
    <n v="2140"/>
    <n v="71"/>
    <n v="56"/>
    <n v="2155"/>
    <n v="78.900000000000006"/>
  </r>
  <r>
    <x v="4"/>
    <d v="2026-05-29T00:00:00"/>
    <s v="Fri"/>
    <s v="Weekday"/>
    <x v="4"/>
    <n v="5201"/>
    <n v="143"/>
    <n v="112"/>
    <n v="5232"/>
    <n v="78.3"/>
  </r>
  <r>
    <x v="4"/>
    <d v="2026-05-29T00:00:00"/>
    <s v="Fri"/>
    <s v="Weekday"/>
    <x v="5"/>
    <n v="2675"/>
    <n v="81"/>
    <n v="61"/>
    <n v="2695"/>
    <n v="75.3"/>
  </r>
  <r>
    <x v="4"/>
    <d v="2026-05-29T00:00:00"/>
    <s v="Fri"/>
    <s v="Weekday"/>
    <x v="6"/>
    <n v="2871"/>
    <n v="103"/>
    <n v="78"/>
    <n v="2896"/>
    <n v="75.7"/>
  </r>
  <r>
    <x v="4"/>
    <d v="2026-05-29T00:00:00"/>
    <s v="Fri"/>
    <s v="Weekday"/>
    <x v="7"/>
    <n v="3344"/>
    <n v="74"/>
    <n v="50"/>
    <n v="3368"/>
    <n v="67.599999999999994"/>
  </r>
  <r>
    <x v="4"/>
    <d v="2026-05-29T00:00:00"/>
    <s v="Fri"/>
    <s v="Weekday"/>
    <x v="8"/>
    <n v="4295"/>
    <n v="122"/>
    <n v="81"/>
    <n v="4336"/>
    <n v="66.400000000000006"/>
  </r>
  <r>
    <x v="4"/>
    <d v="2026-05-29T00:00:00"/>
    <s v="Fri"/>
    <s v="Weekday"/>
    <x v="9"/>
    <n v="1604"/>
    <n v="87"/>
    <n v="84"/>
    <n v="1607"/>
    <n v="96.6"/>
  </r>
  <r>
    <x v="4"/>
    <d v="2026-05-29T00:00:00"/>
    <s v="Fri"/>
    <s v="Weekday"/>
    <x v="10"/>
    <n v="5360"/>
    <n v="162"/>
    <n v="100"/>
    <n v="5422"/>
    <n v="61.7"/>
  </r>
  <r>
    <x v="4"/>
    <d v="2026-05-30T00:00:00"/>
    <s v="Sat"/>
    <s v="Weekend"/>
    <x v="0"/>
    <n v="4302"/>
    <n v="71"/>
    <n v="58"/>
    <n v="4315"/>
    <n v="81.7"/>
  </r>
  <r>
    <x v="4"/>
    <d v="2026-05-30T00:00:00"/>
    <s v="Sat"/>
    <s v="Weekend"/>
    <x v="1"/>
    <n v="3110"/>
    <n v="38"/>
    <n v="33"/>
    <n v="3115"/>
    <n v="86.8"/>
  </r>
  <r>
    <x v="4"/>
    <d v="2026-05-30T00:00:00"/>
    <s v="Sat"/>
    <s v="Weekend"/>
    <x v="2"/>
    <n v="5075"/>
    <n v="38"/>
    <n v="28"/>
    <n v="5085"/>
    <n v="73.7"/>
  </r>
  <r>
    <x v="4"/>
    <d v="2026-05-30T00:00:00"/>
    <s v="Sat"/>
    <s v="Weekend"/>
    <x v="3"/>
    <n v="2155"/>
    <n v="47"/>
    <n v="38"/>
    <n v="2164"/>
    <n v="80.900000000000006"/>
  </r>
  <r>
    <x v="4"/>
    <d v="2026-05-30T00:00:00"/>
    <s v="Sat"/>
    <s v="Weekend"/>
    <x v="4"/>
    <n v="5232"/>
    <n v="68"/>
    <n v="51"/>
    <n v="5249"/>
    <n v="75"/>
  </r>
  <r>
    <x v="4"/>
    <d v="2026-05-30T00:00:00"/>
    <s v="Sat"/>
    <s v="Weekend"/>
    <x v="5"/>
    <n v="2695"/>
    <n v="38"/>
    <n v="32"/>
    <n v="2701"/>
    <n v="84.2"/>
  </r>
  <r>
    <x v="4"/>
    <d v="2026-05-30T00:00:00"/>
    <s v="Sat"/>
    <s v="Weekend"/>
    <x v="6"/>
    <n v="2896"/>
    <n v="44"/>
    <n v="39"/>
    <n v="2901"/>
    <n v="88.6"/>
  </r>
  <r>
    <x v="4"/>
    <d v="2026-05-30T00:00:00"/>
    <s v="Sat"/>
    <s v="Weekend"/>
    <x v="7"/>
    <n v="3368"/>
    <n v="41"/>
    <n v="31"/>
    <n v="3378"/>
    <n v="75.599999999999994"/>
  </r>
  <r>
    <x v="4"/>
    <d v="2026-05-30T00:00:00"/>
    <s v="Sat"/>
    <s v="Weekend"/>
    <x v="8"/>
    <n v="4336"/>
    <n v="64"/>
    <n v="53"/>
    <n v="4347"/>
    <n v="82.8"/>
  </r>
  <r>
    <x v="4"/>
    <d v="2026-05-30T00:00:00"/>
    <s v="Sat"/>
    <s v="Weekend"/>
    <x v="9"/>
    <n v="1607"/>
    <n v="28"/>
    <n v="23"/>
    <n v="1612"/>
    <n v="82.1"/>
  </r>
  <r>
    <x v="4"/>
    <d v="2026-05-30T00:00:00"/>
    <s v="Sat"/>
    <s v="Weekend"/>
    <x v="10"/>
    <n v="5422"/>
    <n v="81"/>
    <n v="63"/>
    <n v="5440"/>
    <n v="77.8"/>
  </r>
  <r>
    <x v="4"/>
    <d v="2026-05-31T00:00:00"/>
    <s v="Sun"/>
    <s v="Weekend"/>
    <x v="0"/>
    <n v="4315"/>
    <n v="44"/>
    <n v="37"/>
    <n v="4322"/>
    <n v="84.1"/>
  </r>
  <r>
    <x v="4"/>
    <d v="2026-05-31T00:00:00"/>
    <s v="Sun"/>
    <s v="Weekend"/>
    <x v="1"/>
    <n v="3115"/>
    <n v="36"/>
    <n v="29"/>
    <n v="3122"/>
    <n v="80.599999999999994"/>
  </r>
  <r>
    <x v="4"/>
    <d v="2026-05-31T00:00:00"/>
    <s v="Sun"/>
    <s v="Weekend"/>
    <x v="2"/>
    <n v="5085"/>
    <n v="39"/>
    <n v="30"/>
    <n v="5094"/>
    <n v="76.900000000000006"/>
  </r>
  <r>
    <x v="4"/>
    <d v="2026-05-31T00:00:00"/>
    <s v="Sun"/>
    <s v="Weekend"/>
    <x v="3"/>
    <n v="2164"/>
    <n v="47"/>
    <n v="43"/>
    <n v="2168"/>
    <n v="91.5"/>
  </r>
  <r>
    <x v="4"/>
    <d v="2026-05-31T00:00:00"/>
    <s v="Sun"/>
    <s v="Weekend"/>
    <x v="4"/>
    <n v="5249"/>
    <n v="46"/>
    <n v="36"/>
    <n v="5259"/>
    <n v="78.3"/>
  </r>
  <r>
    <x v="4"/>
    <d v="2026-05-31T00:00:00"/>
    <s v="Sun"/>
    <s v="Weekend"/>
    <x v="5"/>
    <n v="2701"/>
    <n v="27"/>
    <n v="20"/>
    <n v="2708"/>
    <n v="74.099999999999994"/>
  </r>
  <r>
    <x v="4"/>
    <d v="2026-05-31T00:00:00"/>
    <s v="Sun"/>
    <s v="Weekend"/>
    <x v="6"/>
    <n v="2901"/>
    <n v="35"/>
    <n v="27"/>
    <n v="2909"/>
    <n v="77.099999999999994"/>
  </r>
  <r>
    <x v="4"/>
    <d v="2026-05-31T00:00:00"/>
    <s v="Sun"/>
    <s v="Weekend"/>
    <x v="7"/>
    <n v="3378"/>
    <n v="43"/>
    <n v="35"/>
    <n v="3386"/>
    <n v="81.400000000000006"/>
  </r>
  <r>
    <x v="4"/>
    <d v="2026-05-31T00:00:00"/>
    <s v="Sun"/>
    <s v="Weekend"/>
    <x v="8"/>
    <n v="4347"/>
    <n v="66"/>
    <n v="44"/>
    <n v="4369"/>
    <n v="66.7"/>
  </r>
  <r>
    <x v="4"/>
    <d v="2026-05-31T00:00:00"/>
    <s v="Sun"/>
    <s v="Weekend"/>
    <x v="9"/>
    <n v="1612"/>
    <n v="48"/>
    <n v="43"/>
    <n v="1617"/>
    <n v="89.6"/>
  </r>
  <r>
    <x v="4"/>
    <d v="2026-05-31T00:00:00"/>
    <s v="Sun"/>
    <s v="Weekend"/>
    <x v="10"/>
    <n v="5440"/>
    <n v="43"/>
    <n v="29"/>
    <n v="5454"/>
    <n v="67.400000000000006"/>
  </r>
  <r>
    <x v="5"/>
    <d v="2026-06-01T00:00:00"/>
    <s v="Mon"/>
    <s v="Weekday"/>
    <x v="0"/>
    <n v="4322"/>
    <n v="110"/>
    <n v="83"/>
    <n v="4349"/>
    <n v="75.5"/>
  </r>
  <r>
    <x v="5"/>
    <d v="2026-06-01T00:00:00"/>
    <s v="Mon"/>
    <s v="Weekday"/>
    <x v="1"/>
    <n v="3122"/>
    <n v="75"/>
    <n v="63"/>
    <n v="3134"/>
    <n v="84"/>
  </r>
  <r>
    <x v="5"/>
    <d v="2026-06-01T00:00:00"/>
    <s v="Mon"/>
    <s v="Weekday"/>
    <x v="2"/>
    <n v="5094"/>
    <n v="118"/>
    <n v="70"/>
    <n v="5142"/>
    <n v="59.3"/>
  </r>
  <r>
    <x v="5"/>
    <d v="2026-06-01T00:00:00"/>
    <s v="Mon"/>
    <s v="Weekday"/>
    <x v="3"/>
    <n v="2168"/>
    <n v="80"/>
    <n v="63"/>
    <n v="2185"/>
    <n v="78.8"/>
  </r>
  <r>
    <x v="5"/>
    <d v="2026-06-01T00:00:00"/>
    <s v="Mon"/>
    <s v="Weekday"/>
    <x v="4"/>
    <n v="5259"/>
    <n v="142"/>
    <n v="113"/>
    <n v="5288"/>
    <n v="79.599999999999994"/>
  </r>
  <r>
    <x v="5"/>
    <d v="2026-06-01T00:00:00"/>
    <s v="Mon"/>
    <s v="Weekday"/>
    <x v="5"/>
    <n v="2708"/>
    <n v="59"/>
    <n v="42"/>
    <n v="2725"/>
    <n v="71.2"/>
  </r>
  <r>
    <x v="5"/>
    <d v="2026-06-01T00:00:00"/>
    <s v="Mon"/>
    <s v="Weekday"/>
    <x v="6"/>
    <n v="2909"/>
    <n v="79"/>
    <n v="65"/>
    <n v="2923"/>
    <n v="82.3"/>
  </r>
  <r>
    <x v="5"/>
    <d v="2026-06-01T00:00:00"/>
    <s v="Mon"/>
    <s v="Weekday"/>
    <x v="7"/>
    <n v="3386"/>
    <n v="123"/>
    <n v="96"/>
    <n v="3413"/>
    <n v="78"/>
  </r>
  <r>
    <x v="5"/>
    <d v="2026-06-01T00:00:00"/>
    <s v="Mon"/>
    <s v="Weekday"/>
    <x v="8"/>
    <n v="4369"/>
    <n v="102"/>
    <n v="80"/>
    <n v="4391"/>
    <n v="78.400000000000006"/>
  </r>
  <r>
    <x v="5"/>
    <d v="2026-06-01T00:00:00"/>
    <s v="Mon"/>
    <s v="Weekday"/>
    <x v="9"/>
    <n v="1617"/>
    <n v="83"/>
    <n v="64"/>
    <n v="1636"/>
    <n v="77.099999999999994"/>
  </r>
  <r>
    <x v="5"/>
    <d v="2026-06-01T00:00:00"/>
    <s v="Mon"/>
    <s v="Weekday"/>
    <x v="10"/>
    <n v="5454"/>
    <n v="105"/>
    <n v="64"/>
    <n v="5495"/>
    <n v="61"/>
  </r>
  <r>
    <x v="5"/>
    <d v="2026-06-02T00:00:00"/>
    <s v="Tue"/>
    <s v="Weekday"/>
    <x v="0"/>
    <n v="4349"/>
    <n v="94"/>
    <n v="70"/>
    <n v="4373"/>
    <n v="74.5"/>
  </r>
  <r>
    <x v="5"/>
    <d v="2026-06-02T00:00:00"/>
    <s v="Tue"/>
    <s v="Weekday"/>
    <x v="1"/>
    <n v="3134"/>
    <n v="85"/>
    <n v="68"/>
    <n v="3151"/>
    <n v="80"/>
  </r>
  <r>
    <x v="5"/>
    <d v="2026-06-02T00:00:00"/>
    <s v="Tue"/>
    <s v="Weekday"/>
    <x v="2"/>
    <n v="5142"/>
    <n v="105"/>
    <n v="64"/>
    <n v="5183"/>
    <n v="61"/>
  </r>
  <r>
    <x v="5"/>
    <d v="2026-06-02T00:00:00"/>
    <s v="Tue"/>
    <s v="Weekday"/>
    <x v="3"/>
    <n v="2185"/>
    <n v="75"/>
    <n v="69"/>
    <n v="2191"/>
    <n v="92"/>
  </r>
  <r>
    <x v="5"/>
    <d v="2026-06-02T00:00:00"/>
    <s v="Tue"/>
    <s v="Weekday"/>
    <x v="4"/>
    <n v="5288"/>
    <n v="179"/>
    <n v="139"/>
    <n v="5328"/>
    <n v="77.7"/>
  </r>
  <r>
    <x v="5"/>
    <d v="2026-06-02T00:00:00"/>
    <s v="Tue"/>
    <s v="Weekday"/>
    <x v="5"/>
    <n v="2725"/>
    <n v="54"/>
    <n v="37"/>
    <n v="2742"/>
    <n v="68.5"/>
  </r>
  <r>
    <x v="5"/>
    <d v="2026-06-02T00:00:00"/>
    <s v="Tue"/>
    <s v="Weekday"/>
    <x v="6"/>
    <n v="2923"/>
    <n v="138"/>
    <n v="118"/>
    <n v="2943"/>
    <n v="85.5"/>
  </r>
  <r>
    <x v="5"/>
    <d v="2026-06-02T00:00:00"/>
    <s v="Tue"/>
    <s v="Weekday"/>
    <x v="7"/>
    <n v="3413"/>
    <n v="99"/>
    <n v="65"/>
    <n v="3447"/>
    <n v="65.7"/>
  </r>
  <r>
    <x v="5"/>
    <d v="2026-06-02T00:00:00"/>
    <s v="Tue"/>
    <s v="Weekday"/>
    <x v="8"/>
    <n v="4391"/>
    <n v="150"/>
    <n v="114"/>
    <n v="4427"/>
    <n v="76"/>
  </r>
  <r>
    <x v="5"/>
    <d v="2026-06-02T00:00:00"/>
    <s v="Tue"/>
    <s v="Weekday"/>
    <x v="9"/>
    <n v="1636"/>
    <n v="70"/>
    <n v="65"/>
    <n v="1641"/>
    <n v="92.9"/>
  </r>
  <r>
    <x v="5"/>
    <d v="2026-06-02T00:00:00"/>
    <s v="Tue"/>
    <s v="Weekday"/>
    <x v="10"/>
    <n v="5495"/>
    <n v="113"/>
    <n v="77"/>
    <n v="5531"/>
    <n v="68.099999999999994"/>
  </r>
  <r>
    <x v="5"/>
    <d v="2026-06-03T00:00:00"/>
    <s v="Wed"/>
    <s v="Weekday"/>
    <x v="0"/>
    <n v="4373"/>
    <n v="90"/>
    <n v="74"/>
    <n v="4389"/>
    <n v="82.2"/>
  </r>
  <r>
    <x v="5"/>
    <d v="2026-06-03T00:00:00"/>
    <s v="Wed"/>
    <s v="Weekday"/>
    <x v="1"/>
    <n v="3151"/>
    <n v="93"/>
    <n v="67"/>
    <n v="3177"/>
    <n v="72"/>
  </r>
  <r>
    <x v="5"/>
    <d v="2026-06-03T00:00:00"/>
    <s v="Wed"/>
    <s v="Weekday"/>
    <x v="2"/>
    <n v="5183"/>
    <n v="157"/>
    <n v="95"/>
    <n v="5245"/>
    <n v="60.5"/>
  </r>
  <r>
    <x v="5"/>
    <d v="2026-06-03T00:00:00"/>
    <s v="Wed"/>
    <s v="Weekday"/>
    <x v="3"/>
    <n v="2191"/>
    <n v="84"/>
    <n v="78"/>
    <n v="2197"/>
    <n v="92.9"/>
  </r>
  <r>
    <x v="5"/>
    <d v="2026-06-03T00:00:00"/>
    <s v="Wed"/>
    <s v="Weekday"/>
    <x v="4"/>
    <n v="5328"/>
    <n v="105"/>
    <n v="85"/>
    <n v="5348"/>
    <n v="81"/>
  </r>
  <r>
    <x v="5"/>
    <d v="2026-06-03T00:00:00"/>
    <s v="Wed"/>
    <s v="Weekday"/>
    <x v="5"/>
    <n v="2742"/>
    <n v="74"/>
    <n v="61"/>
    <n v="2755"/>
    <n v="82.4"/>
  </r>
  <r>
    <x v="5"/>
    <d v="2026-06-03T00:00:00"/>
    <s v="Wed"/>
    <s v="Weekday"/>
    <x v="6"/>
    <n v="2943"/>
    <n v="107"/>
    <n v="77"/>
    <n v="2973"/>
    <n v="72"/>
  </r>
  <r>
    <x v="5"/>
    <d v="2026-06-03T00:00:00"/>
    <s v="Wed"/>
    <s v="Weekday"/>
    <x v="7"/>
    <n v="3447"/>
    <n v="87"/>
    <n v="59"/>
    <n v="3475"/>
    <n v="67.8"/>
  </r>
  <r>
    <x v="5"/>
    <d v="2026-06-03T00:00:00"/>
    <s v="Wed"/>
    <s v="Weekday"/>
    <x v="8"/>
    <n v="4427"/>
    <n v="129"/>
    <n v="89"/>
    <n v="4467"/>
    <n v="69"/>
  </r>
  <r>
    <x v="5"/>
    <d v="2026-06-03T00:00:00"/>
    <s v="Wed"/>
    <s v="Weekday"/>
    <x v="9"/>
    <n v="1641"/>
    <n v="101"/>
    <n v="98"/>
    <n v="1644"/>
    <n v="97"/>
  </r>
  <r>
    <x v="5"/>
    <d v="2026-06-03T00:00:00"/>
    <s v="Wed"/>
    <s v="Weekday"/>
    <x v="10"/>
    <n v="5531"/>
    <n v="108"/>
    <n v="83"/>
    <n v="5556"/>
    <n v="76.900000000000006"/>
  </r>
  <r>
    <x v="5"/>
    <d v="2026-06-04T00:00:00"/>
    <s v="Thu"/>
    <s v="Weekday"/>
    <x v="0"/>
    <n v="4389"/>
    <n v="139"/>
    <n v="112"/>
    <n v="4416"/>
    <n v="80.599999999999994"/>
  </r>
  <r>
    <x v="5"/>
    <d v="2026-06-04T00:00:00"/>
    <s v="Thu"/>
    <s v="Weekday"/>
    <x v="1"/>
    <n v="3177"/>
    <n v="100"/>
    <n v="90"/>
    <n v="3187"/>
    <n v="90"/>
  </r>
  <r>
    <x v="5"/>
    <d v="2026-06-04T00:00:00"/>
    <s v="Thu"/>
    <s v="Weekday"/>
    <x v="2"/>
    <n v="5245"/>
    <n v="113"/>
    <n v="71"/>
    <n v="5287"/>
    <n v="62.8"/>
  </r>
  <r>
    <x v="5"/>
    <d v="2026-06-04T00:00:00"/>
    <s v="Thu"/>
    <s v="Weekday"/>
    <x v="3"/>
    <n v="2197"/>
    <n v="64"/>
    <n v="59"/>
    <n v="2202"/>
    <n v="92.2"/>
  </r>
  <r>
    <x v="5"/>
    <d v="2026-06-04T00:00:00"/>
    <s v="Thu"/>
    <s v="Weekday"/>
    <x v="4"/>
    <n v="5348"/>
    <n v="158"/>
    <n v="99"/>
    <n v="5407"/>
    <n v="62.7"/>
  </r>
  <r>
    <x v="5"/>
    <d v="2026-06-04T00:00:00"/>
    <s v="Thu"/>
    <s v="Weekday"/>
    <x v="5"/>
    <n v="2755"/>
    <n v="68"/>
    <n v="49"/>
    <n v="2774"/>
    <n v="72.099999999999994"/>
  </r>
  <r>
    <x v="5"/>
    <d v="2026-06-04T00:00:00"/>
    <s v="Thu"/>
    <s v="Weekday"/>
    <x v="6"/>
    <n v="2973"/>
    <n v="80"/>
    <n v="63"/>
    <n v="2990"/>
    <n v="78.8"/>
  </r>
  <r>
    <x v="5"/>
    <d v="2026-06-04T00:00:00"/>
    <s v="Thu"/>
    <s v="Weekday"/>
    <x v="7"/>
    <n v="3475"/>
    <n v="121"/>
    <n v="80"/>
    <n v="3516"/>
    <n v="66.099999999999994"/>
  </r>
  <r>
    <x v="5"/>
    <d v="2026-06-04T00:00:00"/>
    <s v="Thu"/>
    <s v="Weekday"/>
    <x v="8"/>
    <n v="4467"/>
    <n v="125"/>
    <n v="89"/>
    <n v="4503"/>
    <n v="71.2"/>
  </r>
  <r>
    <x v="5"/>
    <d v="2026-06-04T00:00:00"/>
    <s v="Thu"/>
    <s v="Weekday"/>
    <x v="9"/>
    <n v="1644"/>
    <n v="87"/>
    <n v="79"/>
    <n v="1652"/>
    <n v="90.8"/>
  </r>
  <r>
    <x v="5"/>
    <d v="2026-06-04T00:00:00"/>
    <s v="Thu"/>
    <s v="Weekday"/>
    <x v="10"/>
    <n v="5556"/>
    <n v="164"/>
    <n v="130"/>
    <n v="5590"/>
    <n v="79.3"/>
  </r>
  <r>
    <x v="5"/>
    <d v="2026-06-05T00:00:00"/>
    <s v="Fri"/>
    <s v="Weekday"/>
    <x v="0"/>
    <n v="4416"/>
    <n v="95"/>
    <n v="72"/>
    <n v="4439"/>
    <n v="75.8"/>
  </r>
  <r>
    <x v="5"/>
    <d v="2026-06-05T00:00:00"/>
    <s v="Fri"/>
    <s v="Weekday"/>
    <x v="1"/>
    <n v="3187"/>
    <n v="97"/>
    <n v="79"/>
    <n v="3205"/>
    <n v="81.400000000000006"/>
  </r>
  <r>
    <x v="5"/>
    <d v="2026-06-05T00:00:00"/>
    <s v="Fri"/>
    <s v="Weekday"/>
    <x v="2"/>
    <n v="5287"/>
    <n v="146"/>
    <n v="115"/>
    <n v="5318"/>
    <n v="78.8"/>
  </r>
  <r>
    <x v="5"/>
    <d v="2026-06-05T00:00:00"/>
    <s v="Fri"/>
    <s v="Weekday"/>
    <x v="3"/>
    <n v="2202"/>
    <n v="84"/>
    <n v="73"/>
    <n v="2213"/>
    <n v="86.9"/>
  </r>
  <r>
    <x v="5"/>
    <d v="2026-06-05T00:00:00"/>
    <s v="Fri"/>
    <s v="Weekday"/>
    <x v="4"/>
    <n v="5407"/>
    <n v="123"/>
    <n v="91"/>
    <n v="5439"/>
    <n v="74"/>
  </r>
  <r>
    <x v="5"/>
    <d v="2026-06-05T00:00:00"/>
    <s v="Fri"/>
    <s v="Weekday"/>
    <x v="5"/>
    <n v="2774"/>
    <n v="94"/>
    <n v="78"/>
    <n v="2790"/>
    <n v="83"/>
  </r>
  <r>
    <x v="5"/>
    <d v="2026-06-05T00:00:00"/>
    <s v="Fri"/>
    <s v="Weekday"/>
    <x v="6"/>
    <n v="2990"/>
    <n v="122"/>
    <n v="112"/>
    <n v="3000"/>
    <n v="91.8"/>
  </r>
  <r>
    <x v="5"/>
    <d v="2026-06-05T00:00:00"/>
    <s v="Fri"/>
    <s v="Weekday"/>
    <x v="7"/>
    <n v="3516"/>
    <n v="98"/>
    <n v="72"/>
    <n v="3542"/>
    <n v="73.5"/>
  </r>
  <r>
    <x v="5"/>
    <d v="2026-06-05T00:00:00"/>
    <s v="Fri"/>
    <s v="Weekday"/>
    <x v="8"/>
    <n v="4503"/>
    <n v="95"/>
    <n v="73"/>
    <n v="4525"/>
    <n v="76.8"/>
  </r>
  <r>
    <x v="5"/>
    <d v="2026-06-05T00:00:00"/>
    <s v="Fri"/>
    <s v="Weekday"/>
    <x v="9"/>
    <n v="1652"/>
    <n v="60"/>
    <n v="52"/>
    <n v="1660"/>
    <n v="86.7"/>
  </r>
  <r>
    <x v="5"/>
    <d v="2026-06-05T00:00:00"/>
    <s v="Fri"/>
    <s v="Weekday"/>
    <x v="10"/>
    <n v="5590"/>
    <n v="118"/>
    <n v="88"/>
    <n v="5620"/>
    <n v="74.599999999999994"/>
  </r>
  <r>
    <x v="5"/>
    <d v="2026-06-06T00:00:00"/>
    <s v="Sat"/>
    <s v="Weekend"/>
    <x v="0"/>
    <n v="4439"/>
    <n v="70"/>
    <n v="56"/>
    <n v="4453"/>
    <n v="80"/>
  </r>
  <r>
    <x v="5"/>
    <d v="2026-06-06T00:00:00"/>
    <s v="Sat"/>
    <s v="Weekend"/>
    <x v="1"/>
    <n v="3205"/>
    <n v="55"/>
    <n v="40"/>
    <n v="3220"/>
    <n v="72.7"/>
  </r>
  <r>
    <x v="5"/>
    <d v="2026-06-06T00:00:00"/>
    <s v="Sat"/>
    <s v="Weekend"/>
    <x v="2"/>
    <n v="5318"/>
    <n v="80"/>
    <n v="62"/>
    <n v="5336"/>
    <n v="77.5"/>
  </r>
  <r>
    <x v="5"/>
    <d v="2026-06-06T00:00:00"/>
    <s v="Sat"/>
    <s v="Weekend"/>
    <x v="3"/>
    <n v="2213"/>
    <n v="46"/>
    <n v="41"/>
    <n v="2218"/>
    <n v="89.1"/>
  </r>
  <r>
    <x v="5"/>
    <d v="2026-06-06T00:00:00"/>
    <s v="Sat"/>
    <s v="Weekend"/>
    <x v="4"/>
    <n v="5439"/>
    <n v="42"/>
    <n v="31"/>
    <n v="5450"/>
    <n v="73.8"/>
  </r>
  <r>
    <x v="5"/>
    <d v="2026-06-06T00:00:00"/>
    <s v="Sat"/>
    <s v="Weekend"/>
    <x v="5"/>
    <n v="2790"/>
    <n v="47"/>
    <n v="35"/>
    <n v="2802"/>
    <n v="74.5"/>
  </r>
  <r>
    <x v="5"/>
    <d v="2026-06-06T00:00:00"/>
    <s v="Sat"/>
    <s v="Weekend"/>
    <x v="6"/>
    <n v="3000"/>
    <n v="70"/>
    <n v="62"/>
    <n v="3008"/>
    <n v="88.6"/>
  </r>
  <r>
    <x v="5"/>
    <d v="2026-06-06T00:00:00"/>
    <s v="Sat"/>
    <s v="Weekend"/>
    <x v="7"/>
    <n v="3542"/>
    <n v="29"/>
    <n v="19"/>
    <n v="3552"/>
    <n v="65.5"/>
  </r>
  <r>
    <x v="5"/>
    <d v="2026-06-06T00:00:00"/>
    <s v="Sat"/>
    <s v="Weekend"/>
    <x v="8"/>
    <n v="4525"/>
    <n v="76"/>
    <n v="60"/>
    <n v="4541"/>
    <n v="78.900000000000006"/>
  </r>
  <r>
    <x v="5"/>
    <d v="2026-06-06T00:00:00"/>
    <s v="Sat"/>
    <s v="Weekend"/>
    <x v="9"/>
    <n v="1660"/>
    <n v="33"/>
    <n v="27"/>
    <n v="1666"/>
    <n v="81.8"/>
  </r>
  <r>
    <x v="5"/>
    <d v="2026-06-06T00:00:00"/>
    <s v="Sat"/>
    <s v="Weekend"/>
    <x v="10"/>
    <n v="5620"/>
    <n v="39"/>
    <n v="25"/>
    <n v="5634"/>
    <n v="64.099999999999994"/>
  </r>
  <r>
    <x v="5"/>
    <d v="2026-06-07T00:00:00"/>
    <s v="Sun"/>
    <s v="Weekend"/>
    <x v="0"/>
    <n v="4453"/>
    <n v="55"/>
    <n v="40"/>
    <n v="4468"/>
    <n v="72.7"/>
  </r>
  <r>
    <x v="5"/>
    <d v="2026-06-07T00:00:00"/>
    <s v="Sun"/>
    <s v="Weekend"/>
    <x v="1"/>
    <n v="3220"/>
    <n v="52"/>
    <n v="45"/>
    <n v="3227"/>
    <n v="86.5"/>
  </r>
  <r>
    <x v="5"/>
    <d v="2026-06-07T00:00:00"/>
    <s v="Sun"/>
    <s v="Weekend"/>
    <x v="2"/>
    <n v="5336"/>
    <n v="38"/>
    <n v="24"/>
    <n v="5350"/>
    <n v="63.2"/>
  </r>
  <r>
    <x v="5"/>
    <d v="2026-06-07T00:00:00"/>
    <s v="Sun"/>
    <s v="Weekend"/>
    <x v="3"/>
    <n v="2218"/>
    <n v="52"/>
    <n v="44"/>
    <n v="2226"/>
    <n v="84.6"/>
  </r>
  <r>
    <x v="5"/>
    <d v="2026-06-07T00:00:00"/>
    <s v="Sun"/>
    <s v="Weekend"/>
    <x v="4"/>
    <n v="5450"/>
    <n v="63"/>
    <n v="46"/>
    <n v="5467"/>
    <n v="73"/>
  </r>
  <r>
    <x v="5"/>
    <d v="2026-06-07T00:00:00"/>
    <s v="Sun"/>
    <s v="Weekend"/>
    <x v="5"/>
    <n v="2802"/>
    <n v="24"/>
    <n v="20"/>
    <n v="2806"/>
    <n v="83.3"/>
  </r>
  <r>
    <x v="5"/>
    <d v="2026-06-07T00:00:00"/>
    <s v="Sun"/>
    <s v="Weekend"/>
    <x v="6"/>
    <n v="3008"/>
    <n v="38"/>
    <n v="32"/>
    <n v="3014"/>
    <n v="84.2"/>
  </r>
  <r>
    <x v="5"/>
    <d v="2026-06-07T00:00:00"/>
    <s v="Sun"/>
    <s v="Weekend"/>
    <x v="7"/>
    <n v="3552"/>
    <n v="51"/>
    <n v="38"/>
    <n v="3565"/>
    <n v="74.5"/>
  </r>
  <r>
    <x v="5"/>
    <d v="2026-06-07T00:00:00"/>
    <s v="Sun"/>
    <s v="Weekend"/>
    <x v="8"/>
    <n v="4541"/>
    <n v="75"/>
    <n v="56"/>
    <n v="4560"/>
    <n v="74.7"/>
  </r>
  <r>
    <x v="5"/>
    <d v="2026-06-07T00:00:00"/>
    <s v="Sun"/>
    <s v="Weekend"/>
    <x v="9"/>
    <n v="1666"/>
    <n v="29"/>
    <n v="22"/>
    <n v="1673"/>
    <n v="75.900000000000006"/>
  </r>
  <r>
    <x v="5"/>
    <d v="2026-06-07T00:00:00"/>
    <s v="Sun"/>
    <s v="Weekend"/>
    <x v="10"/>
    <n v="5634"/>
    <n v="39"/>
    <n v="25"/>
    <n v="5648"/>
    <n v="64.099999999999994"/>
  </r>
  <r>
    <x v="5"/>
    <d v="2026-06-08T00:00:00"/>
    <s v="Mon"/>
    <s v="Weekday"/>
    <x v="0"/>
    <n v="4468"/>
    <n v="137"/>
    <n v="95"/>
    <n v="4510"/>
    <n v="69.3"/>
  </r>
  <r>
    <x v="5"/>
    <d v="2026-06-08T00:00:00"/>
    <s v="Mon"/>
    <s v="Weekday"/>
    <x v="1"/>
    <n v="3227"/>
    <n v="109"/>
    <n v="85"/>
    <n v="3251"/>
    <n v="78"/>
  </r>
  <r>
    <x v="5"/>
    <d v="2026-06-08T00:00:00"/>
    <s v="Mon"/>
    <s v="Weekday"/>
    <x v="2"/>
    <n v="5350"/>
    <n v="152"/>
    <n v="97"/>
    <n v="5405"/>
    <n v="63.8"/>
  </r>
  <r>
    <x v="5"/>
    <d v="2026-06-08T00:00:00"/>
    <s v="Mon"/>
    <s v="Weekday"/>
    <x v="3"/>
    <n v="2226"/>
    <n v="67"/>
    <n v="52"/>
    <n v="2241"/>
    <n v="77.599999999999994"/>
  </r>
  <r>
    <x v="5"/>
    <d v="2026-06-08T00:00:00"/>
    <s v="Mon"/>
    <s v="Weekday"/>
    <x v="4"/>
    <n v="5467"/>
    <n v="109"/>
    <n v="81"/>
    <n v="5495"/>
    <n v="74.3"/>
  </r>
  <r>
    <x v="5"/>
    <d v="2026-06-08T00:00:00"/>
    <s v="Mon"/>
    <s v="Weekday"/>
    <x v="5"/>
    <n v="2806"/>
    <n v="61"/>
    <n v="52"/>
    <n v="2815"/>
    <n v="85.2"/>
  </r>
  <r>
    <x v="5"/>
    <d v="2026-06-08T00:00:00"/>
    <s v="Mon"/>
    <s v="Weekday"/>
    <x v="6"/>
    <n v="3014"/>
    <n v="131"/>
    <n v="96"/>
    <n v="3049"/>
    <n v="73.3"/>
  </r>
  <r>
    <x v="5"/>
    <d v="2026-06-08T00:00:00"/>
    <s v="Mon"/>
    <s v="Weekday"/>
    <x v="7"/>
    <n v="3565"/>
    <n v="116"/>
    <n v="97"/>
    <n v="3584"/>
    <n v="83.6"/>
  </r>
  <r>
    <x v="5"/>
    <d v="2026-06-08T00:00:00"/>
    <s v="Mon"/>
    <s v="Weekday"/>
    <x v="8"/>
    <n v="4560"/>
    <n v="125"/>
    <n v="101"/>
    <n v="4584"/>
    <n v="80.8"/>
  </r>
  <r>
    <x v="5"/>
    <d v="2026-06-08T00:00:00"/>
    <s v="Mon"/>
    <s v="Weekday"/>
    <x v="9"/>
    <n v="1673"/>
    <n v="77"/>
    <n v="62"/>
    <n v="1688"/>
    <n v="80.5"/>
  </r>
  <r>
    <x v="5"/>
    <d v="2026-06-08T00:00:00"/>
    <s v="Mon"/>
    <s v="Weekday"/>
    <x v="10"/>
    <n v="5648"/>
    <n v="165"/>
    <n v="118"/>
    <n v="5695"/>
    <n v="71.5"/>
  </r>
  <r>
    <x v="5"/>
    <d v="2026-06-09T00:00:00"/>
    <s v="Tue"/>
    <s v="Weekday"/>
    <x v="0"/>
    <n v="4510"/>
    <n v="97"/>
    <n v="70"/>
    <n v="4537"/>
    <n v="72.2"/>
  </r>
  <r>
    <x v="5"/>
    <d v="2026-06-09T00:00:00"/>
    <s v="Tue"/>
    <s v="Weekday"/>
    <x v="1"/>
    <n v="3251"/>
    <n v="120"/>
    <n v="99"/>
    <n v="3272"/>
    <n v="82.5"/>
  </r>
  <r>
    <x v="5"/>
    <d v="2026-06-09T00:00:00"/>
    <s v="Tue"/>
    <s v="Weekday"/>
    <x v="2"/>
    <n v="5405"/>
    <n v="93"/>
    <n v="66"/>
    <n v="5432"/>
    <n v="71"/>
  </r>
  <r>
    <x v="5"/>
    <d v="2026-06-09T00:00:00"/>
    <s v="Tue"/>
    <s v="Weekday"/>
    <x v="3"/>
    <n v="2241"/>
    <n v="95"/>
    <n v="89"/>
    <n v="2247"/>
    <n v="93.7"/>
  </r>
  <r>
    <x v="5"/>
    <d v="2026-06-09T00:00:00"/>
    <s v="Tue"/>
    <s v="Weekday"/>
    <x v="4"/>
    <n v="5495"/>
    <n v="147"/>
    <n v="105"/>
    <n v="5537"/>
    <n v="71.400000000000006"/>
  </r>
  <r>
    <x v="5"/>
    <d v="2026-06-09T00:00:00"/>
    <s v="Tue"/>
    <s v="Weekday"/>
    <x v="5"/>
    <n v="2815"/>
    <n v="101"/>
    <n v="85"/>
    <n v="2831"/>
    <n v="84.2"/>
  </r>
  <r>
    <x v="5"/>
    <d v="2026-06-09T00:00:00"/>
    <s v="Tue"/>
    <s v="Weekday"/>
    <x v="6"/>
    <n v="3049"/>
    <n v="91"/>
    <n v="67"/>
    <n v="3073"/>
    <n v="73.599999999999994"/>
  </r>
  <r>
    <x v="5"/>
    <d v="2026-06-09T00:00:00"/>
    <s v="Tue"/>
    <s v="Weekday"/>
    <x v="7"/>
    <n v="3584"/>
    <n v="69"/>
    <n v="49"/>
    <n v="3604"/>
    <n v="71"/>
  </r>
  <r>
    <x v="5"/>
    <d v="2026-06-09T00:00:00"/>
    <s v="Tue"/>
    <s v="Weekday"/>
    <x v="8"/>
    <n v="4584"/>
    <n v="135"/>
    <n v="108"/>
    <n v="4611"/>
    <n v="80"/>
  </r>
  <r>
    <x v="5"/>
    <d v="2026-06-09T00:00:00"/>
    <s v="Tue"/>
    <s v="Weekday"/>
    <x v="9"/>
    <n v="1688"/>
    <n v="101"/>
    <n v="93"/>
    <n v="1696"/>
    <n v="92.1"/>
  </r>
  <r>
    <x v="5"/>
    <d v="2026-06-09T00:00:00"/>
    <s v="Tue"/>
    <s v="Weekday"/>
    <x v="10"/>
    <n v="5695"/>
    <n v="162"/>
    <n v="124"/>
    <n v="5733"/>
    <n v="76.5"/>
  </r>
  <r>
    <x v="5"/>
    <d v="2026-06-10T00:00:00"/>
    <s v="Wed"/>
    <s v="Weekday"/>
    <x v="0"/>
    <n v="4537"/>
    <n v="146"/>
    <n v="105"/>
    <n v="4578"/>
    <n v="71.900000000000006"/>
  </r>
  <r>
    <x v="5"/>
    <d v="2026-06-10T00:00:00"/>
    <s v="Wed"/>
    <s v="Weekday"/>
    <x v="1"/>
    <n v="3272"/>
    <n v="78"/>
    <n v="59"/>
    <n v="3291"/>
    <n v="75.599999999999994"/>
  </r>
  <r>
    <x v="5"/>
    <d v="2026-06-10T00:00:00"/>
    <s v="Wed"/>
    <s v="Weekday"/>
    <x v="2"/>
    <n v="5432"/>
    <n v="106"/>
    <n v="76"/>
    <n v="5462"/>
    <n v="71.7"/>
  </r>
  <r>
    <x v="5"/>
    <d v="2026-06-10T00:00:00"/>
    <s v="Wed"/>
    <s v="Weekday"/>
    <x v="3"/>
    <n v="2247"/>
    <n v="92"/>
    <n v="70"/>
    <n v="2269"/>
    <n v="76.099999999999994"/>
  </r>
  <r>
    <x v="5"/>
    <d v="2026-06-10T00:00:00"/>
    <s v="Wed"/>
    <s v="Weekday"/>
    <x v="4"/>
    <n v="5537"/>
    <n v="115"/>
    <n v="87"/>
    <n v="5565"/>
    <n v="75.7"/>
  </r>
  <r>
    <x v="5"/>
    <d v="2026-06-10T00:00:00"/>
    <s v="Wed"/>
    <s v="Weekday"/>
    <x v="5"/>
    <n v="2831"/>
    <n v="59"/>
    <n v="44"/>
    <n v="2846"/>
    <n v="74.599999999999994"/>
  </r>
  <r>
    <x v="5"/>
    <d v="2026-06-10T00:00:00"/>
    <s v="Wed"/>
    <s v="Weekday"/>
    <x v="6"/>
    <n v="3073"/>
    <n v="96"/>
    <n v="74"/>
    <n v="3095"/>
    <n v="77.099999999999994"/>
  </r>
  <r>
    <x v="5"/>
    <d v="2026-06-10T00:00:00"/>
    <s v="Wed"/>
    <s v="Weekday"/>
    <x v="7"/>
    <n v="3604"/>
    <n v="85"/>
    <n v="63"/>
    <n v="3626"/>
    <n v="74.099999999999994"/>
  </r>
  <r>
    <x v="5"/>
    <d v="2026-06-10T00:00:00"/>
    <s v="Wed"/>
    <s v="Weekday"/>
    <x v="8"/>
    <n v="4611"/>
    <n v="129"/>
    <n v="98"/>
    <n v="4642"/>
    <n v="76"/>
  </r>
  <r>
    <x v="5"/>
    <d v="2026-06-10T00:00:00"/>
    <s v="Wed"/>
    <s v="Weekday"/>
    <x v="9"/>
    <n v="1696"/>
    <n v="73"/>
    <n v="58"/>
    <n v="1711"/>
    <n v="79.5"/>
  </r>
  <r>
    <x v="5"/>
    <d v="2026-06-10T00:00:00"/>
    <s v="Wed"/>
    <s v="Weekday"/>
    <x v="10"/>
    <n v="5733"/>
    <n v="127"/>
    <n v="83"/>
    <n v="5777"/>
    <n v="65.400000000000006"/>
  </r>
  <r>
    <x v="5"/>
    <d v="2026-06-11T00:00:00"/>
    <s v="Thu"/>
    <s v="Weekday"/>
    <x v="0"/>
    <n v="4578"/>
    <n v="101"/>
    <n v="83"/>
    <n v="4596"/>
    <n v="82.2"/>
  </r>
  <r>
    <x v="5"/>
    <d v="2026-06-11T00:00:00"/>
    <s v="Thu"/>
    <s v="Weekday"/>
    <x v="1"/>
    <n v="3291"/>
    <n v="130"/>
    <n v="109"/>
    <n v="3312"/>
    <n v="83.8"/>
  </r>
  <r>
    <x v="5"/>
    <d v="2026-06-11T00:00:00"/>
    <s v="Thu"/>
    <s v="Weekday"/>
    <x v="2"/>
    <n v="5462"/>
    <n v="109"/>
    <n v="70"/>
    <n v="5501"/>
    <n v="64.2"/>
  </r>
  <r>
    <x v="5"/>
    <d v="2026-06-11T00:00:00"/>
    <s v="Thu"/>
    <s v="Weekday"/>
    <x v="3"/>
    <n v="2269"/>
    <n v="102"/>
    <n v="95"/>
    <n v="2276"/>
    <n v="93.1"/>
  </r>
  <r>
    <x v="5"/>
    <d v="2026-06-11T00:00:00"/>
    <s v="Thu"/>
    <s v="Weekday"/>
    <x v="4"/>
    <n v="5565"/>
    <n v="177"/>
    <n v="130"/>
    <n v="5612"/>
    <n v="73.400000000000006"/>
  </r>
  <r>
    <x v="5"/>
    <d v="2026-06-11T00:00:00"/>
    <s v="Thu"/>
    <s v="Weekday"/>
    <x v="5"/>
    <n v="2846"/>
    <n v="103"/>
    <n v="88"/>
    <n v="2861"/>
    <n v="85.4"/>
  </r>
  <r>
    <x v="5"/>
    <d v="2026-06-11T00:00:00"/>
    <s v="Thu"/>
    <s v="Weekday"/>
    <x v="6"/>
    <n v="3095"/>
    <n v="80"/>
    <n v="57"/>
    <n v="3118"/>
    <n v="71.2"/>
  </r>
  <r>
    <x v="5"/>
    <d v="2026-06-11T00:00:00"/>
    <s v="Thu"/>
    <s v="Weekday"/>
    <x v="7"/>
    <n v="3626"/>
    <n v="70"/>
    <n v="46"/>
    <n v="3650"/>
    <n v="65.7"/>
  </r>
  <r>
    <x v="5"/>
    <d v="2026-06-11T00:00:00"/>
    <s v="Thu"/>
    <s v="Weekday"/>
    <x v="8"/>
    <n v="4642"/>
    <n v="118"/>
    <n v="95"/>
    <n v="4665"/>
    <n v="80.5"/>
  </r>
  <r>
    <x v="5"/>
    <d v="2026-06-11T00:00:00"/>
    <s v="Thu"/>
    <s v="Weekday"/>
    <x v="9"/>
    <n v="1711"/>
    <n v="68"/>
    <n v="65"/>
    <n v="1714"/>
    <n v="95.6"/>
  </r>
  <r>
    <x v="5"/>
    <d v="2026-06-11T00:00:00"/>
    <s v="Thu"/>
    <s v="Weekday"/>
    <x v="10"/>
    <n v="5777"/>
    <n v="168"/>
    <n v="128"/>
    <n v="5817"/>
    <n v="76.2"/>
  </r>
  <r>
    <x v="5"/>
    <d v="2026-06-12T00:00:00"/>
    <s v="Fri"/>
    <s v="Weekday"/>
    <x v="0"/>
    <n v="4596"/>
    <n v="131"/>
    <n v="94"/>
    <n v="4633"/>
    <n v="71.8"/>
  </r>
  <r>
    <x v="5"/>
    <d v="2026-06-12T00:00:00"/>
    <s v="Fri"/>
    <s v="Weekday"/>
    <x v="1"/>
    <n v="3312"/>
    <n v="99"/>
    <n v="71"/>
    <n v="3340"/>
    <n v="71.7"/>
  </r>
  <r>
    <x v="5"/>
    <d v="2026-06-12T00:00:00"/>
    <s v="Fri"/>
    <s v="Weekday"/>
    <x v="2"/>
    <n v="5501"/>
    <n v="97"/>
    <n v="63"/>
    <n v="5535"/>
    <n v="64.900000000000006"/>
  </r>
  <r>
    <x v="5"/>
    <d v="2026-06-12T00:00:00"/>
    <s v="Fri"/>
    <s v="Weekday"/>
    <x v="3"/>
    <n v="2276"/>
    <n v="88"/>
    <n v="79"/>
    <n v="2285"/>
    <n v="89.8"/>
  </r>
  <r>
    <x v="5"/>
    <d v="2026-06-12T00:00:00"/>
    <s v="Fri"/>
    <s v="Weekday"/>
    <x v="4"/>
    <n v="5612"/>
    <n v="161"/>
    <n v="128"/>
    <n v="5645"/>
    <n v="79.5"/>
  </r>
  <r>
    <x v="5"/>
    <d v="2026-06-12T00:00:00"/>
    <s v="Fri"/>
    <s v="Weekday"/>
    <x v="5"/>
    <n v="2861"/>
    <n v="63"/>
    <n v="47"/>
    <n v="2877"/>
    <n v="74.599999999999994"/>
  </r>
  <r>
    <x v="5"/>
    <d v="2026-06-12T00:00:00"/>
    <s v="Fri"/>
    <s v="Weekday"/>
    <x v="6"/>
    <n v="3118"/>
    <n v="93"/>
    <n v="76"/>
    <n v="3135"/>
    <n v="81.7"/>
  </r>
  <r>
    <x v="5"/>
    <d v="2026-06-12T00:00:00"/>
    <s v="Fri"/>
    <s v="Weekday"/>
    <x v="7"/>
    <n v="3650"/>
    <n v="120"/>
    <n v="101"/>
    <n v="3669"/>
    <n v="84.2"/>
  </r>
  <r>
    <x v="5"/>
    <d v="2026-06-12T00:00:00"/>
    <s v="Fri"/>
    <s v="Weekday"/>
    <x v="8"/>
    <n v="4665"/>
    <n v="125"/>
    <n v="103"/>
    <n v="4687"/>
    <n v="82.4"/>
  </r>
  <r>
    <x v="5"/>
    <d v="2026-06-12T00:00:00"/>
    <s v="Fri"/>
    <s v="Weekday"/>
    <x v="9"/>
    <n v="1714"/>
    <n v="77"/>
    <n v="72"/>
    <n v="1719"/>
    <n v="93.5"/>
  </r>
  <r>
    <x v="5"/>
    <d v="2026-06-12T00:00:00"/>
    <s v="Fri"/>
    <s v="Weekday"/>
    <x v="10"/>
    <n v="5817"/>
    <n v="111"/>
    <n v="78"/>
    <n v="5850"/>
    <n v="70.3"/>
  </r>
  <r>
    <x v="5"/>
    <d v="2026-06-13T00:00:00"/>
    <s v="Sat"/>
    <s v="Weekend"/>
    <x v="0"/>
    <n v="4633"/>
    <n v="60"/>
    <n v="42"/>
    <n v="4651"/>
    <n v="70"/>
  </r>
  <r>
    <x v="5"/>
    <d v="2026-06-13T00:00:00"/>
    <s v="Sat"/>
    <s v="Weekend"/>
    <x v="1"/>
    <n v="3340"/>
    <n v="37"/>
    <n v="26"/>
    <n v="3351"/>
    <n v="70.3"/>
  </r>
  <r>
    <x v="5"/>
    <d v="2026-06-13T00:00:00"/>
    <s v="Sat"/>
    <s v="Weekend"/>
    <x v="2"/>
    <n v="5535"/>
    <n v="39"/>
    <n v="27"/>
    <n v="5547"/>
    <n v="69.2"/>
  </r>
  <r>
    <x v="5"/>
    <d v="2026-06-13T00:00:00"/>
    <s v="Sat"/>
    <s v="Weekend"/>
    <x v="3"/>
    <n v="2285"/>
    <n v="48"/>
    <n v="45"/>
    <n v="2288"/>
    <n v="93.8"/>
  </r>
  <r>
    <x v="5"/>
    <d v="2026-06-13T00:00:00"/>
    <s v="Sat"/>
    <s v="Weekend"/>
    <x v="4"/>
    <n v="5645"/>
    <n v="66"/>
    <n v="43"/>
    <n v="5668"/>
    <n v="65.2"/>
  </r>
  <r>
    <x v="5"/>
    <d v="2026-06-13T00:00:00"/>
    <s v="Sat"/>
    <s v="Weekend"/>
    <x v="5"/>
    <n v="2877"/>
    <n v="30"/>
    <n v="26"/>
    <n v="2881"/>
    <n v="86.7"/>
  </r>
  <r>
    <x v="5"/>
    <d v="2026-06-13T00:00:00"/>
    <s v="Sat"/>
    <s v="Weekend"/>
    <x v="6"/>
    <n v="3135"/>
    <n v="50"/>
    <n v="45"/>
    <n v="3140"/>
    <n v="90"/>
  </r>
  <r>
    <x v="5"/>
    <d v="2026-06-13T00:00:00"/>
    <s v="Sat"/>
    <s v="Weekend"/>
    <x v="7"/>
    <n v="3669"/>
    <n v="46"/>
    <n v="33"/>
    <n v="3682"/>
    <n v="71.7"/>
  </r>
  <r>
    <x v="5"/>
    <d v="2026-06-13T00:00:00"/>
    <s v="Sat"/>
    <s v="Weekend"/>
    <x v="8"/>
    <n v="4687"/>
    <n v="44"/>
    <n v="35"/>
    <n v="4696"/>
    <n v="79.5"/>
  </r>
  <r>
    <x v="5"/>
    <d v="2026-06-13T00:00:00"/>
    <s v="Sat"/>
    <s v="Weekend"/>
    <x v="9"/>
    <n v="1719"/>
    <n v="38"/>
    <n v="36"/>
    <n v="1721"/>
    <n v="94.7"/>
  </r>
  <r>
    <x v="5"/>
    <d v="2026-06-13T00:00:00"/>
    <s v="Sat"/>
    <s v="Weekend"/>
    <x v="10"/>
    <n v="5850"/>
    <n v="69"/>
    <n v="46"/>
    <n v="5873"/>
    <n v="66.7"/>
  </r>
  <r>
    <x v="5"/>
    <d v="2026-06-14T00:00:00"/>
    <s v="Sun"/>
    <s v="Weekend"/>
    <x v="0"/>
    <n v="4651"/>
    <n v="69"/>
    <n v="49"/>
    <n v="4671"/>
    <n v="71"/>
  </r>
  <r>
    <x v="5"/>
    <d v="2026-06-14T00:00:00"/>
    <s v="Sun"/>
    <s v="Weekend"/>
    <x v="1"/>
    <n v="3351"/>
    <n v="31"/>
    <n v="21"/>
    <n v="3361"/>
    <n v="67.7"/>
  </r>
  <r>
    <x v="5"/>
    <d v="2026-06-14T00:00:00"/>
    <s v="Sun"/>
    <s v="Weekend"/>
    <x v="2"/>
    <n v="5547"/>
    <n v="54"/>
    <n v="39"/>
    <n v="5562"/>
    <n v="72.2"/>
  </r>
  <r>
    <x v="5"/>
    <d v="2026-06-14T00:00:00"/>
    <s v="Sun"/>
    <s v="Weekend"/>
    <x v="3"/>
    <n v="2288"/>
    <n v="54"/>
    <n v="44"/>
    <n v="2298"/>
    <n v="81.5"/>
  </r>
  <r>
    <x v="5"/>
    <d v="2026-06-14T00:00:00"/>
    <s v="Sun"/>
    <s v="Weekend"/>
    <x v="4"/>
    <n v="5668"/>
    <n v="74"/>
    <n v="45"/>
    <n v="5697"/>
    <n v="60.8"/>
  </r>
  <r>
    <x v="5"/>
    <d v="2026-06-14T00:00:00"/>
    <s v="Sun"/>
    <s v="Weekend"/>
    <x v="5"/>
    <n v="2881"/>
    <n v="26"/>
    <n v="20"/>
    <n v="2887"/>
    <n v="76.900000000000006"/>
  </r>
  <r>
    <x v="5"/>
    <d v="2026-06-14T00:00:00"/>
    <s v="Sun"/>
    <s v="Weekend"/>
    <x v="6"/>
    <n v="3140"/>
    <n v="38"/>
    <n v="31"/>
    <n v="3147"/>
    <n v="81.599999999999994"/>
  </r>
  <r>
    <x v="5"/>
    <d v="2026-06-14T00:00:00"/>
    <s v="Sun"/>
    <s v="Weekend"/>
    <x v="7"/>
    <n v="3682"/>
    <n v="49"/>
    <n v="38"/>
    <n v="3693"/>
    <n v="77.599999999999994"/>
  </r>
  <r>
    <x v="5"/>
    <d v="2026-06-14T00:00:00"/>
    <s v="Sun"/>
    <s v="Weekend"/>
    <x v="8"/>
    <n v="4696"/>
    <n v="57"/>
    <n v="36"/>
    <n v="4717"/>
    <n v="63.2"/>
  </r>
  <r>
    <x v="5"/>
    <d v="2026-06-14T00:00:00"/>
    <s v="Sun"/>
    <s v="Weekend"/>
    <x v="9"/>
    <n v="1721"/>
    <n v="34"/>
    <n v="26"/>
    <n v="1729"/>
    <n v="76.5"/>
  </r>
  <r>
    <x v="5"/>
    <d v="2026-06-14T00:00:00"/>
    <s v="Sun"/>
    <s v="Weekend"/>
    <x v="10"/>
    <n v="5873"/>
    <n v="74"/>
    <n v="53"/>
    <n v="5894"/>
    <n v="71.599999999999994"/>
  </r>
  <r>
    <x v="5"/>
    <d v="2026-06-15T00:00:00"/>
    <s v="Mon"/>
    <s v="Weekday"/>
    <x v="0"/>
    <n v="4671"/>
    <n v="150"/>
    <n v="105"/>
    <n v="4716"/>
    <n v="70"/>
  </r>
  <r>
    <x v="5"/>
    <d v="2026-06-15T00:00:00"/>
    <s v="Mon"/>
    <s v="Weekday"/>
    <x v="1"/>
    <n v="3361"/>
    <n v="122"/>
    <n v="104"/>
    <n v="3379"/>
    <n v="85.2"/>
  </r>
  <r>
    <x v="5"/>
    <d v="2026-06-15T00:00:00"/>
    <s v="Mon"/>
    <s v="Weekday"/>
    <x v="2"/>
    <n v="5562"/>
    <n v="105"/>
    <n v="67"/>
    <n v="5600"/>
    <n v="63.8"/>
  </r>
  <r>
    <x v="5"/>
    <d v="2026-06-15T00:00:00"/>
    <s v="Mon"/>
    <s v="Weekday"/>
    <x v="3"/>
    <n v="2298"/>
    <n v="66"/>
    <n v="55"/>
    <n v="2309"/>
    <n v="83.3"/>
  </r>
  <r>
    <x v="5"/>
    <d v="2026-06-15T00:00:00"/>
    <s v="Mon"/>
    <s v="Weekday"/>
    <x v="4"/>
    <n v="5697"/>
    <n v="147"/>
    <n v="116"/>
    <n v="5728"/>
    <n v="78.900000000000006"/>
  </r>
  <r>
    <x v="5"/>
    <d v="2026-06-15T00:00:00"/>
    <s v="Mon"/>
    <s v="Weekday"/>
    <x v="5"/>
    <n v="2887"/>
    <n v="71"/>
    <n v="56"/>
    <n v="2902"/>
    <n v="78.900000000000006"/>
  </r>
  <r>
    <x v="5"/>
    <d v="2026-06-15T00:00:00"/>
    <s v="Mon"/>
    <s v="Weekday"/>
    <x v="6"/>
    <n v="3147"/>
    <n v="121"/>
    <n v="111"/>
    <n v="3157"/>
    <n v="91.7"/>
  </r>
  <r>
    <x v="5"/>
    <d v="2026-06-15T00:00:00"/>
    <s v="Mon"/>
    <s v="Weekday"/>
    <x v="7"/>
    <n v="3693"/>
    <n v="74"/>
    <n v="54"/>
    <n v="3713"/>
    <n v="73"/>
  </r>
  <r>
    <x v="5"/>
    <d v="2026-06-15T00:00:00"/>
    <s v="Mon"/>
    <s v="Weekday"/>
    <x v="8"/>
    <n v="4717"/>
    <n v="150"/>
    <n v="108"/>
    <n v="4759"/>
    <n v="72"/>
  </r>
  <r>
    <x v="5"/>
    <d v="2026-06-15T00:00:00"/>
    <s v="Mon"/>
    <s v="Weekday"/>
    <x v="9"/>
    <n v="1729"/>
    <n v="87"/>
    <n v="68"/>
    <n v="1748"/>
    <n v="78.2"/>
  </r>
  <r>
    <x v="5"/>
    <d v="2026-06-15T00:00:00"/>
    <s v="Mon"/>
    <s v="Weekday"/>
    <x v="10"/>
    <n v="5894"/>
    <n v="100"/>
    <n v="62"/>
    <n v="5932"/>
    <n v="62"/>
  </r>
  <r>
    <x v="5"/>
    <d v="2026-06-16T00:00:00"/>
    <s v="Tue"/>
    <s v="Weekday"/>
    <x v="0"/>
    <n v="4716"/>
    <n v="121"/>
    <n v="97"/>
    <n v="4740"/>
    <n v="80.2"/>
  </r>
  <r>
    <x v="5"/>
    <d v="2026-06-16T00:00:00"/>
    <s v="Tue"/>
    <s v="Weekday"/>
    <x v="1"/>
    <n v="3379"/>
    <n v="90"/>
    <n v="68"/>
    <n v="3401"/>
    <n v="75.599999999999994"/>
  </r>
  <r>
    <x v="5"/>
    <d v="2026-06-16T00:00:00"/>
    <s v="Tue"/>
    <s v="Weekday"/>
    <x v="2"/>
    <n v="5600"/>
    <n v="140"/>
    <n v="103"/>
    <n v="5637"/>
    <n v="73.599999999999994"/>
  </r>
  <r>
    <x v="5"/>
    <d v="2026-06-16T00:00:00"/>
    <s v="Tue"/>
    <s v="Weekday"/>
    <x v="3"/>
    <n v="2309"/>
    <n v="107"/>
    <n v="89"/>
    <n v="2327"/>
    <n v="83.2"/>
  </r>
  <r>
    <x v="5"/>
    <d v="2026-06-16T00:00:00"/>
    <s v="Tue"/>
    <s v="Weekday"/>
    <x v="4"/>
    <n v="5728"/>
    <n v="175"/>
    <n v="129"/>
    <n v="5774"/>
    <n v="73.7"/>
  </r>
  <r>
    <x v="5"/>
    <d v="2026-06-16T00:00:00"/>
    <s v="Tue"/>
    <s v="Weekday"/>
    <x v="5"/>
    <n v="2902"/>
    <n v="82"/>
    <n v="71"/>
    <n v="2913"/>
    <n v="86.6"/>
  </r>
  <r>
    <x v="5"/>
    <d v="2026-06-16T00:00:00"/>
    <s v="Tue"/>
    <s v="Weekday"/>
    <x v="6"/>
    <n v="3157"/>
    <n v="137"/>
    <n v="120"/>
    <n v="3174"/>
    <n v="87.6"/>
  </r>
  <r>
    <x v="5"/>
    <d v="2026-06-16T00:00:00"/>
    <s v="Tue"/>
    <s v="Weekday"/>
    <x v="7"/>
    <n v="3713"/>
    <n v="101"/>
    <n v="75"/>
    <n v="3739"/>
    <n v="74.3"/>
  </r>
  <r>
    <x v="5"/>
    <d v="2026-06-16T00:00:00"/>
    <s v="Tue"/>
    <s v="Weekday"/>
    <x v="8"/>
    <n v="4759"/>
    <n v="145"/>
    <n v="118"/>
    <n v="4786"/>
    <n v="81.400000000000006"/>
  </r>
  <r>
    <x v="5"/>
    <d v="2026-06-16T00:00:00"/>
    <s v="Tue"/>
    <s v="Weekday"/>
    <x v="9"/>
    <n v="1748"/>
    <n v="56"/>
    <n v="48"/>
    <n v="1756"/>
    <n v="85.7"/>
  </r>
  <r>
    <x v="5"/>
    <d v="2026-06-16T00:00:00"/>
    <s v="Tue"/>
    <s v="Weekday"/>
    <x v="10"/>
    <n v="5932"/>
    <n v="137"/>
    <n v="104"/>
    <n v="5965"/>
    <n v="75.900000000000006"/>
  </r>
  <r>
    <x v="5"/>
    <d v="2026-06-17T00:00:00"/>
    <s v="Wed"/>
    <s v="Weekday"/>
    <x v="0"/>
    <n v="4740"/>
    <n v="140"/>
    <n v="99"/>
    <n v="4781"/>
    <n v="70.7"/>
  </r>
  <r>
    <x v="5"/>
    <d v="2026-06-17T00:00:00"/>
    <s v="Wed"/>
    <s v="Weekday"/>
    <x v="1"/>
    <n v="3401"/>
    <n v="111"/>
    <n v="95"/>
    <n v="3417"/>
    <n v="85.6"/>
  </r>
  <r>
    <x v="5"/>
    <d v="2026-06-17T00:00:00"/>
    <s v="Wed"/>
    <s v="Weekday"/>
    <x v="2"/>
    <n v="5637"/>
    <n v="119"/>
    <n v="94"/>
    <n v="5662"/>
    <n v="79"/>
  </r>
  <r>
    <x v="5"/>
    <d v="2026-06-17T00:00:00"/>
    <s v="Wed"/>
    <s v="Weekday"/>
    <x v="3"/>
    <n v="2327"/>
    <n v="63"/>
    <n v="56"/>
    <n v="2334"/>
    <n v="88.9"/>
  </r>
  <r>
    <x v="5"/>
    <d v="2026-06-17T00:00:00"/>
    <s v="Wed"/>
    <s v="Weekday"/>
    <x v="4"/>
    <n v="5774"/>
    <n v="161"/>
    <n v="109"/>
    <n v="5826"/>
    <n v="67.7"/>
  </r>
  <r>
    <x v="5"/>
    <d v="2026-06-17T00:00:00"/>
    <s v="Wed"/>
    <s v="Weekday"/>
    <x v="5"/>
    <n v="2913"/>
    <n v="83"/>
    <n v="68"/>
    <n v="2928"/>
    <n v="81.900000000000006"/>
  </r>
  <r>
    <x v="5"/>
    <d v="2026-06-17T00:00:00"/>
    <s v="Wed"/>
    <s v="Weekday"/>
    <x v="6"/>
    <n v="3174"/>
    <n v="93"/>
    <n v="73"/>
    <n v="3194"/>
    <n v="78.5"/>
  </r>
  <r>
    <x v="5"/>
    <d v="2026-06-17T00:00:00"/>
    <s v="Wed"/>
    <s v="Weekday"/>
    <x v="7"/>
    <n v="3739"/>
    <n v="67"/>
    <n v="53"/>
    <n v="3753"/>
    <n v="79.099999999999994"/>
  </r>
  <r>
    <x v="5"/>
    <d v="2026-06-17T00:00:00"/>
    <s v="Wed"/>
    <s v="Weekday"/>
    <x v="8"/>
    <n v="4786"/>
    <n v="99"/>
    <n v="69"/>
    <n v="4816"/>
    <n v="69.7"/>
  </r>
  <r>
    <x v="5"/>
    <d v="2026-06-17T00:00:00"/>
    <s v="Wed"/>
    <s v="Weekday"/>
    <x v="9"/>
    <n v="1756"/>
    <n v="56"/>
    <n v="50"/>
    <n v="1762"/>
    <n v="89.3"/>
  </r>
  <r>
    <x v="5"/>
    <d v="2026-06-17T00:00:00"/>
    <s v="Wed"/>
    <s v="Weekday"/>
    <x v="10"/>
    <n v="5965"/>
    <n v="135"/>
    <n v="95"/>
    <n v="6005"/>
    <n v="70.400000000000006"/>
  </r>
  <r>
    <x v="5"/>
    <d v="2026-06-18T00:00:00"/>
    <s v="Thu"/>
    <s v="Weekday"/>
    <x v="0"/>
    <n v="4781"/>
    <n v="146"/>
    <n v="100"/>
    <n v="4827"/>
    <n v="68.5"/>
  </r>
  <r>
    <x v="5"/>
    <d v="2026-06-18T00:00:00"/>
    <s v="Thu"/>
    <s v="Weekday"/>
    <x v="1"/>
    <n v="3417"/>
    <n v="105"/>
    <n v="83"/>
    <n v="3439"/>
    <n v="79"/>
  </r>
  <r>
    <x v="5"/>
    <d v="2026-06-18T00:00:00"/>
    <s v="Thu"/>
    <s v="Weekday"/>
    <x v="2"/>
    <n v="5662"/>
    <n v="151"/>
    <n v="106"/>
    <n v="5707"/>
    <n v="70.2"/>
  </r>
  <r>
    <x v="5"/>
    <d v="2026-06-18T00:00:00"/>
    <s v="Thu"/>
    <s v="Weekday"/>
    <x v="3"/>
    <n v="2334"/>
    <n v="84"/>
    <n v="73"/>
    <n v="2345"/>
    <n v="86.9"/>
  </r>
  <r>
    <x v="5"/>
    <d v="2026-06-18T00:00:00"/>
    <s v="Thu"/>
    <s v="Weekday"/>
    <x v="4"/>
    <n v="5826"/>
    <n v="122"/>
    <n v="89"/>
    <n v="5859"/>
    <n v="73"/>
  </r>
  <r>
    <x v="5"/>
    <d v="2026-06-18T00:00:00"/>
    <s v="Thu"/>
    <s v="Weekday"/>
    <x v="5"/>
    <n v="2928"/>
    <n v="108"/>
    <n v="90"/>
    <n v="2946"/>
    <n v="83.3"/>
  </r>
  <r>
    <x v="5"/>
    <d v="2026-06-18T00:00:00"/>
    <s v="Thu"/>
    <s v="Weekday"/>
    <x v="6"/>
    <n v="3194"/>
    <n v="118"/>
    <n v="101"/>
    <n v="3211"/>
    <n v="85.6"/>
  </r>
  <r>
    <x v="5"/>
    <d v="2026-06-18T00:00:00"/>
    <s v="Thu"/>
    <s v="Weekday"/>
    <x v="7"/>
    <n v="3753"/>
    <n v="87"/>
    <n v="65"/>
    <n v="3775"/>
    <n v="74.7"/>
  </r>
  <r>
    <x v="5"/>
    <d v="2026-06-18T00:00:00"/>
    <s v="Thu"/>
    <s v="Weekday"/>
    <x v="8"/>
    <n v="4816"/>
    <n v="146"/>
    <n v="99"/>
    <n v="4863"/>
    <n v="67.8"/>
  </r>
  <r>
    <x v="5"/>
    <d v="2026-06-18T00:00:00"/>
    <s v="Thu"/>
    <s v="Weekday"/>
    <x v="9"/>
    <n v="1762"/>
    <n v="70"/>
    <n v="58"/>
    <n v="1774"/>
    <n v="82.9"/>
  </r>
  <r>
    <x v="5"/>
    <d v="2026-06-18T00:00:00"/>
    <s v="Thu"/>
    <s v="Weekday"/>
    <x v="10"/>
    <n v="6005"/>
    <n v="166"/>
    <n v="120"/>
    <n v="6051"/>
    <n v="72.3"/>
  </r>
  <r>
    <x v="5"/>
    <d v="2026-06-19T00:00:00"/>
    <s v="Fri"/>
    <s v="Weekday"/>
    <x v="0"/>
    <n v="4827"/>
    <n v="141"/>
    <n v="102"/>
    <n v="4866"/>
    <n v="72.3"/>
  </r>
  <r>
    <x v="5"/>
    <d v="2026-06-19T00:00:00"/>
    <s v="Fri"/>
    <s v="Weekday"/>
    <x v="1"/>
    <n v="3439"/>
    <n v="105"/>
    <n v="81"/>
    <n v="3463"/>
    <n v="77.099999999999994"/>
  </r>
  <r>
    <x v="5"/>
    <d v="2026-06-19T00:00:00"/>
    <s v="Fri"/>
    <s v="Weekday"/>
    <x v="2"/>
    <n v="5707"/>
    <n v="126"/>
    <n v="78"/>
    <n v="5755"/>
    <n v="61.9"/>
  </r>
  <r>
    <x v="5"/>
    <d v="2026-06-19T00:00:00"/>
    <s v="Fri"/>
    <s v="Weekday"/>
    <x v="3"/>
    <n v="2345"/>
    <n v="96"/>
    <n v="89"/>
    <n v="2352"/>
    <n v="92.7"/>
  </r>
  <r>
    <x v="5"/>
    <d v="2026-06-19T00:00:00"/>
    <s v="Fri"/>
    <s v="Weekday"/>
    <x v="4"/>
    <n v="5859"/>
    <n v="148"/>
    <n v="119"/>
    <n v="5888"/>
    <n v="80.400000000000006"/>
  </r>
  <r>
    <x v="5"/>
    <d v="2026-06-19T00:00:00"/>
    <s v="Fri"/>
    <s v="Weekday"/>
    <x v="5"/>
    <n v="2946"/>
    <n v="75"/>
    <n v="62"/>
    <n v="2959"/>
    <n v="82.7"/>
  </r>
  <r>
    <x v="5"/>
    <d v="2026-06-19T00:00:00"/>
    <s v="Fri"/>
    <s v="Weekday"/>
    <x v="6"/>
    <n v="3211"/>
    <n v="93"/>
    <n v="75"/>
    <n v="3229"/>
    <n v="80.599999999999994"/>
  </r>
  <r>
    <x v="5"/>
    <d v="2026-06-19T00:00:00"/>
    <s v="Fri"/>
    <s v="Weekday"/>
    <x v="7"/>
    <n v="3775"/>
    <n v="67"/>
    <n v="48"/>
    <n v="3794"/>
    <n v="71.599999999999994"/>
  </r>
  <r>
    <x v="5"/>
    <d v="2026-06-19T00:00:00"/>
    <s v="Fri"/>
    <s v="Weekday"/>
    <x v="8"/>
    <n v="4863"/>
    <n v="95"/>
    <n v="71"/>
    <n v="4887"/>
    <n v="74.7"/>
  </r>
  <r>
    <x v="5"/>
    <d v="2026-06-19T00:00:00"/>
    <s v="Fri"/>
    <s v="Weekday"/>
    <x v="9"/>
    <n v="1774"/>
    <n v="83"/>
    <n v="72"/>
    <n v="1785"/>
    <n v="86.7"/>
  </r>
  <r>
    <x v="5"/>
    <d v="2026-06-19T00:00:00"/>
    <s v="Fri"/>
    <s v="Weekday"/>
    <x v="10"/>
    <n v="6051"/>
    <n v="156"/>
    <n v="108"/>
    <n v="6099"/>
    <n v="69.2"/>
  </r>
  <r>
    <x v="5"/>
    <d v="2026-06-20T00:00:00"/>
    <s v="Sat"/>
    <s v="Weekend"/>
    <x v="0"/>
    <n v="4866"/>
    <n v="71"/>
    <n v="57"/>
    <n v="4880"/>
    <n v="80.3"/>
  </r>
  <r>
    <x v="5"/>
    <d v="2026-06-20T00:00:00"/>
    <s v="Sat"/>
    <s v="Weekend"/>
    <x v="1"/>
    <n v="3463"/>
    <n v="65"/>
    <n v="48"/>
    <n v="3480"/>
    <n v="73.8"/>
  </r>
  <r>
    <x v="5"/>
    <d v="2026-06-20T00:00:00"/>
    <s v="Sat"/>
    <s v="Weekend"/>
    <x v="2"/>
    <n v="5755"/>
    <n v="51"/>
    <n v="30"/>
    <n v="5776"/>
    <n v="58.8"/>
  </r>
  <r>
    <x v="5"/>
    <d v="2026-06-20T00:00:00"/>
    <s v="Sat"/>
    <s v="Weekend"/>
    <x v="3"/>
    <n v="2352"/>
    <n v="57"/>
    <n v="45"/>
    <n v="2364"/>
    <n v="78.900000000000006"/>
  </r>
  <r>
    <x v="5"/>
    <d v="2026-06-20T00:00:00"/>
    <s v="Sat"/>
    <s v="Weekend"/>
    <x v="4"/>
    <n v="5888"/>
    <n v="80"/>
    <n v="56"/>
    <n v="5912"/>
    <n v="70"/>
  </r>
  <r>
    <x v="5"/>
    <d v="2026-06-20T00:00:00"/>
    <s v="Sat"/>
    <s v="Weekend"/>
    <x v="5"/>
    <n v="2959"/>
    <n v="23"/>
    <n v="15"/>
    <n v="2967"/>
    <n v="65.2"/>
  </r>
  <r>
    <x v="5"/>
    <d v="2026-06-20T00:00:00"/>
    <s v="Sat"/>
    <s v="Weekend"/>
    <x v="6"/>
    <n v="3229"/>
    <n v="56"/>
    <n v="45"/>
    <n v="3240"/>
    <n v="80.400000000000006"/>
  </r>
  <r>
    <x v="5"/>
    <d v="2026-06-20T00:00:00"/>
    <s v="Sat"/>
    <s v="Weekend"/>
    <x v="7"/>
    <n v="3794"/>
    <n v="56"/>
    <n v="37"/>
    <n v="3813"/>
    <n v="66.099999999999994"/>
  </r>
  <r>
    <x v="5"/>
    <d v="2026-06-20T00:00:00"/>
    <s v="Sat"/>
    <s v="Weekend"/>
    <x v="8"/>
    <n v="4887"/>
    <n v="77"/>
    <n v="53"/>
    <n v="4911"/>
    <n v="68.8"/>
  </r>
  <r>
    <x v="5"/>
    <d v="2026-06-20T00:00:00"/>
    <s v="Sat"/>
    <s v="Weekend"/>
    <x v="9"/>
    <n v="1785"/>
    <n v="22"/>
    <n v="21"/>
    <n v="1786"/>
    <n v="95.5"/>
  </r>
  <r>
    <x v="5"/>
    <d v="2026-06-20T00:00:00"/>
    <s v="Sat"/>
    <s v="Weekend"/>
    <x v="10"/>
    <n v="6099"/>
    <n v="48"/>
    <n v="35"/>
    <n v="6112"/>
    <n v="72.900000000000006"/>
  </r>
  <r>
    <x v="5"/>
    <d v="2026-06-21T00:00:00"/>
    <s v="Sun"/>
    <s v="Weekend"/>
    <x v="0"/>
    <n v="4880"/>
    <n v="37"/>
    <n v="27"/>
    <n v="4890"/>
    <n v="73"/>
  </r>
  <r>
    <x v="5"/>
    <d v="2026-06-21T00:00:00"/>
    <s v="Sun"/>
    <s v="Weekend"/>
    <x v="1"/>
    <n v="3480"/>
    <n v="62"/>
    <n v="54"/>
    <n v="3488"/>
    <n v="87.1"/>
  </r>
  <r>
    <x v="5"/>
    <d v="2026-06-21T00:00:00"/>
    <s v="Sun"/>
    <s v="Weekend"/>
    <x v="2"/>
    <n v="5776"/>
    <n v="38"/>
    <n v="24"/>
    <n v="5790"/>
    <n v="63.2"/>
  </r>
  <r>
    <x v="5"/>
    <d v="2026-06-21T00:00:00"/>
    <s v="Sun"/>
    <s v="Weekend"/>
    <x v="3"/>
    <n v="2364"/>
    <n v="50"/>
    <n v="39"/>
    <n v="2375"/>
    <n v="78"/>
  </r>
  <r>
    <x v="5"/>
    <d v="2026-06-21T00:00:00"/>
    <s v="Sun"/>
    <s v="Weekend"/>
    <x v="4"/>
    <n v="5912"/>
    <n v="42"/>
    <n v="32"/>
    <n v="5922"/>
    <n v="76.2"/>
  </r>
  <r>
    <x v="5"/>
    <d v="2026-06-21T00:00:00"/>
    <s v="Sun"/>
    <s v="Weekend"/>
    <x v="5"/>
    <n v="2967"/>
    <n v="51"/>
    <n v="36"/>
    <n v="2982"/>
    <n v="70.599999999999994"/>
  </r>
  <r>
    <x v="5"/>
    <d v="2026-06-21T00:00:00"/>
    <s v="Sun"/>
    <s v="Weekend"/>
    <x v="6"/>
    <n v="3240"/>
    <n v="48"/>
    <n v="34"/>
    <n v="3254"/>
    <n v="70.8"/>
  </r>
  <r>
    <x v="5"/>
    <d v="2026-06-21T00:00:00"/>
    <s v="Sun"/>
    <s v="Weekend"/>
    <x v="7"/>
    <n v="3813"/>
    <n v="26"/>
    <n v="19"/>
    <n v="3820"/>
    <n v="73.099999999999994"/>
  </r>
  <r>
    <x v="5"/>
    <d v="2026-06-21T00:00:00"/>
    <s v="Sun"/>
    <s v="Weekend"/>
    <x v="8"/>
    <n v="4911"/>
    <n v="70"/>
    <n v="53"/>
    <n v="4928"/>
    <n v="75.7"/>
  </r>
  <r>
    <x v="5"/>
    <d v="2026-06-21T00:00:00"/>
    <s v="Sun"/>
    <s v="Weekend"/>
    <x v="9"/>
    <n v="1786"/>
    <n v="25"/>
    <n v="21"/>
    <n v="1790"/>
    <n v="84"/>
  </r>
  <r>
    <x v="5"/>
    <d v="2026-06-21T00:00:00"/>
    <s v="Sun"/>
    <s v="Weekend"/>
    <x v="10"/>
    <n v="6112"/>
    <n v="56"/>
    <n v="41"/>
    <n v="6127"/>
    <n v="73.2"/>
  </r>
  <r>
    <x v="5"/>
    <d v="2026-06-22T00:00:00"/>
    <s v="Mon"/>
    <s v="Weekday"/>
    <x v="0"/>
    <n v="4890"/>
    <n v="94"/>
    <n v="71"/>
    <n v="4913"/>
    <n v="75.5"/>
  </r>
  <r>
    <x v="5"/>
    <d v="2026-06-22T00:00:00"/>
    <s v="Mon"/>
    <s v="Weekday"/>
    <x v="1"/>
    <n v="3488"/>
    <n v="80"/>
    <n v="70"/>
    <n v="3498"/>
    <n v="87.5"/>
  </r>
  <r>
    <x v="5"/>
    <d v="2026-06-22T00:00:00"/>
    <s v="Mon"/>
    <s v="Weekday"/>
    <x v="2"/>
    <n v="5790"/>
    <n v="122"/>
    <n v="95"/>
    <n v="5817"/>
    <n v="77.900000000000006"/>
  </r>
  <r>
    <x v="5"/>
    <d v="2026-06-22T00:00:00"/>
    <s v="Mon"/>
    <s v="Weekday"/>
    <x v="3"/>
    <n v="2375"/>
    <n v="71"/>
    <n v="53"/>
    <n v="2393"/>
    <n v="74.599999999999994"/>
  </r>
  <r>
    <x v="5"/>
    <d v="2026-06-22T00:00:00"/>
    <s v="Mon"/>
    <s v="Weekday"/>
    <x v="4"/>
    <n v="5922"/>
    <n v="143"/>
    <n v="113"/>
    <n v="5952"/>
    <n v="79"/>
  </r>
  <r>
    <x v="5"/>
    <d v="2026-06-22T00:00:00"/>
    <s v="Mon"/>
    <s v="Weekday"/>
    <x v="5"/>
    <n v="2982"/>
    <n v="68"/>
    <n v="55"/>
    <n v="2995"/>
    <n v="80.900000000000006"/>
  </r>
  <r>
    <x v="5"/>
    <d v="2026-06-22T00:00:00"/>
    <s v="Mon"/>
    <s v="Weekday"/>
    <x v="6"/>
    <n v="3254"/>
    <n v="99"/>
    <n v="76"/>
    <n v="3277"/>
    <n v="76.8"/>
  </r>
  <r>
    <x v="5"/>
    <d v="2026-06-22T00:00:00"/>
    <s v="Mon"/>
    <s v="Weekday"/>
    <x v="7"/>
    <n v="3820"/>
    <n v="104"/>
    <n v="88"/>
    <n v="3836"/>
    <n v="84.6"/>
  </r>
  <r>
    <x v="5"/>
    <d v="2026-06-22T00:00:00"/>
    <s v="Mon"/>
    <s v="Weekday"/>
    <x v="8"/>
    <n v="4928"/>
    <n v="136"/>
    <n v="113"/>
    <n v="4951"/>
    <n v="83.1"/>
  </r>
  <r>
    <x v="5"/>
    <d v="2026-06-22T00:00:00"/>
    <s v="Mon"/>
    <s v="Weekday"/>
    <x v="9"/>
    <n v="1790"/>
    <n v="82"/>
    <n v="79"/>
    <n v="1793"/>
    <n v="96.3"/>
  </r>
  <r>
    <x v="5"/>
    <d v="2026-06-22T00:00:00"/>
    <s v="Mon"/>
    <s v="Weekday"/>
    <x v="10"/>
    <n v="6127"/>
    <n v="136"/>
    <n v="84"/>
    <n v="6179"/>
    <n v="61.8"/>
  </r>
  <r>
    <x v="5"/>
    <d v="2026-06-23T00:00:00"/>
    <s v="Tue"/>
    <s v="Weekday"/>
    <x v="0"/>
    <n v="4913"/>
    <n v="80"/>
    <n v="60"/>
    <n v="4933"/>
    <n v="75"/>
  </r>
  <r>
    <x v="5"/>
    <d v="2026-06-23T00:00:00"/>
    <s v="Tue"/>
    <s v="Weekday"/>
    <x v="1"/>
    <n v="3498"/>
    <n v="94"/>
    <n v="72"/>
    <n v="3520"/>
    <n v="76.599999999999994"/>
  </r>
  <r>
    <x v="5"/>
    <d v="2026-06-23T00:00:00"/>
    <s v="Tue"/>
    <s v="Weekday"/>
    <x v="2"/>
    <n v="5817"/>
    <n v="147"/>
    <n v="112"/>
    <n v="5852"/>
    <n v="76.2"/>
  </r>
  <r>
    <x v="5"/>
    <d v="2026-06-23T00:00:00"/>
    <s v="Tue"/>
    <s v="Weekday"/>
    <x v="3"/>
    <n v="2393"/>
    <n v="77"/>
    <n v="67"/>
    <n v="2403"/>
    <n v="87"/>
  </r>
  <r>
    <x v="5"/>
    <d v="2026-06-23T00:00:00"/>
    <s v="Tue"/>
    <s v="Weekday"/>
    <x v="4"/>
    <n v="5952"/>
    <n v="138"/>
    <n v="103"/>
    <n v="5987"/>
    <n v="74.599999999999994"/>
  </r>
  <r>
    <x v="5"/>
    <d v="2026-06-23T00:00:00"/>
    <s v="Tue"/>
    <s v="Weekday"/>
    <x v="5"/>
    <n v="2995"/>
    <n v="96"/>
    <n v="83"/>
    <n v="3008"/>
    <n v="86.5"/>
  </r>
  <r>
    <x v="5"/>
    <d v="2026-06-23T00:00:00"/>
    <s v="Tue"/>
    <s v="Weekday"/>
    <x v="6"/>
    <n v="3277"/>
    <n v="76"/>
    <n v="62"/>
    <n v="3291"/>
    <n v="81.599999999999994"/>
  </r>
  <r>
    <x v="5"/>
    <d v="2026-06-23T00:00:00"/>
    <s v="Tue"/>
    <s v="Weekday"/>
    <x v="7"/>
    <n v="3836"/>
    <n v="106"/>
    <n v="80"/>
    <n v="3862"/>
    <n v="75.5"/>
  </r>
  <r>
    <x v="5"/>
    <d v="2026-06-23T00:00:00"/>
    <s v="Tue"/>
    <s v="Weekday"/>
    <x v="8"/>
    <n v="4951"/>
    <n v="115"/>
    <n v="74"/>
    <n v="4992"/>
    <n v="64.3"/>
  </r>
  <r>
    <x v="5"/>
    <d v="2026-06-23T00:00:00"/>
    <s v="Tue"/>
    <s v="Weekday"/>
    <x v="9"/>
    <n v="1793"/>
    <n v="97"/>
    <n v="78"/>
    <n v="1812"/>
    <n v="80.400000000000006"/>
  </r>
  <r>
    <x v="5"/>
    <d v="2026-06-23T00:00:00"/>
    <s v="Tue"/>
    <s v="Weekday"/>
    <x v="10"/>
    <n v="6179"/>
    <n v="154"/>
    <n v="112"/>
    <n v="6221"/>
    <n v="72.7"/>
  </r>
  <r>
    <x v="5"/>
    <d v="2026-06-24T00:00:00"/>
    <s v="Wed"/>
    <s v="Weekday"/>
    <x v="0"/>
    <n v="4933"/>
    <n v="117"/>
    <n v="87"/>
    <n v="4963"/>
    <n v="74.400000000000006"/>
  </r>
  <r>
    <x v="5"/>
    <d v="2026-06-24T00:00:00"/>
    <s v="Wed"/>
    <s v="Weekday"/>
    <x v="1"/>
    <n v="3520"/>
    <n v="109"/>
    <n v="83"/>
    <n v="3546"/>
    <n v="76.099999999999994"/>
  </r>
  <r>
    <x v="5"/>
    <d v="2026-06-24T00:00:00"/>
    <s v="Wed"/>
    <s v="Weekday"/>
    <x v="2"/>
    <n v="5852"/>
    <n v="118"/>
    <n v="74"/>
    <n v="5896"/>
    <n v="62.7"/>
  </r>
  <r>
    <x v="5"/>
    <d v="2026-06-24T00:00:00"/>
    <s v="Wed"/>
    <s v="Weekday"/>
    <x v="3"/>
    <n v="2403"/>
    <n v="90"/>
    <n v="71"/>
    <n v="2422"/>
    <n v="78.900000000000006"/>
  </r>
  <r>
    <x v="5"/>
    <d v="2026-06-24T00:00:00"/>
    <s v="Wed"/>
    <s v="Weekday"/>
    <x v="4"/>
    <n v="5987"/>
    <n v="158"/>
    <n v="120"/>
    <n v="6025"/>
    <n v="75.900000000000006"/>
  </r>
  <r>
    <x v="5"/>
    <d v="2026-06-24T00:00:00"/>
    <s v="Wed"/>
    <s v="Weekday"/>
    <x v="5"/>
    <n v="3008"/>
    <n v="76"/>
    <n v="66"/>
    <n v="3018"/>
    <n v="86.8"/>
  </r>
  <r>
    <x v="5"/>
    <d v="2026-06-24T00:00:00"/>
    <s v="Wed"/>
    <s v="Weekday"/>
    <x v="6"/>
    <n v="3291"/>
    <n v="102"/>
    <n v="80"/>
    <n v="3313"/>
    <n v="78.400000000000006"/>
  </r>
  <r>
    <x v="5"/>
    <d v="2026-06-24T00:00:00"/>
    <s v="Wed"/>
    <s v="Weekday"/>
    <x v="7"/>
    <n v="3862"/>
    <n v="108"/>
    <n v="90"/>
    <n v="3880"/>
    <n v="83.3"/>
  </r>
  <r>
    <x v="5"/>
    <d v="2026-06-24T00:00:00"/>
    <s v="Wed"/>
    <s v="Weekday"/>
    <x v="8"/>
    <n v="4992"/>
    <n v="95"/>
    <n v="76"/>
    <n v="5011"/>
    <n v="80"/>
  </r>
  <r>
    <x v="5"/>
    <d v="2026-06-24T00:00:00"/>
    <s v="Wed"/>
    <s v="Weekday"/>
    <x v="9"/>
    <n v="1812"/>
    <n v="83"/>
    <n v="80"/>
    <n v="1815"/>
    <n v="96.4"/>
  </r>
  <r>
    <x v="5"/>
    <d v="2026-06-24T00:00:00"/>
    <s v="Wed"/>
    <s v="Weekday"/>
    <x v="10"/>
    <n v="6221"/>
    <n v="141"/>
    <n v="88"/>
    <n v="6274"/>
    <n v="62.4"/>
  </r>
  <r>
    <x v="5"/>
    <d v="2026-06-25T00:00:00"/>
    <s v="Thu"/>
    <s v="Weekday"/>
    <x v="0"/>
    <n v="4963"/>
    <n v="121"/>
    <n v="94"/>
    <n v="4990"/>
    <n v="77.7"/>
  </r>
  <r>
    <x v="5"/>
    <d v="2026-06-25T00:00:00"/>
    <s v="Thu"/>
    <s v="Weekday"/>
    <x v="1"/>
    <n v="3546"/>
    <n v="98"/>
    <n v="71"/>
    <n v="3573"/>
    <n v="72.400000000000006"/>
  </r>
  <r>
    <x v="5"/>
    <d v="2026-06-25T00:00:00"/>
    <s v="Thu"/>
    <s v="Weekday"/>
    <x v="2"/>
    <n v="5896"/>
    <n v="116"/>
    <n v="91"/>
    <n v="5921"/>
    <n v="78.400000000000006"/>
  </r>
  <r>
    <x v="5"/>
    <d v="2026-06-25T00:00:00"/>
    <s v="Thu"/>
    <s v="Weekday"/>
    <x v="3"/>
    <n v="2422"/>
    <n v="97"/>
    <n v="87"/>
    <n v="2432"/>
    <n v="89.7"/>
  </r>
  <r>
    <x v="5"/>
    <d v="2026-06-25T00:00:00"/>
    <s v="Thu"/>
    <s v="Weekday"/>
    <x v="4"/>
    <n v="6025"/>
    <n v="111"/>
    <n v="84"/>
    <n v="6052"/>
    <n v="75.7"/>
  </r>
  <r>
    <x v="5"/>
    <d v="2026-06-25T00:00:00"/>
    <s v="Thu"/>
    <s v="Weekday"/>
    <x v="5"/>
    <n v="3018"/>
    <n v="78"/>
    <n v="54"/>
    <n v="3042"/>
    <n v="69.2"/>
  </r>
  <r>
    <x v="5"/>
    <d v="2026-06-25T00:00:00"/>
    <s v="Thu"/>
    <s v="Weekday"/>
    <x v="6"/>
    <n v="3313"/>
    <n v="133"/>
    <n v="99"/>
    <n v="3347"/>
    <n v="74.400000000000006"/>
  </r>
  <r>
    <x v="5"/>
    <d v="2026-06-25T00:00:00"/>
    <s v="Thu"/>
    <s v="Weekday"/>
    <x v="7"/>
    <n v="3880"/>
    <n v="97"/>
    <n v="77"/>
    <n v="3900"/>
    <n v="79.400000000000006"/>
  </r>
  <r>
    <x v="5"/>
    <d v="2026-06-25T00:00:00"/>
    <s v="Thu"/>
    <s v="Weekday"/>
    <x v="8"/>
    <n v="5011"/>
    <n v="143"/>
    <n v="109"/>
    <n v="5045"/>
    <n v="76.2"/>
  </r>
  <r>
    <x v="5"/>
    <d v="2026-06-25T00:00:00"/>
    <s v="Thu"/>
    <s v="Weekday"/>
    <x v="9"/>
    <n v="1815"/>
    <n v="58"/>
    <n v="53"/>
    <n v="1820"/>
    <n v="91.4"/>
  </r>
  <r>
    <x v="5"/>
    <d v="2026-06-25T00:00:00"/>
    <s v="Thu"/>
    <s v="Weekday"/>
    <x v="10"/>
    <n v="6274"/>
    <n v="154"/>
    <n v="112"/>
    <n v="6316"/>
    <n v="72.7"/>
  </r>
  <r>
    <x v="5"/>
    <d v="2026-06-26T00:00:00"/>
    <s v="Fri"/>
    <s v="Weekday"/>
    <x v="0"/>
    <n v="4990"/>
    <n v="85"/>
    <n v="68"/>
    <n v="5007"/>
    <n v="80"/>
  </r>
  <r>
    <x v="5"/>
    <d v="2026-06-26T00:00:00"/>
    <s v="Fri"/>
    <s v="Weekday"/>
    <x v="1"/>
    <n v="3573"/>
    <n v="92"/>
    <n v="66"/>
    <n v="3599"/>
    <n v="71.7"/>
  </r>
  <r>
    <x v="5"/>
    <d v="2026-06-26T00:00:00"/>
    <s v="Fri"/>
    <s v="Weekday"/>
    <x v="2"/>
    <n v="5921"/>
    <n v="159"/>
    <n v="98"/>
    <n v="5982"/>
    <n v="61.6"/>
  </r>
  <r>
    <x v="5"/>
    <d v="2026-06-26T00:00:00"/>
    <s v="Fri"/>
    <s v="Weekday"/>
    <x v="3"/>
    <n v="2432"/>
    <n v="119"/>
    <n v="91"/>
    <n v="2460"/>
    <n v="76.5"/>
  </r>
  <r>
    <x v="5"/>
    <d v="2026-06-26T00:00:00"/>
    <s v="Fri"/>
    <s v="Weekday"/>
    <x v="4"/>
    <n v="6052"/>
    <n v="160"/>
    <n v="101"/>
    <n v="6111"/>
    <n v="63.1"/>
  </r>
  <r>
    <x v="5"/>
    <d v="2026-06-26T00:00:00"/>
    <s v="Fri"/>
    <s v="Weekday"/>
    <x v="5"/>
    <n v="3042"/>
    <n v="68"/>
    <n v="52"/>
    <n v="3058"/>
    <n v="76.5"/>
  </r>
  <r>
    <x v="5"/>
    <d v="2026-06-26T00:00:00"/>
    <s v="Fri"/>
    <s v="Weekday"/>
    <x v="6"/>
    <n v="3347"/>
    <n v="98"/>
    <n v="74"/>
    <n v="3371"/>
    <n v="75.5"/>
  </r>
  <r>
    <x v="5"/>
    <d v="2026-06-26T00:00:00"/>
    <s v="Fri"/>
    <s v="Weekday"/>
    <x v="7"/>
    <n v="3900"/>
    <n v="114"/>
    <n v="95"/>
    <n v="3919"/>
    <n v="83.3"/>
  </r>
  <r>
    <x v="5"/>
    <d v="2026-06-26T00:00:00"/>
    <s v="Fri"/>
    <s v="Weekday"/>
    <x v="8"/>
    <n v="5045"/>
    <n v="138"/>
    <n v="99"/>
    <n v="5084"/>
    <n v="71.7"/>
  </r>
  <r>
    <x v="5"/>
    <d v="2026-06-26T00:00:00"/>
    <s v="Fri"/>
    <s v="Weekday"/>
    <x v="9"/>
    <n v="1820"/>
    <n v="79"/>
    <n v="75"/>
    <n v="1824"/>
    <n v="94.9"/>
  </r>
  <r>
    <x v="5"/>
    <d v="2026-06-26T00:00:00"/>
    <s v="Fri"/>
    <s v="Weekday"/>
    <x v="10"/>
    <n v="6316"/>
    <n v="143"/>
    <n v="99"/>
    <n v="6360"/>
    <n v="69.2"/>
  </r>
  <r>
    <x v="5"/>
    <d v="2026-06-27T00:00:00"/>
    <s v="Sat"/>
    <s v="Weekend"/>
    <x v="0"/>
    <n v="5007"/>
    <n v="46"/>
    <n v="29"/>
    <n v="5024"/>
    <n v="63"/>
  </r>
  <r>
    <x v="5"/>
    <d v="2026-06-27T00:00:00"/>
    <s v="Sat"/>
    <s v="Weekend"/>
    <x v="1"/>
    <n v="3599"/>
    <n v="29"/>
    <n v="22"/>
    <n v="3606"/>
    <n v="75.900000000000006"/>
  </r>
  <r>
    <x v="5"/>
    <d v="2026-06-27T00:00:00"/>
    <s v="Sat"/>
    <s v="Weekend"/>
    <x v="2"/>
    <n v="5982"/>
    <n v="65"/>
    <n v="49"/>
    <n v="5998"/>
    <n v="75.400000000000006"/>
  </r>
  <r>
    <x v="5"/>
    <d v="2026-06-27T00:00:00"/>
    <s v="Sat"/>
    <s v="Weekend"/>
    <x v="3"/>
    <n v="2460"/>
    <n v="58"/>
    <n v="49"/>
    <n v="2469"/>
    <n v="84.5"/>
  </r>
  <r>
    <x v="5"/>
    <d v="2026-06-27T00:00:00"/>
    <s v="Sat"/>
    <s v="Weekend"/>
    <x v="4"/>
    <n v="6111"/>
    <n v="74"/>
    <n v="57"/>
    <n v="6128"/>
    <n v="77"/>
  </r>
  <r>
    <x v="5"/>
    <d v="2026-06-27T00:00:00"/>
    <s v="Sat"/>
    <s v="Weekend"/>
    <x v="5"/>
    <n v="3058"/>
    <n v="34"/>
    <n v="24"/>
    <n v="3068"/>
    <n v="70.599999999999994"/>
  </r>
  <r>
    <x v="5"/>
    <d v="2026-06-27T00:00:00"/>
    <s v="Sat"/>
    <s v="Weekend"/>
    <x v="6"/>
    <n v="3371"/>
    <n v="59"/>
    <n v="47"/>
    <n v="3383"/>
    <n v="79.7"/>
  </r>
  <r>
    <x v="5"/>
    <d v="2026-06-27T00:00:00"/>
    <s v="Sat"/>
    <s v="Weekend"/>
    <x v="7"/>
    <n v="3919"/>
    <n v="35"/>
    <n v="27"/>
    <n v="3927"/>
    <n v="77.099999999999994"/>
  </r>
  <r>
    <x v="5"/>
    <d v="2026-06-27T00:00:00"/>
    <s v="Sat"/>
    <s v="Weekend"/>
    <x v="8"/>
    <n v="5084"/>
    <n v="46"/>
    <n v="30"/>
    <n v="5100"/>
    <n v="65.2"/>
  </r>
  <r>
    <x v="5"/>
    <d v="2026-06-27T00:00:00"/>
    <s v="Sat"/>
    <s v="Weekend"/>
    <x v="9"/>
    <n v="1824"/>
    <n v="23"/>
    <n v="22"/>
    <n v="1825"/>
    <n v="95.7"/>
  </r>
  <r>
    <x v="5"/>
    <d v="2026-06-27T00:00:00"/>
    <s v="Sat"/>
    <s v="Weekend"/>
    <x v="10"/>
    <n v="6360"/>
    <n v="64"/>
    <n v="48"/>
    <n v="6376"/>
    <n v="75"/>
  </r>
  <r>
    <x v="5"/>
    <d v="2026-06-28T00:00:00"/>
    <s v="Sun"/>
    <s v="Weekend"/>
    <x v="0"/>
    <n v="5024"/>
    <n v="70"/>
    <n v="55"/>
    <n v="5039"/>
    <n v="78.599999999999994"/>
  </r>
  <r>
    <x v="5"/>
    <d v="2026-06-28T00:00:00"/>
    <s v="Sun"/>
    <s v="Weekend"/>
    <x v="1"/>
    <n v="3606"/>
    <n v="31"/>
    <n v="22"/>
    <n v="3615"/>
    <n v="71"/>
  </r>
  <r>
    <x v="5"/>
    <d v="2026-06-28T00:00:00"/>
    <s v="Sun"/>
    <s v="Weekend"/>
    <x v="2"/>
    <n v="5998"/>
    <n v="38"/>
    <n v="28"/>
    <n v="6008"/>
    <n v="73.7"/>
  </r>
  <r>
    <x v="5"/>
    <d v="2026-06-28T00:00:00"/>
    <s v="Sun"/>
    <s v="Weekend"/>
    <x v="3"/>
    <n v="2469"/>
    <n v="52"/>
    <n v="42"/>
    <n v="2479"/>
    <n v="80.8"/>
  </r>
  <r>
    <x v="5"/>
    <d v="2026-06-28T00:00:00"/>
    <s v="Sun"/>
    <s v="Weekend"/>
    <x v="4"/>
    <n v="6128"/>
    <n v="74"/>
    <n v="51"/>
    <n v="6151"/>
    <n v="68.900000000000006"/>
  </r>
  <r>
    <x v="5"/>
    <d v="2026-06-28T00:00:00"/>
    <s v="Sun"/>
    <s v="Weekend"/>
    <x v="5"/>
    <n v="3068"/>
    <n v="23"/>
    <n v="16"/>
    <n v="3075"/>
    <n v="69.599999999999994"/>
  </r>
  <r>
    <x v="5"/>
    <d v="2026-06-28T00:00:00"/>
    <s v="Sun"/>
    <s v="Weekend"/>
    <x v="6"/>
    <n v="3383"/>
    <n v="62"/>
    <n v="48"/>
    <n v="3397"/>
    <n v="77.400000000000006"/>
  </r>
  <r>
    <x v="5"/>
    <d v="2026-06-28T00:00:00"/>
    <s v="Sun"/>
    <s v="Weekend"/>
    <x v="7"/>
    <n v="3927"/>
    <n v="40"/>
    <n v="31"/>
    <n v="3936"/>
    <n v="77.5"/>
  </r>
  <r>
    <x v="5"/>
    <d v="2026-06-28T00:00:00"/>
    <s v="Sun"/>
    <s v="Weekend"/>
    <x v="8"/>
    <n v="5100"/>
    <n v="70"/>
    <n v="53"/>
    <n v="5117"/>
    <n v="75.7"/>
  </r>
  <r>
    <x v="5"/>
    <d v="2026-06-28T00:00:00"/>
    <s v="Sun"/>
    <s v="Weekend"/>
    <x v="9"/>
    <n v="1825"/>
    <n v="46"/>
    <n v="45"/>
    <n v="1826"/>
    <n v="97.8"/>
  </r>
  <r>
    <x v="5"/>
    <d v="2026-06-28T00:00:00"/>
    <s v="Sun"/>
    <s v="Weekend"/>
    <x v="10"/>
    <n v="6376"/>
    <n v="58"/>
    <n v="38"/>
    <n v="6396"/>
    <n v="65.5"/>
  </r>
  <r>
    <x v="5"/>
    <d v="2026-06-29T00:00:00"/>
    <s v="Mon"/>
    <s v="Weekday"/>
    <x v="0"/>
    <n v="5039"/>
    <n v="102"/>
    <n v="86"/>
    <n v="5055"/>
    <n v="84.3"/>
  </r>
  <r>
    <x v="5"/>
    <d v="2026-06-29T00:00:00"/>
    <s v="Mon"/>
    <s v="Weekday"/>
    <x v="1"/>
    <n v="3615"/>
    <n v="113"/>
    <n v="92"/>
    <n v="3636"/>
    <n v="81.400000000000006"/>
  </r>
  <r>
    <x v="5"/>
    <d v="2026-06-29T00:00:00"/>
    <s v="Mon"/>
    <s v="Weekday"/>
    <x v="2"/>
    <n v="6008"/>
    <n v="153"/>
    <n v="94"/>
    <n v="6067"/>
    <n v="61.4"/>
  </r>
  <r>
    <x v="5"/>
    <d v="2026-06-29T00:00:00"/>
    <s v="Mon"/>
    <s v="Weekday"/>
    <x v="3"/>
    <n v="2479"/>
    <n v="82"/>
    <n v="73"/>
    <n v="2488"/>
    <n v="89"/>
  </r>
  <r>
    <x v="5"/>
    <d v="2026-06-29T00:00:00"/>
    <s v="Mon"/>
    <s v="Weekday"/>
    <x v="4"/>
    <n v="6151"/>
    <n v="167"/>
    <n v="123"/>
    <n v="6195"/>
    <n v="73.7"/>
  </r>
  <r>
    <x v="5"/>
    <d v="2026-06-29T00:00:00"/>
    <s v="Mon"/>
    <s v="Weekday"/>
    <x v="5"/>
    <n v="3075"/>
    <n v="94"/>
    <n v="76"/>
    <n v="3093"/>
    <n v="80.900000000000006"/>
  </r>
  <r>
    <x v="5"/>
    <d v="2026-06-29T00:00:00"/>
    <s v="Mon"/>
    <s v="Weekday"/>
    <x v="6"/>
    <n v="3397"/>
    <n v="127"/>
    <n v="95"/>
    <n v="3429"/>
    <n v="74.8"/>
  </r>
  <r>
    <x v="5"/>
    <d v="2026-06-29T00:00:00"/>
    <s v="Mon"/>
    <s v="Weekday"/>
    <x v="7"/>
    <n v="3936"/>
    <n v="84"/>
    <n v="67"/>
    <n v="3953"/>
    <n v="79.8"/>
  </r>
  <r>
    <x v="5"/>
    <d v="2026-06-29T00:00:00"/>
    <s v="Mon"/>
    <s v="Weekday"/>
    <x v="8"/>
    <n v="5117"/>
    <n v="108"/>
    <n v="86"/>
    <n v="5139"/>
    <n v="79.599999999999994"/>
  </r>
  <r>
    <x v="5"/>
    <d v="2026-06-29T00:00:00"/>
    <s v="Mon"/>
    <s v="Weekday"/>
    <x v="9"/>
    <n v="1826"/>
    <n v="85"/>
    <n v="73"/>
    <n v="1838"/>
    <n v="85.9"/>
  </r>
  <r>
    <x v="5"/>
    <d v="2026-06-29T00:00:00"/>
    <s v="Mon"/>
    <s v="Weekday"/>
    <x v="10"/>
    <n v="6396"/>
    <n v="123"/>
    <n v="84"/>
    <n v="6435"/>
    <n v="68.3"/>
  </r>
  <r>
    <x v="5"/>
    <d v="2026-06-30T00:00:00"/>
    <s v="Tue"/>
    <s v="Weekday"/>
    <x v="0"/>
    <n v="5055"/>
    <n v="129"/>
    <n v="90"/>
    <n v="5094"/>
    <n v="69.8"/>
  </r>
  <r>
    <x v="5"/>
    <d v="2026-06-30T00:00:00"/>
    <s v="Tue"/>
    <s v="Weekday"/>
    <x v="1"/>
    <n v="3636"/>
    <n v="86"/>
    <n v="66"/>
    <n v="3656"/>
    <n v="76.7"/>
  </r>
  <r>
    <x v="5"/>
    <d v="2026-06-30T00:00:00"/>
    <s v="Tue"/>
    <s v="Weekday"/>
    <x v="2"/>
    <n v="6067"/>
    <n v="132"/>
    <n v="99"/>
    <n v="6100"/>
    <n v="75"/>
  </r>
  <r>
    <x v="5"/>
    <d v="2026-06-30T00:00:00"/>
    <s v="Tue"/>
    <s v="Weekday"/>
    <x v="3"/>
    <n v="2488"/>
    <n v="65"/>
    <n v="55"/>
    <n v="2498"/>
    <n v="84.6"/>
  </r>
  <r>
    <x v="5"/>
    <d v="2026-06-30T00:00:00"/>
    <s v="Tue"/>
    <s v="Weekday"/>
    <x v="4"/>
    <n v="6195"/>
    <n v="147"/>
    <n v="93"/>
    <n v="6249"/>
    <n v="63.3"/>
  </r>
  <r>
    <x v="5"/>
    <d v="2026-06-30T00:00:00"/>
    <s v="Tue"/>
    <s v="Weekday"/>
    <x v="5"/>
    <n v="3093"/>
    <n v="84"/>
    <n v="63"/>
    <n v="3114"/>
    <n v="75"/>
  </r>
  <r>
    <x v="5"/>
    <d v="2026-06-30T00:00:00"/>
    <s v="Tue"/>
    <s v="Weekday"/>
    <x v="6"/>
    <n v="3429"/>
    <n v="81"/>
    <n v="66"/>
    <n v="3444"/>
    <n v="81.5"/>
  </r>
  <r>
    <x v="5"/>
    <d v="2026-06-30T00:00:00"/>
    <s v="Tue"/>
    <s v="Weekday"/>
    <x v="7"/>
    <n v="3953"/>
    <n v="89"/>
    <n v="59"/>
    <n v="3983"/>
    <n v="66.3"/>
  </r>
  <r>
    <x v="5"/>
    <d v="2026-06-30T00:00:00"/>
    <s v="Tue"/>
    <s v="Weekday"/>
    <x v="8"/>
    <n v="5139"/>
    <n v="94"/>
    <n v="66"/>
    <n v="5167"/>
    <n v="70.2"/>
  </r>
  <r>
    <x v="5"/>
    <d v="2026-06-30T00:00:00"/>
    <s v="Tue"/>
    <s v="Weekday"/>
    <x v="9"/>
    <n v="1838"/>
    <n v="103"/>
    <n v="98"/>
    <n v="1843"/>
    <n v="95.1"/>
  </r>
  <r>
    <x v="5"/>
    <d v="2026-06-30T00:00:00"/>
    <s v="Tue"/>
    <s v="Weekday"/>
    <x v="10"/>
    <n v="6435"/>
    <n v="166"/>
    <n v="114"/>
    <n v="6487"/>
    <n v="68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010"/>
    <n v="30914"/>
    <n v="23350"/>
    <n v="11574"/>
  </r>
  <r>
    <x v="1"/>
    <n v="11574"/>
    <n v="28180"/>
    <n v="21337"/>
    <n v="18417"/>
  </r>
  <r>
    <x v="2"/>
    <n v="18417"/>
    <n v="30864"/>
    <n v="23560"/>
    <n v="25721"/>
  </r>
  <r>
    <x v="3"/>
    <n v="25721"/>
    <n v="30277"/>
    <n v="22827"/>
    <n v="33171"/>
  </r>
  <r>
    <x v="4"/>
    <n v="33171"/>
    <n v="30492"/>
    <n v="23255"/>
    <n v="40408"/>
  </r>
  <r>
    <x v="5"/>
    <n v="40408"/>
    <n v="30565"/>
    <n v="23338"/>
    <n v="47635"/>
  </r>
  <r>
    <x v="6"/>
    <n v="4010"/>
    <n v="181292"/>
    <n v="137667"/>
    <n v="476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AB295-F959-4A0F-ADDB-6A0E083B1414}" name="PivotTable6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K5:FK6" firstHeaderRow="1" firstDataRow="1" firstDataCol="0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numFmtId="165" outline="0" showAll="0"/>
  </pivotFields>
  <rowItems count="1">
    <i/>
  </rowItems>
  <colItems count="1">
    <i/>
  </colItems>
  <dataFields count="1">
    <dataField name="Sum of Production" fld="6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B1A02-088C-4EDF-9224-2C8934799E7B}" name="PivotTable8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N2:FO9" firstHeaderRow="1" firstDataRow="1" firstDataCol="1"/>
  <pivotFields count="10">
    <pivotField axis="axisRow" compact="0" outline="0" showAll="0" sortType="ascending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165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21266-66C2-48EF-B337-C9BA73E9E99E}" name="PivotTable13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FQ13:FR20" firstHeaderRow="1" firstDataRow="1" firstDataCol="1"/>
  <pivotFields count="10">
    <pivotField axis="axisRow"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dataField="1" compact="0" numFmtId="3" outline="0" showAll="0"/>
    <pivotField compact="0" numFmtId="165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Closing Stock" fld="8" subtotal="max" baseField="0" baseItem="0" numFmtId="3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72512-C07A-4437-8601-DDFF44996BC8}" name="PivotTable11" cacheId="51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FI15" firstHeaderRow="0" firstDataRow="0" firstDataCol="0"/>
  <pivotFields count="5"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D728-5F66-47FE-B3DF-B732815CA34B}" name="PivotTable2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A25:FB37" firstHeaderRow="1" firstDataRow="1" firstDataCol="1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axis="axisRow" compact="0" outline="0" showAll="0" sortType="descending">
      <items count="12">
        <item x="10"/>
        <item x="6"/>
        <item x="4"/>
        <item x="9"/>
        <item x="3"/>
        <item x="8"/>
        <item x="2"/>
        <item x="7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65" outline="0" showAll="0"/>
  </pivotFields>
  <rowFields count="1">
    <field x="4"/>
  </rowFields>
  <rowItems count="12">
    <i>
      <x v="3"/>
    </i>
    <i>
      <x v="4"/>
    </i>
    <i>
      <x v="1"/>
    </i>
    <i>
      <x v="8"/>
    </i>
    <i>
      <x v="10"/>
    </i>
    <i>
      <x v="7"/>
    </i>
    <i>
      <x v="9"/>
    </i>
    <i>
      <x v="5"/>
    </i>
    <i>
      <x v="2"/>
    </i>
    <i>
      <x/>
    </i>
    <i>
      <x v="6"/>
    </i>
    <i t="grand">
      <x/>
    </i>
  </rowItems>
  <colItems count="1">
    <i/>
  </colItems>
  <dataFields count="1">
    <dataField name="Average of Efficiency %" fld="9" subtotal="average" baseField="0" baseItem="0" numFmtId="165"/>
  </dataField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6F83E-2186-47D6-A02D-F43D2B2C9404}" name="PivotTable5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K2:FK3" firstHeaderRow="1" firstDataRow="1" firstDataCol="0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165" outline="0" showAll="0"/>
  </pivotFields>
  <rowItems count="1">
    <i/>
  </rowItems>
  <colItems count="1">
    <i/>
  </colItems>
  <dataFields count="1">
    <dataField name="Sum of Sales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F2BA7-9707-4E78-9B7B-0DA56E1DFBAF}" name="PivotTable7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K8:FK9" firstHeaderRow="1" firstDataRow="1" firstDataCol="0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dataField="1" compact="0" numFmtId="165" outline="0" showAll="0"/>
  </pivotFields>
  <rowItems count="1">
    <i/>
  </rowItems>
  <colItems count="1">
    <i/>
  </colItems>
  <dataFields count="1">
    <dataField name="Average of Efficiency %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95059-E1A0-4BB5-87C0-A32B3C5EC200}" name="PivotTable9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N13:FO25" firstHeaderRow="1" firstDataRow="1" firstDataCol="1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axis="axisRow" compact="0" outline="0" showAll="0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165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F67A9-946B-4478-A918-1B875E386EF3}" name="PivotTable1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A10:FC22" firstHeaderRow="0" firstDataRow="1" firstDataCol="1" rowPageCount="1" colPageCount="1"/>
  <pivotFields count="10">
    <pivotField axis="axisPage"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axis="axisRow" compact="0" outline="0" showAll="0" sortType="ascending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</pivotField>
    <pivotField compact="0" numFmtId="3" outline="0" showAll="0"/>
    <pivotField dataField="1" compact="0" numFmtId="3" outline="0" showAll="0"/>
    <pivotField dataField="1" compact="0" numFmtId="3" outline="0" showAll="0"/>
    <pivotField compact="0" numFmtId="3" outline="0" showAll="0"/>
    <pivotField compact="0" numFmtId="165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Production" fld="6" baseField="0" baseItem="0" numFmtId="3"/>
    <dataField name="Sum of Sales" fld="7" baseField="0" baseItem="0" numFmtId="3"/>
  </dataFields>
  <chartFormats count="10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811EB-D2F2-4D36-B627-70F402B45944}" name="PivotTable4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FJ28:FK40" firstHeaderRow="1" firstDataRow="1" firstDataCol="1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axis="axisRow" compact="0" outline="0" showAll="0" sortType="descending">
      <items count="12">
        <item x="5"/>
        <item x="0"/>
        <item x="1"/>
        <item x="7"/>
        <item x="2"/>
        <item x="8"/>
        <item x="3"/>
        <item x="9"/>
        <item x="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numFmtId="165" outline="0" showAll="0"/>
  </pivotFields>
  <rowFields count="1">
    <field x="4"/>
  </rowFields>
  <rowItems count="12">
    <i>
      <x v="8"/>
    </i>
    <i>
      <x v="10"/>
    </i>
    <i>
      <x v="4"/>
    </i>
    <i>
      <x v="5"/>
    </i>
    <i>
      <x v="1"/>
    </i>
    <i>
      <x v="9"/>
    </i>
    <i>
      <x v="2"/>
    </i>
    <i>
      <x v="3"/>
    </i>
    <i>
      <x v="6"/>
    </i>
    <i>
      <x/>
    </i>
    <i>
      <x v="7"/>
    </i>
    <i t="grand">
      <x/>
    </i>
  </rowItems>
  <colItems count="1">
    <i/>
  </colItems>
  <dataFields count="1">
    <dataField name="Sum of Production" fld="6" baseField="0" baseItem="0" numFmtId="3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9B9DA-B2CC-4883-B183-A03E16B8A25E}" name="PivotTable3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FD27:FE39" firstHeaderRow="1" firstDataRow="1" firstDataCol="1"/>
  <pivotFields count="10">
    <pivotField compact="0" outline="0" showAll="0">
      <items count="7">
        <item x="3"/>
        <item x="1"/>
        <item x="0"/>
        <item x="5"/>
        <item x="2"/>
        <item x="4"/>
        <item t="default"/>
      </items>
    </pivotField>
    <pivotField compact="0" numFmtId="164" outline="0" showAll="0"/>
    <pivotField compact="0" outline="0" showAll="0"/>
    <pivotField compact="0" outline="0" showAll="0"/>
    <pivotField axis="axisRow" compact="0" outline="0" showAll="0" sortType="descending">
      <items count="12">
        <item x="10"/>
        <item x="6"/>
        <item x="4"/>
        <item x="9"/>
        <item x="3"/>
        <item x="8"/>
        <item x="2"/>
        <item x="7"/>
        <item x="1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/>
    <pivotField compact="0" numFmtId="3" outline="0" showAll="0"/>
    <pivotField dataField="1" compact="0" numFmtId="3" outline="0" showAll="0"/>
    <pivotField compact="0" numFmtId="3" outline="0" showAll="0"/>
    <pivotField compact="0" numFmtId="165" outline="0" showAll="0"/>
  </pivotFields>
  <rowFields count="1">
    <field x="4"/>
  </rowFields>
  <rowItems count="12">
    <i>
      <x v="2"/>
    </i>
    <i>
      <x/>
    </i>
    <i>
      <x v="5"/>
    </i>
    <i>
      <x v="1"/>
    </i>
    <i>
      <x v="6"/>
    </i>
    <i>
      <x v="9"/>
    </i>
    <i>
      <x v="8"/>
    </i>
    <i>
      <x v="4"/>
    </i>
    <i>
      <x v="3"/>
    </i>
    <i>
      <x v="7"/>
    </i>
    <i>
      <x v="10"/>
    </i>
    <i t="grand">
      <x/>
    </i>
  </rowItems>
  <colItems count="1">
    <i/>
  </colItems>
  <dataFields count="1">
    <dataField name="Sum of Sales" fld="7" baseField="0" baseItem="0" numFmtId="3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C5B10A77-7F2A-4CA1-A3C9-07B54F402CC7}" sourceName="Product">
  <pivotTables>
    <pivotTable tabId="2" name="PivotTable1"/>
    <pivotTable tabId="2" name="PivotTable9"/>
    <pivotTable tabId="2" name="PivotTable8"/>
    <pivotTable tabId="2" name="PivotTable7"/>
    <pivotTable tabId="2" name="PivotTable6"/>
    <pivotTable tabId="2" name="PivotTable5"/>
    <pivotTable tabId="2" name="PivotTable4"/>
    <pivotTable tabId="2" name="PivotTable3"/>
    <pivotTable tabId="2" name="PivotTable2"/>
    <pivotTable tabId="2" name="PivotTable13"/>
  </pivotTables>
  <data>
    <tabular pivotCacheId="543111979">
      <items count="11">
        <i x="5" s="1"/>
        <i x="0" s="1"/>
        <i x="1" s="1"/>
        <i x="7" s="1"/>
        <i x="2" s="1"/>
        <i x="8" s="1"/>
        <i x="3" s="1"/>
        <i x="9" s="1"/>
        <i x="4" s="1"/>
        <i x="6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D286C634-B100-4E2F-A20D-D075EF47CB83}" sourceName="Month">
  <pivotTables>
    <pivotTable tabId="2" name="PivotTable1"/>
    <pivotTable tabId="2" name="PivotTable9"/>
    <pivotTable tabId="2" name="PivotTable7"/>
    <pivotTable tabId="2" name="PivotTable8"/>
    <pivotTable tabId="2" name="PivotTable5"/>
    <pivotTable tabId="2" name="PivotTable6"/>
    <pivotTable tabId="2" name="PivotTable2"/>
    <pivotTable tabId="2" name="PivotTable3"/>
    <pivotTable tabId="2" name="PivotTable4"/>
    <pivotTable tabId="2" name="PivotTable13"/>
  </pivotTables>
  <data>
    <tabular pivotCacheId="543111979">
      <items count="6">
        <i x="3" s="1"/>
        <i x="1" s="1"/>
        <i x="0" s="1"/>
        <i x="5" s="1"/>
        <i x="2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07D4F667-380E-438D-B851-3CDA284EF63A}" cache="Slicer_Product" caption="PRODUCTS" columnCount="7" rowHeight="228600"/>
  <slicer name="Month" xr10:uid="{E6813549-6337-41F7-81BC-B1F25F8FF5F6}" cache="Slicer_Month" caption="MONTH" columnCount="3" rowHeight="2762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2:J1993" totalsRowShown="0">
  <autoFilter ref="A2:J1993" xr:uid="{00000000-0009-0000-0100-000001000000}"/>
  <tableColumns count="10">
    <tableColumn id="1" xr3:uid="{00000000-0010-0000-0000-000001000000}" name="Month"/>
    <tableColumn id="2" xr3:uid="{00000000-0010-0000-0000-000002000000}" name="Date"/>
    <tableColumn id="3" xr3:uid="{00000000-0010-0000-0000-000003000000}" name="Day"/>
    <tableColumn id="4" xr3:uid="{00000000-0010-0000-0000-000004000000}" name="Weekday/Weekend"/>
    <tableColumn id="5" xr3:uid="{00000000-0010-0000-0000-000005000000}" name="Product"/>
    <tableColumn id="6" xr3:uid="{00000000-0010-0000-0000-000006000000}" name="Opening Stock"/>
    <tableColumn id="7" xr3:uid="{00000000-0010-0000-0000-000007000000}" name="Production"/>
    <tableColumn id="8" xr3:uid="{00000000-0010-0000-0000-000008000000}" name="Sales"/>
    <tableColumn id="9" xr3:uid="{00000000-0010-0000-0000-000009000000}" name="Closing Stock"/>
    <tableColumn id="10" xr3:uid="{00000000-0010-0000-0000-00000A000000}" name="Efficiency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00"/>
  </sheetPr>
  <dimension ref="A1:E9"/>
  <sheetViews>
    <sheetView zoomScaleNormal="100" workbookViewId="0">
      <pane ySplit="2" topLeftCell="A3" activePane="bottomLeft" state="frozen"/>
      <selection pane="bottomLeft" activeCell="A4" sqref="A4"/>
    </sheetView>
  </sheetViews>
  <sheetFormatPr defaultColWidth="8.7109375" defaultRowHeight="15"/>
  <cols>
    <col min="1" max="5" width="22" customWidth="1"/>
  </cols>
  <sheetData>
    <row r="1" spans="1:5" ht="36" customHeight="1">
      <c r="A1" s="67" t="s">
        <v>0</v>
      </c>
      <c r="B1" s="67"/>
      <c r="C1" s="67"/>
      <c r="D1" s="67"/>
      <c r="E1" s="67"/>
    </row>
    <row r="2" spans="1:5" ht="25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>
      <c r="A3" s="2" t="s">
        <v>6</v>
      </c>
      <c r="B3" s="3">
        <f>IFERROR('Jan 2026'!D379,"")</f>
        <v>4010</v>
      </c>
      <c r="C3" s="3">
        <f>IFERROR('Jan 2026'!E379,"")</f>
        <v>30914</v>
      </c>
      <c r="D3" s="3">
        <f>IFERROR('Jan 2026'!F379,"")</f>
        <v>23350</v>
      </c>
      <c r="E3" s="3">
        <f>IFERROR('Jan 2026'!G379,"")</f>
        <v>11574</v>
      </c>
    </row>
    <row r="4" spans="1:5" ht="18" customHeight="1">
      <c r="A4" s="4" t="s">
        <v>7</v>
      </c>
      <c r="B4" s="5">
        <f>IFERROR('Feb 2026'!D343,"")</f>
        <v>11574</v>
      </c>
      <c r="C4" s="5">
        <f>IFERROR('Feb 2026'!E343,"")</f>
        <v>28180</v>
      </c>
      <c r="D4" s="5">
        <f>IFERROR('Feb 2026'!F343,"")</f>
        <v>21337</v>
      </c>
      <c r="E4" s="5">
        <f>IFERROR('Feb 2026'!G343,"")</f>
        <v>18417</v>
      </c>
    </row>
    <row r="5" spans="1:5" ht="18" customHeight="1">
      <c r="A5" s="2" t="s">
        <v>8</v>
      </c>
      <c r="B5" s="3">
        <f>IFERROR('Mar 2026'!D379,"")</f>
        <v>18417</v>
      </c>
      <c r="C5" s="3">
        <f>IFERROR('Mar 2026'!E379,"")</f>
        <v>30864</v>
      </c>
      <c r="D5" s="3">
        <f>IFERROR('Mar 2026'!F379,"")</f>
        <v>23560</v>
      </c>
      <c r="E5" s="3">
        <f>IFERROR('Mar 2026'!G379,"")</f>
        <v>25721</v>
      </c>
    </row>
    <row r="6" spans="1:5" ht="18" customHeight="1">
      <c r="A6" s="4" t="s">
        <v>9</v>
      </c>
      <c r="B6" s="5">
        <f>IFERROR('Apr 2026'!D367,"")</f>
        <v>25721</v>
      </c>
      <c r="C6" s="5">
        <f>IFERROR('Apr 2026'!E367,"")</f>
        <v>30277</v>
      </c>
      <c r="D6" s="5">
        <f>IFERROR('Apr 2026'!F367,"")</f>
        <v>22827</v>
      </c>
      <c r="E6" s="5">
        <f>IFERROR('Apr 2026'!G367,"")</f>
        <v>33171</v>
      </c>
    </row>
    <row r="7" spans="1:5" ht="18" customHeight="1">
      <c r="A7" s="2" t="s">
        <v>10</v>
      </c>
      <c r="B7" s="3">
        <f>IFERROR('May 2026'!D379,"")</f>
        <v>33171</v>
      </c>
      <c r="C7" s="3">
        <f>IFERROR('May 2026'!E379,"")</f>
        <v>30492</v>
      </c>
      <c r="D7" s="3">
        <f>IFERROR('May 2026'!F379,"")</f>
        <v>23255</v>
      </c>
      <c r="E7" s="3">
        <f>IFERROR('May 2026'!G379,"")</f>
        <v>40408</v>
      </c>
    </row>
    <row r="8" spans="1:5" ht="18" customHeight="1">
      <c r="A8" s="4" t="s">
        <v>11</v>
      </c>
      <c r="B8" s="5">
        <f>IFERROR('Jun 2026'!D367,"")</f>
        <v>40408</v>
      </c>
      <c r="C8" s="5">
        <f>IFERROR('Jun 2026'!E367,"")</f>
        <v>30565</v>
      </c>
      <c r="D8" s="5">
        <f>IFERROR('Jun 2026'!F367,"")</f>
        <v>23338</v>
      </c>
      <c r="E8" s="5">
        <f>IFERROR('Jun 2026'!G367,"")</f>
        <v>47635</v>
      </c>
    </row>
    <row r="9" spans="1:5" ht="21.75" customHeight="1">
      <c r="A9" s="6" t="s">
        <v>12</v>
      </c>
      <c r="B9" s="7">
        <f>B3</f>
        <v>4010</v>
      </c>
      <c r="C9" s="7">
        <f>SUM(C3:C8)</f>
        <v>181292</v>
      </c>
      <c r="D9" s="7">
        <f>SUM(D3:D8)</f>
        <v>137667</v>
      </c>
      <c r="E9" s="7">
        <f>E8</f>
        <v>47635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44"/>
  <sheetViews>
    <sheetView tabSelected="1" zoomScaleNormal="100" workbookViewId="0"/>
  </sheetViews>
  <sheetFormatPr defaultColWidth="8.7109375" defaultRowHeight="15"/>
  <cols>
    <col min="2" max="2" width="19.7109375" customWidth="1"/>
    <col min="3" max="3" width="0.140625" hidden="1" customWidth="1"/>
    <col min="4" max="4" width="24.5703125" customWidth="1"/>
    <col min="6" max="6" width="5.7109375" customWidth="1"/>
    <col min="9" max="9" width="21.7109375" customWidth="1"/>
    <col min="12" max="12" width="19.7109375" customWidth="1"/>
    <col min="131" max="131" width="11.42578125" customWidth="1"/>
    <col min="132" max="132" width="12.7109375" customWidth="1"/>
    <col min="157" max="157" width="11.42578125" bestFit="1" customWidth="1"/>
    <col min="158" max="158" width="21.42578125" bestFit="1" customWidth="1"/>
    <col min="159" max="159" width="12.140625" bestFit="1" customWidth="1"/>
    <col min="160" max="160" width="11.42578125" bestFit="1" customWidth="1"/>
    <col min="161" max="161" width="12.140625" bestFit="1" customWidth="1"/>
    <col min="166" max="166" width="11.42578125" bestFit="1" customWidth="1"/>
    <col min="167" max="167" width="17.42578125" bestFit="1" customWidth="1"/>
    <col min="170" max="170" width="13.42578125" customWidth="1"/>
    <col min="171" max="171" width="12.140625" bestFit="1" customWidth="1"/>
    <col min="173" max="173" width="13.42578125" bestFit="1" customWidth="1"/>
    <col min="174" max="174" width="19.28515625" bestFit="1" customWidth="1"/>
  </cols>
  <sheetData>
    <row r="1" spans="1:174" ht="15" customHeight="1">
      <c r="A1" s="63" t="s">
        <v>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74" ht="1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EA2" s="8"/>
      <c r="EB2" s="8"/>
      <c r="FK2" t="s">
        <v>14</v>
      </c>
      <c r="FN2" s="56" t="s">
        <v>1</v>
      </c>
      <c r="FO2" t="s">
        <v>14</v>
      </c>
    </row>
    <row r="3" spans="1:174" ht="1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FK3" s="57">
        <v>137667</v>
      </c>
      <c r="FN3" t="s">
        <v>9</v>
      </c>
      <c r="FO3" s="57">
        <v>22827</v>
      </c>
    </row>
    <row r="4" spans="1:174" ht="15" customHeigh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FN4" t="s">
        <v>7</v>
      </c>
      <c r="FO4" s="57">
        <v>21337</v>
      </c>
    </row>
    <row r="5" spans="1:174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FK5" t="s">
        <v>15</v>
      </c>
      <c r="FN5" t="s">
        <v>6</v>
      </c>
      <c r="FO5" s="57">
        <v>23350</v>
      </c>
    </row>
    <row r="6" spans="1:174">
      <c r="A6" s="65" t="s">
        <v>16</v>
      </c>
      <c r="B6" s="65"/>
      <c r="C6" s="65"/>
      <c r="D6" s="65" t="s">
        <v>17</v>
      </c>
      <c r="E6" s="65"/>
      <c r="F6" s="65"/>
      <c r="G6" s="65" t="s">
        <v>18</v>
      </c>
      <c r="H6" s="65"/>
      <c r="I6" s="65"/>
      <c r="J6" s="65" t="s">
        <v>19</v>
      </c>
      <c r="K6" s="65"/>
      <c r="L6" s="65"/>
      <c r="M6" s="65" t="s">
        <v>20</v>
      </c>
      <c r="N6" s="65"/>
      <c r="O6" s="65"/>
      <c r="FK6" s="57">
        <v>181292</v>
      </c>
      <c r="FN6" t="s">
        <v>11</v>
      </c>
      <c r="FO6" s="57">
        <v>23338</v>
      </c>
    </row>
    <row r="7" spans="1:174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FN7" t="s">
        <v>8</v>
      </c>
      <c r="FO7" s="57">
        <v>23560</v>
      </c>
    </row>
    <row r="8" spans="1:174">
      <c r="A8" s="66">
        <f>FK3</f>
        <v>137667</v>
      </c>
      <c r="B8" s="61"/>
      <c r="C8" s="61"/>
      <c r="D8" s="66">
        <f>FK6</f>
        <v>181292</v>
      </c>
      <c r="E8" s="61"/>
      <c r="F8" s="61"/>
      <c r="G8" s="61" t="str">
        <f>FN11</f>
        <v>March 2026 (23560 Bags)</v>
      </c>
      <c r="H8" s="61"/>
      <c r="I8" s="61"/>
      <c r="J8" s="61" t="str">
        <f>FN27</f>
        <v>50/150# (14990 Bags)</v>
      </c>
      <c r="K8" s="61"/>
      <c r="L8" s="61"/>
      <c r="M8" s="62">
        <f>FK9</f>
        <v>76.629382219989864</v>
      </c>
      <c r="N8" s="61"/>
      <c r="O8" s="61"/>
      <c r="FA8" s="56" t="s">
        <v>1</v>
      </c>
      <c r="FB8" t="s">
        <v>21</v>
      </c>
      <c r="FK8" t="s">
        <v>22</v>
      </c>
      <c r="FN8" t="s">
        <v>10</v>
      </c>
      <c r="FO8" s="57">
        <v>23255</v>
      </c>
    </row>
    <row r="9" spans="1:174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FK9" s="58">
        <v>76.629382219989864</v>
      </c>
      <c r="FN9" t="s">
        <v>23</v>
      </c>
      <c r="FO9" s="57">
        <v>137667</v>
      </c>
    </row>
    <row r="10" spans="1:174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FA10" s="56" t="s">
        <v>24</v>
      </c>
      <c r="FB10" t="s">
        <v>15</v>
      </c>
      <c r="FC10" t="s">
        <v>14</v>
      </c>
    </row>
    <row r="11" spans="1:174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FA11" t="s">
        <v>25</v>
      </c>
      <c r="FB11" s="57">
        <v>12422</v>
      </c>
      <c r="FC11" s="57">
        <v>9668</v>
      </c>
      <c r="FN11" t="str">
        <f>_xlfn.XLOOKUP(MAX(FO3:FO8),FO3:FO8,FN3:FN8)&amp;" ("&amp; MAX(FO3:FO8)&amp;" Bags)"</f>
        <v>March 2026 (23560 Bags)</v>
      </c>
    </row>
    <row r="12" spans="1:174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FA12" t="s">
        <v>26</v>
      </c>
      <c r="FB12" s="57">
        <v>17548</v>
      </c>
      <c r="FC12" s="57">
        <v>12934</v>
      </c>
    </row>
    <row r="13" spans="1:174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FA13" t="s">
        <v>27</v>
      </c>
      <c r="FB13" s="57">
        <v>15432</v>
      </c>
      <c r="FC13" s="57">
        <v>12156</v>
      </c>
      <c r="FN13" s="56" t="s">
        <v>24</v>
      </c>
      <c r="FO13" t="s">
        <v>14</v>
      </c>
      <c r="FQ13" s="56" t="s">
        <v>1</v>
      </c>
      <c r="FR13" t="s">
        <v>28</v>
      </c>
    </row>
    <row r="14" spans="1:17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FA14" t="s">
        <v>29</v>
      </c>
      <c r="FB14" s="57">
        <v>14308</v>
      </c>
      <c r="FC14" s="57">
        <v>10665</v>
      </c>
      <c r="FN14" t="s">
        <v>25</v>
      </c>
      <c r="FO14" s="57">
        <v>9668</v>
      </c>
      <c r="FQ14" t="s">
        <v>9</v>
      </c>
      <c r="FR14" s="57">
        <v>4514</v>
      </c>
    </row>
    <row r="15" spans="1:174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FA15" t="s">
        <v>30</v>
      </c>
      <c r="FB15" s="57">
        <v>18766</v>
      </c>
      <c r="FC15" s="57">
        <v>12996</v>
      </c>
      <c r="FI15" s="59"/>
      <c r="FN15" t="s">
        <v>26</v>
      </c>
      <c r="FO15" s="57">
        <v>12934</v>
      </c>
      <c r="FQ15" t="s">
        <v>7</v>
      </c>
      <c r="FR15" s="57">
        <v>2440</v>
      </c>
    </row>
    <row r="16" spans="1:174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FA16" t="s">
        <v>31</v>
      </c>
      <c r="FB16" s="57">
        <v>18545</v>
      </c>
      <c r="FC16" s="57">
        <v>13668</v>
      </c>
      <c r="FN16" t="s">
        <v>27</v>
      </c>
      <c r="FO16" s="57">
        <v>12156</v>
      </c>
      <c r="FQ16" t="s">
        <v>6</v>
      </c>
      <c r="FR16" s="57">
        <v>1529</v>
      </c>
    </row>
    <row r="17" spans="1:174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FA17" t="s">
        <v>32</v>
      </c>
      <c r="FB17" s="57">
        <v>13725</v>
      </c>
      <c r="FC17" s="57">
        <v>11657</v>
      </c>
      <c r="FN17" t="s">
        <v>29</v>
      </c>
      <c r="FO17" s="57">
        <v>10665</v>
      </c>
      <c r="FQ17" t="s">
        <v>11</v>
      </c>
      <c r="FR17" s="57">
        <v>6487</v>
      </c>
    </row>
    <row r="18" spans="1:174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FA18" t="s">
        <v>33</v>
      </c>
      <c r="FB18" s="57">
        <v>12285</v>
      </c>
      <c r="FC18" s="57">
        <v>10712</v>
      </c>
      <c r="FN18" t="s">
        <v>30</v>
      </c>
      <c r="FO18" s="57">
        <v>12996</v>
      </c>
      <c r="FQ18" t="s">
        <v>8</v>
      </c>
      <c r="FR18" s="57">
        <v>3400</v>
      </c>
    </row>
    <row r="19" spans="1:174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FA19" t="s">
        <v>34</v>
      </c>
      <c r="FB19" s="57">
        <v>20959</v>
      </c>
      <c r="FC19" s="57">
        <v>14990</v>
      </c>
      <c r="FN19" t="s">
        <v>31</v>
      </c>
      <c r="FO19" s="57">
        <v>13668</v>
      </c>
      <c r="FQ19" t="s">
        <v>10</v>
      </c>
      <c r="FR19" s="57">
        <v>5454</v>
      </c>
    </row>
    <row r="20" spans="1:174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FA20" t="s">
        <v>35</v>
      </c>
      <c r="FB20" s="57">
        <v>16542</v>
      </c>
      <c r="FC20" s="57">
        <v>13498</v>
      </c>
      <c r="FN20" t="s">
        <v>32</v>
      </c>
      <c r="FO20" s="57">
        <v>11657</v>
      </c>
      <c r="FQ20" t="s">
        <v>23</v>
      </c>
      <c r="FR20" s="57">
        <v>6487</v>
      </c>
    </row>
    <row r="21" spans="1:174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FA21" t="s">
        <v>36</v>
      </c>
      <c r="FB21" s="57">
        <v>20760</v>
      </c>
      <c r="FC21" s="57">
        <v>14723</v>
      </c>
      <c r="FN21" t="s">
        <v>33</v>
      </c>
      <c r="FO21" s="57">
        <v>10712</v>
      </c>
    </row>
    <row r="22" spans="1:174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FA22" t="s">
        <v>23</v>
      </c>
      <c r="FB22" s="57">
        <v>181292</v>
      </c>
      <c r="FC22" s="57">
        <v>137667</v>
      </c>
      <c r="FN22" t="s">
        <v>34</v>
      </c>
      <c r="FO22" s="57">
        <v>14990</v>
      </c>
    </row>
    <row r="23" spans="1:174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FN23" t="s">
        <v>35</v>
      </c>
      <c r="FO23" s="57">
        <v>13498</v>
      </c>
    </row>
    <row r="24" spans="1:17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FN24" t="s">
        <v>36</v>
      </c>
      <c r="FO24" s="57">
        <v>14723</v>
      </c>
    </row>
    <row r="25" spans="1:174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FA25" s="56" t="s">
        <v>24</v>
      </c>
      <c r="FB25" t="s">
        <v>22</v>
      </c>
      <c r="FN25" t="s">
        <v>23</v>
      </c>
      <c r="FO25" s="57">
        <v>137667</v>
      </c>
    </row>
    <row r="26" spans="1:174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FA26" t="s">
        <v>33</v>
      </c>
      <c r="FB26" s="58">
        <v>86.660773480662982</v>
      </c>
    </row>
    <row r="27" spans="1:174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FA27" t="s">
        <v>32</v>
      </c>
      <c r="FB27" s="58">
        <v>84.771823204419846</v>
      </c>
      <c r="FD27" s="56" t="s">
        <v>24</v>
      </c>
      <c r="FE27" t="s">
        <v>14</v>
      </c>
      <c r="FN27" t="str">
        <f>_xlfn.XLOOKUP(MAX(FO14:FO24),FO14:FO24,FN14:FN24)&amp;" ("&amp; MAX(FO14:FO24)&amp;" Bags)"</f>
        <v>50/150# (14990 Bags)</v>
      </c>
    </row>
    <row r="28" spans="1:174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FA28" t="s">
        <v>35</v>
      </c>
      <c r="FB28" s="58">
        <v>81.559116022099431</v>
      </c>
      <c r="FD28" t="s">
        <v>34</v>
      </c>
      <c r="FE28" s="57">
        <v>14990</v>
      </c>
      <c r="FJ28" s="56" t="s">
        <v>24</v>
      </c>
      <c r="FK28" t="s">
        <v>15</v>
      </c>
    </row>
    <row r="29" spans="1:174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FA29" t="s">
        <v>27</v>
      </c>
      <c r="FB29" s="58">
        <v>78.917127071823188</v>
      </c>
      <c r="FD29" t="s">
        <v>36</v>
      </c>
      <c r="FE29" s="57">
        <v>14723</v>
      </c>
      <c r="FJ29" t="s">
        <v>34</v>
      </c>
      <c r="FK29" s="57">
        <v>20959</v>
      </c>
    </row>
    <row r="30" spans="1:174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FA30" t="s">
        <v>25</v>
      </c>
      <c r="FB30" s="58">
        <v>77.440331491712755</v>
      </c>
      <c r="FD30" t="s">
        <v>31</v>
      </c>
      <c r="FE30" s="57">
        <v>13668</v>
      </c>
      <c r="FJ30" t="s">
        <v>36</v>
      </c>
      <c r="FK30" s="57">
        <v>20760</v>
      </c>
    </row>
    <row r="31" spans="1:174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FA31" t="s">
        <v>29</v>
      </c>
      <c r="FB31" s="58">
        <v>74.641988950276243</v>
      </c>
      <c r="FD31" t="s">
        <v>35</v>
      </c>
      <c r="FE31" s="57">
        <v>13498</v>
      </c>
      <c r="FJ31" t="s">
        <v>30</v>
      </c>
      <c r="FK31" s="57">
        <v>18766</v>
      </c>
    </row>
    <row r="32" spans="1:174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FA32" t="s">
        <v>26</v>
      </c>
      <c r="FB32" s="58">
        <v>73.669613259668509</v>
      </c>
      <c r="FD32" t="s">
        <v>30</v>
      </c>
      <c r="FE32" s="57">
        <v>12996</v>
      </c>
      <c r="FJ32" t="s">
        <v>31</v>
      </c>
      <c r="FK32" s="57">
        <v>18545</v>
      </c>
    </row>
    <row r="33" spans="1:167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FA33" t="s">
        <v>31</v>
      </c>
      <c r="FB33" s="58">
        <v>73.610497237569078</v>
      </c>
      <c r="FD33" t="s">
        <v>26</v>
      </c>
      <c r="FE33" s="57">
        <v>12934</v>
      </c>
      <c r="FJ33" t="s">
        <v>26</v>
      </c>
      <c r="FK33" s="57">
        <v>17548</v>
      </c>
    </row>
    <row r="34" spans="1:167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FA34" t="s">
        <v>34</v>
      </c>
      <c r="FB34" s="58">
        <v>71.423756906077315</v>
      </c>
      <c r="FD34" t="s">
        <v>27</v>
      </c>
      <c r="FE34" s="57">
        <v>12156</v>
      </c>
      <c r="FJ34" t="s">
        <v>35</v>
      </c>
      <c r="FK34" s="57">
        <v>16542</v>
      </c>
    </row>
    <row r="35" spans="1:16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FA35" t="s">
        <v>36</v>
      </c>
      <c r="FB35" s="58">
        <v>70.90055248618782</v>
      </c>
      <c r="FD35" t="s">
        <v>32</v>
      </c>
      <c r="FE35" s="57">
        <v>11657</v>
      </c>
      <c r="FJ35" t="s">
        <v>27</v>
      </c>
      <c r="FK35" s="57">
        <v>15432</v>
      </c>
    </row>
    <row r="36" spans="1:167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FA36" t="s">
        <v>30</v>
      </c>
      <c r="FB36" s="58">
        <v>69.327624309392277</v>
      </c>
      <c r="FD36" t="s">
        <v>33</v>
      </c>
      <c r="FE36" s="57">
        <v>10712</v>
      </c>
      <c r="FJ36" t="s">
        <v>29</v>
      </c>
      <c r="FK36" s="57">
        <v>14308</v>
      </c>
    </row>
    <row r="37" spans="1:16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DH37" t="s">
        <v>37</v>
      </c>
      <c r="FA37" t="s">
        <v>23</v>
      </c>
      <c r="FB37" s="58">
        <v>76.629382219990049</v>
      </c>
      <c r="FD37" t="s">
        <v>29</v>
      </c>
      <c r="FE37" s="57">
        <v>10665</v>
      </c>
      <c r="FJ37" t="s">
        <v>32</v>
      </c>
      <c r="FK37" s="57">
        <v>13725</v>
      </c>
    </row>
    <row r="38" spans="1:167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FD38" t="s">
        <v>25</v>
      </c>
      <c r="FE38" s="57">
        <v>9668</v>
      </c>
      <c r="FJ38" t="s">
        <v>25</v>
      </c>
      <c r="FK38" s="57">
        <v>12422</v>
      </c>
    </row>
    <row r="39" spans="1:167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FD39" t="s">
        <v>23</v>
      </c>
      <c r="FE39" s="57">
        <v>137667</v>
      </c>
      <c r="FJ39" t="s">
        <v>33</v>
      </c>
      <c r="FK39" s="57">
        <v>12285</v>
      </c>
    </row>
    <row r="40" spans="1:167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FJ40" t="s">
        <v>23</v>
      </c>
      <c r="FK40" s="57">
        <v>181292</v>
      </c>
    </row>
    <row r="41" spans="1:167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</row>
    <row r="42" spans="1:167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</row>
    <row r="43" spans="1:167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1:167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</sheetData>
  <mergeCells count="11">
    <mergeCell ref="G8:I9"/>
    <mergeCell ref="J8:L9"/>
    <mergeCell ref="M8:O9"/>
    <mergeCell ref="A1:O5"/>
    <mergeCell ref="A6:C7"/>
    <mergeCell ref="A8:C9"/>
    <mergeCell ref="D6:F7"/>
    <mergeCell ref="G6:I7"/>
    <mergeCell ref="J6:L7"/>
    <mergeCell ref="M6:O7"/>
    <mergeCell ref="D8:F9"/>
  </mergeCells>
  <pageMargins left="0.7" right="0.7" top="0.75" bottom="0.75" header="0.511811023622047" footer="0.511811023622047"/>
  <pageSetup paperSize="9" orientation="portrait" horizontalDpi="300" verticalDpi="300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J1993"/>
  <sheetViews>
    <sheetView zoomScaleNormal="100" workbookViewId="0">
      <pane ySplit="2" topLeftCell="A3" activePane="bottomLeft" state="frozen"/>
      <selection pane="bottomLeft" activeCell="O13" sqref="O13"/>
    </sheetView>
  </sheetViews>
  <sheetFormatPr defaultColWidth="8.7109375" defaultRowHeight="15"/>
  <cols>
    <col min="1" max="1" width="16" customWidth="1"/>
    <col min="2" max="2" width="14" customWidth="1"/>
    <col min="3" max="3" width="8" customWidth="1"/>
    <col min="4" max="4" width="10" customWidth="1"/>
    <col min="5" max="7" width="14" customWidth="1"/>
    <col min="8" max="8" width="12" customWidth="1"/>
    <col min="9" max="9" width="14" customWidth="1"/>
    <col min="10" max="10" width="12" customWidth="1"/>
  </cols>
  <sheetData>
    <row r="1" spans="1:10" ht="30" customHeight="1">
      <c r="A1" s="68" t="s">
        <v>38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27.75" customHeight="1">
      <c r="A2" s="9" t="s">
        <v>1</v>
      </c>
      <c r="B2" s="9" t="s">
        <v>39</v>
      </c>
      <c r="C2" s="9" t="s">
        <v>40</v>
      </c>
      <c r="D2" s="9" t="s">
        <v>41</v>
      </c>
      <c r="E2" s="9" t="s">
        <v>24</v>
      </c>
      <c r="F2" s="10" t="s">
        <v>2</v>
      </c>
      <c r="G2" s="11" t="s">
        <v>42</v>
      </c>
      <c r="H2" s="12" t="s">
        <v>43</v>
      </c>
      <c r="I2" s="10" t="s">
        <v>5</v>
      </c>
      <c r="J2" s="13" t="s">
        <v>44</v>
      </c>
    </row>
    <row r="3" spans="1:10" ht="15.75" customHeight="1">
      <c r="A3" s="14" t="s">
        <v>6</v>
      </c>
      <c r="B3" s="15">
        <v>46023</v>
      </c>
      <c r="C3" s="16" t="s">
        <v>45</v>
      </c>
      <c r="D3" s="17" t="s">
        <v>46</v>
      </c>
      <c r="E3" s="18" t="s">
        <v>26</v>
      </c>
      <c r="F3" s="19">
        <v>480</v>
      </c>
      <c r="G3" s="20">
        <v>86</v>
      </c>
      <c r="H3" s="21">
        <v>63</v>
      </c>
      <c r="I3" s="22">
        <v>503</v>
      </c>
      <c r="J3" s="23">
        <v>73.3</v>
      </c>
    </row>
    <row r="4" spans="1:10" ht="15.75" customHeight="1">
      <c r="A4" s="24" t="s">
        <v>6</v>
      </c>
      <c r="B4" s="25">
        <v>46023</v>
      </c>
      <c r="C4" s="26" t="s">
        <v>45</v>
      </c>
      <c r="D4" s="27" t="s">
        <v>46</v>
      </c>
      <c r="E4" s="28" t="s">
        <v>27</v>
      </c>
      <c r="F4" s="29">
        <v>380</v>
      </c>
      <c r="G4" s="30">
        <v>75</v>
      </c>
      <c r="H4" s="31">
        <v>65</v>
      </c>
      <c r="I4" s="32">
        <v>390</v>
      </c>
      <c r="J4" s="33">
        <v>86.7</v>
      </c>
    </row>
    <row r="5" spans="1:10" ht="15.75" customHeight="1">
      <c r="A5" s="14" t="s">
        <v>6</v>
      </c>
      <c r="B5" s="15">
        <v>46023</v>
      </c>
      <c r="C5" s="16" t="s">
        <v>45</v>
      </c>
      <c r="D5" s="17" t="s">
        <v>46</v>
      </c>
      <c r="E5" s="18" t="s">
        <v>30</v>
      </c>
      <c r="F5" s="19">
        <v>330</v>
      </c>
      <c r="G5" s="20">
        <v>124</v>
      </c>
      <c r="H5" s="21">
        <v>77</v>
      </c>
      <c r="I5" s="22">
        <v>377</v>
      </c>
      <c r="J5" s="23">
        <v>62.1</v>
      </c>
    </row>
    <row r="6" spans="1:10" ht="15.75" customHeight="1">
      <c r="A6" s="24" t="s">
        <v>6</v>
      </c>
      <c r="B6" s="25">
        <v>46023</v>
      </c>
      <c r="C6" s="26" t="s">
        <v>45</v>
      </c>
      <c r="D6" s="27" t="s">
        <v>46</v>
      </c>
      <c r="E6" s="28" t="s">
        <v>32</v>
      </c>
      <c r="F6" s="29">
        <v>430</v>
      </c>
      <c r="G6" s="30">
        <v>113</v>
      </c>
      <c r="H6" s="31">
        <v>85</v>
      </c>
      <c r="I6" s="32">
        <v>458</v>
      </c>
      <c r="J6" s="33">
        <v>75.2</v>
      </c>
    </row>
    <row r="7" spans="1:10" ht="15.75" customHeight="1">
      <c r="A7" s="14" t="s">
        <v>6</v>
      </c>
      <c r="B7" s="15">
        <v>46023</v>
      </c>
      <c r="C7" s="16" t="s">
        <v>45</v>
      </c>
      <c r="D7" s="17" t="s">
        <v>46</v>
      </c>
      <c r="E7" s="18" t="s">
        <v>34</v>
      </c>
      <c r="F7" s="19">
        <v>280</v>
      </c>
      <c r="G7" s="20">
        <v>148</v>
      </c>
      <c r="H7" s="21">
        <v>108</v>
      </c>
      <c r="I7" s="22">
        <v>320</v>
      </c>
      <c r="J7" s="23">
        <v>73</v>
      </c>
    </row>
    <row r="8" spans="1:10" ht="15.75" customHeight="1">
      <c r="A8" s="24" t="s">
        <v>6</v>
      </c>
      <c r="B8" s="25">
        <v>46023</v>
      </c>
      <c r="C8" s="26" t="s">
        <v>45</v>
      </c>
      <c r="D8" s="27" t="s">
        <v>46</v>
      </c>
      <c r="E8" s="28" t="s">
        <v>25</v>
      </c>
      <c r="F8" s="29">
        <v>360</v>
      </c>
      <c r="G8" s="30">
        <v>85</v>
      </c>
      <c r="H8" s="31">
        <v>67</v>
      </c>
      <c r="I8" s="32">
        <v>378</v>
      </c>
      <c r="J8" s="33">
        <v>78.8</v>
      </c>
    </row>
    <row r="9" spans="1:10" ht="15.75" customHeight="1">
      <c r="A9" s="14" t="s">
        <v>6</v>
      </c>
      <c r="B9" s="15">
        <v>46023</v>
      </c>
      <c r="C9" s="16" t="s">
        <v>45</v>
      </c>
      <c r="D9" s="17" t="s">
        <v>46</v>
      </c>
      <c r="E9" s="18" t="s">
        <v>35</v>
      </c>
      <c r="F9" s="19">
        <v>400</v>
      </c>
      <c r="G9" s="20">
        <v>118</v>
      </c>
      <c r="H9" s="21">
        <v>85</v>
      </c>
      <c r="I9" s="22">
        <v>433</v>
      </c>
      <c r="J9" s="23">
        <v>72</v>
      </c>
    </row>
    <row r="10" spans="1:10" ht="15.75" customHeight="1">
      <c r="A10" s="24" t="s">
        <v>6</v>
      </c>
      <c r="B10" s="25">
        <v>46023</v>
      </c>
      <c r="C10" s="26" t="s">
        <v>45</v>
      </c>
      <c r="D10" s="27" t="s">
        <v>46</v>
      </c>
      <c r="E10" s="28" t="s">
        <v>29</v>
      </c>
      <c r="F10" s="29">
        <v>340</v>
      </c>
      <c r="G10" s="30">
        <v>75</v>
      </c>
      <c r="H10" s="31">
        <v>53</v>
      </c>
      <c r="I10" s="32">
        <v>362</v>
      </c>
      <c r="J10" s="34">
        <v>70.7</v>
      </c>
    </row>
    <row r="11" spans="1:10" ht="15.75" customHeight="1">
      <c r="A11" s="14" t="s">
        <v>6</v>
      </c>
      <c r="B11" s="15">
        <v>46023</v>
      </c>
      <c r="C11" s="16" t="s">
        <v>45</v>
      </c>
      <c r="D11" s="17" t="s">
        <v>46</v>
      </c>
      <c r="E11" s="18" t="s">
        <v>31</v>
      </c>
      <c r="F11" s="19">
        <v>290</v>
      </c>
      <c r="G11" s="20">
        <v>128</v>
      </c>
      <c r="H11" s="21">
        <v>98</v>
      </c>
      <c r="I11" s="22">
        <v>320</v>
      </c>
      <c r="J11" s="35">
        <v>76.599999999999994</v>
      </c>
    </row>
    <row r="12" spans="1:10" ht="15.75" customHeight="1">
      <c r="A12" s="24" t="s">
        <v>6</v>
      </c>
      <c r="B12" s="25">
        <v>46023</v>
      </c>
      <c r="C12" s="26" t="s">
        <v>45</v>
      </c>
      <c r="D12" s="27" t="s">
        <v>46</v>
      </c>
      <c r="E12" s="28" t="s">
        <v>33</v>
      </c>
      <c r="F12" s="29">
        <v>270</v>
      </c>
      <c r="G12" s="30">
        <v>76</v>
      </c>
      <c r="H12" s="31">
        <v>66</v>
      </c>
      <c r="I12" s="32">
        <v>280</v>
      </c>
      <c r="J12" s="33">
        <v>86.8</v>
      </c>
    </row>
    <row r="13" spans="1:10" ht="15.75" customHeight="1">
      <c r="A13" s="14" t="s">
        <v>6</v>
      </c>
      <c r="B13" s="15">
        <v>46023</v>
      </c>
      <c r="C13" s="16" t="s">
        <v>45</v>
      </c>
      <c r="D13" s="17" t="s">
        <v>46</v>
      </c>
      <c r="E13" s="18" t="s">
        <v>36</v>
      </c>
      <c r="F13" s="19">
        <v>450</v>
      </c>
      <c r="G13" s="20">
        <v>115</v>
      </c>
      <c r="H13" s="21">
        <v>70</v>
      </c>
      <c r="I13" s="22">
        <v>495</v>
      </c>
      <c r="J13" s="23">
        <v>60.9</v>
      </c>
    </row>
    <row r="14" spans="1:10" ht="15.75" customHeight="1">
      <c r="A14" s="24" t="s">
        <v>6</v>
      </c>
      <c r="B14" s="25">
        <v>46024</v>
      </c>
      <c r="C14" s="26" t="s">
        <v>47</v>
      </c>
      <c r="D14" s="27" t="s">
        <v>46</v>
      </c>
      <c r="E14" s="28" t="s">
        <v>26</v>
      </c>
      <c r="F14" s="29">
        <v>503</v>
      </c>
      <c r="G14" s="30">
        <v>137</v>
      </c>
      <c r="H14" s="31">
        <v>92</v>
      </c>
      <c r="I14" s="32">
        <v>548</v>
      </c>
      <c r="J14" s="34">
        <v>67.2</v>
      </c>
    </row>
    <row r="15" spans="1:10" ht="15.75" customHeight="1">
      <c r="A15" s="14" t="s">
        <v>6</v>
      </c>
      <c r="B15" s="15">
        <v>46024</v>
      </c>
      <c r="C15" s="16" t="s">
        <v>47</v>
      </c>
      <c r="D15" s="17" t="s">
        <v>46</v>
      </c>
      <c r="E15" s="18" t="s">
        <v>27</v>
      </c>
      <c r="F15" s="19">
        <v>390</v>
      </c>
      <c r="G15" s="20">
        <v>127</v>
      </c>
      <c r="H15" s="21">
        <v>89</v>
      </c>
      <c r="I15" s="22">
        <v>428</v>
      </c>
      <c r="J15" s="23">
        <v>70.099999999999994</v>
      </c>
    </row>
    <row r="16" spans="1:10" ht="15.75" customHeight="1">
      <c r="A16" s="24" t="s">
        <v>6</v>
      </c>
      <c r="B16" s="25">
        <v>46024</v>
      </c>
      <c r="C16" s="26" t="s">
        <v>47</v>
      </c>
      <c r="D16" s="27" t="s">
        <v>46</v>
      </c>
      <c r="E16" s="28" t="s">
        <v>30</v>
      </c>
      <c r="F16" s="29">
        <v>377</v>
      </c>
      <c r="G16" s="30">
        <v>101</v>
      </c>
      <c r="H16" s="31">
        <v>64</v>
      </c>
      <c r="I16" s="32">
        <v>414</v>
      </c>
      <c r="J16" s="34">
        <v>63.4</v>
      </c>
    </row>
    <row r="17" spans="1:10" ht="15.75" customHeight="1">
      <c r="A17" s="14" t="s">
        <v>6</v>
      </c>
      <c r="B17" s="15">
        <v>46024</v>
      </c>
      <c r="C17" s="16" t="s">
        <v>47</v>
      </c>
      <c r="D17" s="17" t="s">
        <v>46</v>
      </c>
      <c r="E17" s="18" t="s">
        <v>32</v>
      </c>
      <c r="F17" s="19">
        <v>458</v>
      </c>
      <c r="G17" s="20">
        <v>68</v>
      </c>
      <c r="H17" s="21">
        <v>63</v>
      </c>
      <c r="I17" s="22">
        <v>463</v>
      </c>
      <c r="J17" s="35">
        <v>92.6</v>
      </c>
    </row>
    <row r="18" spans="1:10" ht="15.75" customHeight="1">
      <c r="A18" s="24" t="s">
        <v>6</v>
      </c>
      <c r="B18" s="25">
        <v>46024</v>
      </c>
      <c r="C18" s="26" t="s">
        <v>47</v>
      </c>
      <c r="D18" s="27" t="s">
        <v>46</v>
      </c>
      <c r="E18" s="28" t="s">
        <v>34</v>
      </c>
      <c r="F18" s="29">
        <v>320</v>
      </c>
      <c r="G18" s="30">
        <v>102</v>
      </c>
      <c r="H18" s="31">
        <v>72</v>
      </c>
      <c r="I18" s="32">
        <v>350</v>
      </c>
      <c r="J18" s="34">
        <v>70.599999999999994</v>
      </c>
    </row>
    <row r="19" spans="1:10" ht="15.75" customHeight="1">
      <c r="A19" s="14" t="s">
        <v>6</v>
      </c>
      <c r="B19" s="15">
        <v>46024</v>
      </c>
      <c r="C19" s="16" t="s">
        <v>47</v>
      </c>
      <c r="D19" s="17" t="s">
        <v>46</v>
      </c>
      <c r="E19" s="18" t="s">
        <v>25</v>
      </c>
      <c r="F19" s="19">
        <v>378</v>
      </c>
      <c r="G19" s="20">
        <v>108</v>
      </c>
      <c r="H19" s="21">
        <v>86</v>
      </c>
      <c r="I19" s="22">
        <v>400</v>
      </c>
      <c r="J19" s="35">
        <v>79.599999999999994</v>
      </c>
    </row>
    <row r="20" spans="1:10" ht="15.75" customHeight="1">
      <c r="A20" s="24" t="s">
        <v>6</v>
      </c>
      <c r="B20" s="25">
        <v>46024</v>
      </c>
      <c r="C20" s="26" t="s">
        <v>47</v>
      </c>
      <c r="D20" s="27" t="s">
        <v>46</v>
      </c>
      <c r="E20" s="28" t="s">
        <v>35</v>
      </c>
      <c r="F20" s="29">
        <v>433</v>
      </c>
      <c r="G20" s="30">
        <v>136</v>
      </c>
      <c r="H20" s="31">
        <v>105</v>
      </c>
      <c r="I20" s="32">
        <v>464</v>
      </c>
      <c r="J20" s="33">
        <v>77.2</v>
      </c>
    </row>
    <row r="21" spans="1:10" ht="15.75" customHeight="1">
      <c r="A21" s="14" t="s">
        <v>6</v>
      </c>
      <c r="B21" s="15">
        <v>46024</v>
      </c>
      <c r="C21" s="16" t="s">
        <v>47</v>
      </c>
      <c r="D21" s="17" t="s">
        <v>46</v>
      </c>
      <c r="E21" s="18" t="s">
        <v>29</v>
      </c>
      <c r="F21" s="19">
        <v>362</v>
      </c>
      <c r="G21" s="20">
        <v>95</v>
      </c>
      <c r="H21" s="21">
        <v>63</v>
      </c>
      <c r="I21" s="22">
        <v>394</v>
      </c>
      <c r="J21" s="23">
        <v>66.3</v>
      </c>
    </row>
    <row r="22" spans="1:10" ht="15.75" customHeight="1">
      <c r="A22" s="24" t="s">
        <v>6</v>
      </c>
      <c r="B22" s="25">
        <v>46024</v>
      </c>
      <c r="C22" s="26" t="s">
        <v>47</v>
      </c>
      <c r="D22" s="27" t="s">
        <v>46</v>
      </c>
      <c r="E22" s="28" t="s">
        <v>31</v>
      </c>
      <c r="F22" s="29">
        <v>320</v>
      </c>
      <c r="G22" s="30">
        <v>124</v>
      </c>
      <c r="H22" s="31">
        <v>89</v>
      </c>
      <c r="I22" s="32">
        <v>355</v>
      </c>
      <c r="J22" s="34">
        <v>71.8</v>
      </c>
    </row>
    <row r="23" spans="1:10" ht="15.75" customHeight="1">
      <c r="A23" s="14" t="s">
        <v>6</v>
      </c>
      <c r="B23" s="15">
        <v>46024</v>
      </c>
      <c r="C23" s="16" t="s">
        <v>47</v>
      </c>
      <c r="D23" s="17" t="s">
        <v>46</v>
      </c>
      <c r="E23" s="18" t="s">
        <v>33</v>
      </c>
      <c r="F23" s="19">
        <v>280</v>
      </c>
      <c r="G23" s="20">
        <v>88</v>
      </c>
      <c r="H23" s="21">
        <v>83</v>
      </c>
      <c r="I23" s="22">
        <v>285</v>
      </c>
      <c r="J23" s="35">
        <v>94.3</v>
      </c>
    </row>
    <row r="24" spans="1:10" ht="15.75" customHeight="1">
      <c r="A24" s="24" t="s">
        <v>6</v>
      </c>
      <c r="B24" s="25">
        <v>46024</v>
      </c>
      <c r="C24" s="26" t="s">
        <v>47</v>
      </c>
      <c r="D24" s="27" t="s">
        <v>46</v>
      </c>
      <c r="E24" s="28" t="s">
        <v>36</v>
      </c>
      <c r="F24" s="29">
        <v>495</v>
      </c>
      <c r="G24" s="30">
        <v>121</v>
      </c>
      <c r="H24" s="31">
        <v>92</v>
      </c>
      <c r="I24" s="32">
        <v>524</v>
      </c>
      <c r="J24" s="33">
        <v>76</v>
      </c>
    </row>
    <row r="25" spans="1:10" ht="15.75" customHeight="1">
      <c r="A25" s="36" t="s">
        <v>6</v>
      </c>
      <c r="B25" s="37">
        <v>46025</v>
      </c>
      <c r="C25" s="38" t="s">
        <v>48</v>
      </c>
      <c r="D25" s="39" t="s">
        <v>49</v>
      </c>
      <c r="E25" s="40" t="s">
        <v>26</v>
      </c>
      <c r="F25" s="41">
        <v>548</v>
      </c>
      <c r="G25" s="42">
        <v>66</v>
      </c>
      <c r="H25" s="43">
        <v>52</v>
      </c>
      <c r="I25" s="44">
        <v>562</v>
      </c>
      <c r="J25" s="45">
        <v>78.8</v>
      </c>
    </row>
    <row r="26" spans="1:10" ht="15.75" customHeight="1">
      <c r="A26" s="36" t="s">
        <v>6</v>
      </c>
      <c r="B26" s="37">
        <v>46025</v>
      </c>
      <c r="C26" s="38" t="s">
        <v>48</v>
      </c>
      <c r="D26" s="39" t="s">
        <v>49</v>
      </c>
      <c r="E26" s="40" t="s">
        <v>27</v>
      </c>
      <c r="F26" s="41">
        <v>428</v>
      </c>
      <c r="G26" s="42">
        <v>59</v>
      </c>
      <c r="H26" s="43">
        <v>49</v>
      </c>
      <c r="I26" s="44">
        <v>438</v>
      </c>
      <c r="J26" s="45">
        <v>83.1</v>
      </c>
    </row>
    <row r="27" spans="1:10" ht="15.75" customHeight="1">
      <c r="A27" s="36" t="s">
        <v>6</v>
      </c>
      <c r="B27" s="37">
        <v>46025</v>
      </c>
      <c r="C27" s="38" t="s">
        <v>48</v>
      </c>
      <c r="D27" s="39" t="s">
        <v>49</v>
      </c>
      <c r="E27" s="40" t="s">
        <v>30</v>
      </c>
      <c r="F27" s="41">
        <v>414</v>
      </c>
      <c r="G27" s="42">
        <v>78</v>
      </c>
      <c r="H27" s="43">
        <v>59</v>
      </c>
      <c r="I27" s="44">
        <v>433</v>
      </c>
      <c r="J27" s="45">
        <v>75.599999999999994</v>
      </c>
    </row>
    <row r="28" spans="1:10" ht="15.75" customHeight="1">
      <c r="A28" s="36" t="s">
        <v>6</v>
      </c>
      <c r="B28" s="37">
        <v>46025</v>
      </c>
      <c r="C28" s="38" t="s">
        <v>48</v>
      </c>
      <c r="D28" s="39" t="s">
        <v>49</v>
      </c>
      <c r="E28" s="40" t="s">
        <v>32</v>
      </c>
      <c r="F28" s="41">
        <v>463</v>
      </c>
      <c r="G28" s="42">
        <v>47</v>
      </c>
      <c r="H28" s="43">
        <v>43</v>
      </c>
      <c r="I28" s="44">
        <v>467</v>
      </c>
      <c r="J28" s="45">
        <v>91.5</v>
      </c>
    </row>
    <row r="29" spans="1:10" ht="15.75" customHeight="1">
      <c r="A29" s="36" t="s">
        <v>6</v>
      </c>
      <c r="B29" s="37">
        <v>46025</v>
      </c>
      <c r="C29" s="38" t="s">
        <v>48</v>
      </c>
      <c r="D29" s="39" t="s">
        <v>49</v>
      </c>
      <c r="E29" s="40" t="s">
        <v>34</v>
      </c>
      <c r="F29" s="41">
        <v>350</v>
      </c>
      <c r="G29" s="42">
        <v>42</v>
      </c>
      <c r="H29" s="43">
        <v>28</v>
      </c>
      <c r="I29" s="44">
        <v>364</v>
      </c>
      <c r="J29" s="46">
        <v>66.7</v>
      </c>
    </row>
    <row r="30" spans="1:10" ht="15.75" customHeight="1">
      <c r="A30" s="36" t="s">
        <v>6</v>
      </c>
      <c r="B30" s="37">
        <v>46025</v>
      </c>
      <c r="C30" s="38" t="s">
        <v>48</v>
      </c>
      <c r="D30" s="39" t="s">
        <v>49</v>
      </c>
      <c r="E30" s="40" t="s">
        <v>25</v>
      </c>
      <c r="F30" s="41">
        <v>400</v>
      </c>
      <c r="G30" s="42">
        <v>25</v>
      </c>
      <c r="H30" s="43">
        <v>20</v>
      </c>
      <c r="I30" s="44">
        <v>405</v>
      </c>
      <c r="J30" s="45">
        <v>80</v>
      </c>
    </row>
    <row r="31" spans="1:10" ht="15.75" customHeight="1">
      <c r="A31" s="36" t="s">
        <v>6</v>
      </c>
      <c r="B31" s="37">
        <v>46025</v>
      </c>
      <c r="C31" s="38" t="s">
        <v>48</v>
      </c>
      <c r="D31" s="39" t="s">
        <v>49</v>
      </c>
      <c r="E31" s="40" t="s">
        <v>35</v>
      </c>
      <c r="F31" s="41">
        <v>464</v>
      </c>
      <c r="G31" s="42">
        <v>46</v>
      </c>
      <c r="H31" s="43">
        <v>35</v>
      </c>
      <c r="I31" s="44">
        <v>475</v>
      </c>
      <c r="J31" s="45">
        <v>76.099999999999994</v>
      </c>
    </row>
    <row r="32" spans="1:10" ht="15.75" customHeight="1">
      <c r="A32" s="36" t="s">
        <v>6</v>
      </c>
      <c r="B32" s="37">
        <v>46025</v>
      </c>
      <c r="C32" s="38" t="s">
        <v>48</v>
      </c>
      <c r="D32" s="39" t="s">
        <v>49</v>
      </c>
      <c r="E32" s="40" t="s">
        <v>29</v>
      </c>
      <c r="F32" s="41">
        <v>394</v>
      </c>
      <c r="G32" s="42">
        <v>47</v>
      </c>
      <c r="H32" s="43">
        <v>36</v>
      </c>
      <c r="I32" s="44">
        <v>405</v>
      </c>
      <c r="J32" s="45">
        <v>76.599999999999994</v>
      </c>
    </row>
    <row r="33" spans="1:10" ht="15.75" customHeight="1">
      <c r="A33" s="36" t="s">
        <v>6</v>
      </c>
      <c r="B33" s="37">
        <v>46025</v>
      </c>
      <c r="C33" s="38" t="s">
        <v>48</v>
      </c>
      <c r="D33" s="39" t="s">
        <v>49</v>
      </c>
      <c r="E33" s="40" t="s">
        <v>31</v>
      </c>
      <c r="F33" s="41">
        <v>355</v>
      </c>
      <c r="G33" s="42">
        <v>69</v>
      </c>
      <c r="H33" s="43">
        <v>50</v>
      </c>
      <c r="I33" s="44">
        <v>374</v>
      </c>
      <c r="J33" s="46">
        <v>72.5</v>
      </c>
    </row>
    <row r="34" spans="1:10" ht="15.75" customHeight="1">
      <c r="A34" s="36" t="s">
        <v>6</v>
      </c>
      <c r="B34" s="37">
        <v>46025</v>
      </c>
      <c r="C34" s="38" t="s">
        <v>48</v>
      </c>
      <c r="D34" s="39" t="s">
        <v>49</v>
      </c>
      <c r="E34" s="40" t="s">
        <v>33</v>
      </c>
      <c r="F34" s="41">
        <v>285</v>
      </c>
      <c r="G34" s="42">
        <v>50</v>
      </c>
      <c r="H34" s="43">
        <v>40</v>
      </c>
      <c r="I34" s="44">
        <v>295</v>
      </c>
      <c r="J34" s="45">
        <v>80</v>
      </c>
    </row>
    <row r="35" spans="1:10" ht="15.75" customHeight="1">
      <c r="A35" s="36" t="s">
        <v>6</v>
      </c>
      <c r="B35" s="37">
        <v>46025</v>
      </c>
      <c r="C35" s="38" t="s">
        <v>48</v>
      </c>
      <c r="D35" s="39" t="s">
        <v>49</v>
      </c>
      <c r="E35" s="40" t="s">
        <v>36</v>
      </c>
      <c r="F35" s="41">
        <v>524</v>
      </c>
      <c r="G35" s="42">
        <v>84</v>
      </c>
      <c r="H35" s="43">
        <v>65</v>
      </c>
      <c r="I35" s="44">
        <v>543</v>
      </c>
      <c r="J35" s="45">
        <v>77.400000000000006</v>
      </c>
    </row>
    <row r="36" spans="1:10" ht="15.75" customHeight="1">
      <c r="A36" s="36" t="s">
        <v>6</v>
      </c>
      <c r="B36" s="37">
        <v>46026</v>
      </c>
      <c r="C36" s="38" t="s">
        <v>50</v>
      </c>
      <c r="D36" s="39" t="s">
        <v>49</v>
      </c>
      <c r="E36" s="40" t="s">
        <v>26</v>
      </c>
      <c r="F36" s="41">
        <v>562</v>
      </c>
      <c r="G36" s="42">
        <v>32</v>
      </c>
      <c r="H36" s="43">
        <v>25</v>
      </c>
      <c r="I36" s="44">
        <v>569</v>
      </c>
      <c r="J36" s="45">
        <v>78.099999999999994</v>
      </c>
    </row>
    <row r="37" spans="1:10" ht="15.75" customHeight="1">
      <c r="A37" s="36" t="s">
        <v>6</v>
      </c>
      <c r="B37" s="37">
        <v>46026</v>
      </c>
      <c r="C37" s="38" t="s">
        <v>50</v>
      </c>
      <c r="D37" s="39" t="s">
        <v>49</v>
      </c>
      <c r="E37" s="40" t="s">
        <v>27</v>
      </c>
      <c r="F37" s="41">
        <v>438</v>
      </c>
      <c r="G37" s="42">
        <v>42</v>
      </c>
      <c r="H37" s="43">
        <v>35</v>
      </c>
      <c r="I37" s="44">
        <v>445</v>
      </c>
      <c r="J37" s="45">
        <v>83.3</v>
      </c>
    </row>
    <row r="38" spans="1:10" ht="15.75" customHeight="1">
      <c r="A38" s="36" t="s">
        <v>6</v>
      </c>
      <c r="B38" s="37">
        <v>46026</v>
      </c>
      <c r="C38" s="38" t="s">
        <v>50</v>
      </c>
      <c r="D38" s="39" t="s">
        <v>49</v>
      </c>
      <c r="E38" s="40" t="s">
        <v>30</v>
      </c>
      <c r="F38" s="41">
        <v>433</v>
      </c>
      <c r="G38" s="42">
        <v>70</v>
      </c>
      <c r="H38" s="43">
        <v>50</v>
      </c>
      <c r="I38" s="44">
        <v>453</v>
      </c>
      <c r="J38" s="46">
        <v>71.400000000000006</v>
      </c>
    </row>
    <row r="39" spans="1:10" ht="15.75" customHeight="1">
      <c r="A39" s="36" t="s">
        <v>6</v>
      </c>
      <c r="B39" s="37">
        <v>46026</v>
      </c>
      <c r="C39" s="38" t="s">
        <v>50</v>
      </c>
      <c r="D39" s="39" t="s">
        <v>49</v>
      </c>
      <c r="E39" s="40" t="s">
        <v>32</v>
      </c>
      <c r="F39" s="41">
        <v>467</v>
      </c>
      <c r="G39" s="42">
        <v>27</v>
      </c>
      <c r="H39" s="43">
        <v>25</v>
      </c>
      <c r="I39" s="44">
        <v>469</v>
      </c>
      <c r="J39" s="45">
        <v>92.6</v>
      </c>
    </row>
    <row r="40" spans="1:10" ht="15.75" customHeight="1">
      <c r="A40" s="36" t="s">
        <v>6</v>
      </c>
      <c r="B40" s="37">
        <v>46026</v>
      </c>
      <c r="C40" s="38" t="s">
        <v>50</v>
      </c>
      <c r="D40" s="39" t="s">
        <v>49</v>
      </c>
      <c r="E40" s="40" t="s">
        <v>34</v>
      </c>
      <c r="F40" s="41">
        <v>364</v>
      </c>
      <c r="G40" s="42">
        <v>58</v>
      </c>
      <c r="H40" s="43">
        <v>42</v>
      </c>
      <c r="I40" s="44">
        <v>380</v>
      </c>
      <c r="J40" s="46">
        <v>72.400000000000006</v>
      </c>
    </row>
    <row r="41" spans="1:10" ht="15.75" customHeight="1">
      <c r="A41" s="36" t="s">
        <v>6</v>
      </c>
      <c r="B41" s="37">
        <v>46026</v>
      </c>
      <c r="C41" s="38" t="s">
        <v>50</v>
      </c>
      <c r="D41" s="39" t="s">
        <v>49</v>
      </c>
      <c r="E41" s="40" t="s">
        <v>25</v>
      </c>
      <c r="F41" s="41">
        <v>405</v>
      </c>
      <c r="G41" s="42">
        <v>34</v>
      </c>
      <c r="H41" s="43">
        <v>27</v>
      </c>
      <c r="I41" s="44">
        <v>412</v>
      </c>
      <c r="J41" s="45">
        <v>79.400000000000006</v>
      </c>
    </row>
    <row r="42" spans="1:10" ht="15.75" customHeight="1">
      <c r="A42" s="36" t="s">
        <v>6</v>
      </c>
      <c r="B42" s="37">
        <v>46026</v>
      </c>
      <c r="C42" s="38" t="s">
        <v>50</v>
      </c>
      <c r="D42" s="39" t="s">
        <v>49</v>
      </c>
      <c r="E42" s="40" t="s">
        <v>35</v>
      </c>
      <c r="F42" s="41">
        <v>475</v>
      </c>
      <c r="G42" s="42">
        <v>60</v>
      </c>
      <c r="H42" s="43">
        <v>45</v>
      </c>
      <c r="I42" s="44">
        <v>490</v>
      </c>
      <c r="J42" s="45">
        <v>75</v>
      </c>
    </row>
    <row r="43" spans="1:10" ht="15.75" customHeight="1">
      <c r="A43" s="36" t="s">
        <v>6</v>
      </c>
      <c r="B43" s="37">
        <v>46026</v>
      </c>
      <c r="C43" s="38" t="s">
        <v>50</v>
      </c>
      <c r="D43" s="39" t="s">
        <v>49</v>
      </c>
      <c r="E43" s="40" t="s">
        <v>29</v>
      </c>
      <c r="F43" s="41">
        <v>405</v>
      </c>
      <c r="G43" s="42">
        <v>35</v>
      </c>
      <c r="H43" s="43">
        <v>30</v>
      </c>
      <c r="I43" s="44">
        <v>410</v>
      </c>
      <c r="J43" s="45">
        <v>85.7</v>
      </c>
    </row>
    <row r="44" spans="1:10" ht="15.75" customHeight="1">
      <c r="A44" s="36" t="s">
        <v>6</v>
      </c>
      <c r="B44" s="37">
        <v>46026</v>
      </c>
      <c r="C44" s="38" t="s">
        <v>50</v>
      </c>
      <c r="D44" s="39" t="s">
        <v>49</v>
      </c>
      <c r="E44" s="40" t="s">
        <v>31</v>
      </c>
      <c r="F44" s="41">
        <v>374</v>
      </c>
      <c r="G44" s="42">
        <v>58</v>
      </c>
      <c r="H44" s="43">
        <v>44</v>
      </c>
      <c r="I44" s="44">
        <v>388</v>
      </c>
      <c r="J44" s="45">
        <v>75.900000000000006</v>
      </c>
    </row>
    <row r="45" spans="1:10" ht="15.75" customHeight="1">
      <c r="A45" s="36" t="s">
        <v>6</v>
      </c>
      <c r="B45" s="37">
        <v>46026</v>
      </c>
      <c r="C45" s="38" t="s">
        <v>50</v>
      </c>
      <c r="D45" s="39" t="s">
        <v>49</v>
      </c>
      <c r="E45" s="40" t="s">
        <v>33</v>
      </c>
      <c r="F45" s="41">
        <v>295</v>
      </c>
      <c r="G45" s="42">
        <v>23</v>
      </c>
      <c r="H45" s="43">
        <v>17</v>
      </c>
      <c r="I45" s="44">
        <v>301</v>
      </c>
      <c r="J45" s="46">
        <v>73.900000000000006</v>
      </c>
    </row>
    <row r="46" spans="1:10" ht="15.75" customHeight="1">
      <c r="A46" s="36" t="s">
        <v>6</v>
      </c>
      <c r="B46" s="37">
        <v>46026</v>
      </c>
      <c r="C46" s="38" t="s">
        <v>50</v>
      </c>
      <c r="D46" s="39" t="s">
        <v>49</v>
      </c>
      <c r="E46" s="40" t="s">
        <v>36</v>
      </c>
      <c r="F46" s="41">
        <v>543</v>
      </c>
      <c r="G46" s="42">
        <v>46</v>
      </c>
      <c r="H46" s="43">
        <v>35</v>
      </c>
      <c r="I46" s="44">
        <v>554</v>
      </c>
      <c r="J46" s="45">
        <v>76.099999999999994</v>
      </c>
    </row>
    <row r="47" spans="1:10" ht="15.75" customHeight="1">
      <c r="A47" s="14" t="s">
        <v>6</v>
      </c>
      <c r="B47" s="15">
        <v>46027</v>
      </c>
      <c r="C47" s="16" t="s">
        <v>51</v>
      </c>
      <c r="D47" s="17" t="s">
        <v>46</v>
      </c>
      <c r="E47" s="18" t="s">
        <v>26</v>
      </c>
      <c r="F47" s="19">
        <v>569</v>
      </c>
      <c r="G47" s="20">
        <v>80</v>
      </c>
      <c r="H47" s="21">
        <v>55</v>
      </c>
      <c r="I47" s="22">
        <v>594</v>
      </c>
      <c r="J47" s="23">
        <v>68.8</v>
      </c>
    </row>
    <row r="48" spans="1:10" ht="15.75" customHeight="1">
      <c r="A48" s="24" t="s">
        <v>6</v>
      </c>
      <c r="B48" s="25">
        <v>46027</v>
      </c>
      <c r="C48" s="26" t="s">
        <v>51</v>
      </c>
      <c r="D48" s="27" t="s">
        <v>46</v>
      </c>
      <c r="E48" s="28" t="s">
        <v>27</v>
      </c>
      <c r="F48" s="29">
        <v>445</v>
      </c>
      <c r="G48" s="30">
        <v>109</v>
      </c>
      <c r="H48" s="31">
        <v>78</v>
      </c>
      <c r="I48" s="32">
        <v>476</v>
      </c>
      <c r="J48" s="34">
        <v>71.599999999999994</v>
      </c>
    </row>
    <row r="49" spans="1:10" ht="15.75" customHeight="1">
      <c r="A49" s="14" t="s">
        <v>6</v>
      </c>
      <c r="B49" s="15">
        <v>46027</v>
      </c>
      <c r="C49" s="16" t="s">
        <v>51</v>
      </c>
      <c r="D49" s="17" t="s">
        <v>46</v>
      </c>
      <c r="E49" s="18" t="s">
        <v>30</v>
      </c>
      <c r="F49" s="19">
        <v>453</v>
      </c>
      <c r="G49" s="20">
        <v>155</v>
      </c>
      <c r="H49" s="21">
        <v>104</v>
      </c>
      <c r="I49" s="22">
        <v>504</v>
      </c>
      <c r="J49" s="23">
        <v>67.099999999999994</v>
      </c>
    </row>
    <row r="50" spans="1:10" ht="15.75" customHeight="1">
      <c r="A50" s="24" t="s">
        <v>6</v>
      </c>
      <c r="B50" s="25">
        <v>46027</v>
      </c>
      <c r="C50" s="26" t="s">
        <v>51</v>
      </c>
      <c r="D50" s="27" t="s">
        <v>46</v>
      </c>
      <c r="E50" s="28" t="s">
        <v>32</v>
      </c>
      <c r="F50" s="29">
        <v>469</v>
      </c>
      <c r="G50" s="30">
        <v>105</v>
      </c>
      <c r="H50" s="31">
        <v>80</v>
      </c>
      <c r="I50" s="32">
        <v>494</v>
      </c>
      <c r="J50" s="33">
        <v>76.2</v>
      </c>
    </row>
    <row r="51" spans="1:10" ht="15.75" customHeight="1">
      <c r="A51" s="14" t="s">
        <v>6</v>
      </c>
      <c r="B51" s="15">
        <v>46027</v>
      </c>
      <c r="C51" s="16" t="s">
        <v>51</v>
      </c>
      <c r="D51" s="17" t="s">
        <v>46</v>
      </c>
      <c r="E51" s="18" t="s">
        <v>34</v>
      </c>
      <c r="F51" s="19">
        <v>380</v>
      </c>
      <c r="G51" s="20">
        <v>110</v>
      </c>
      <c r="H51" s="21">
        <v>81</v>
      </c>
      <c r="I51" s="22">
        <v>409</v>
      </c>
      <c r="J51" s="23">
        <v>73.599999999999994</v>
      </c>
    </row>
    <row r="52" spans="1:10" ht="15.75" customHeight="1">
      <c r="A52" s="24" t="s">
        <v>6</v>
      </c>
      <c r="B52" s="25">
        <v>46027</v>
      </c>
      <c r="C52" s="26" t="s">
        <v>51</v>
      </c>
      <c r="D52" s="27" t="s">
        <v>46</v>
      </c>
      <c r="E52" s="28" t="s">
        <v>25</v>
      </c>
      <c r="F52" s="29">
        <v>412</v>
      </c>
      <c r="G52" s="30">
        <v>107</v>
      </c>
      <c r="H52" s="31">
        <v>72</v>
      </c>
      <c r="I52" s="32">
        <v>447</v>
      </c>
      <c r="J52" s="34">
        <v>67.3</v>
      </c>
    </row>
    <row r="53" spans="1:10" ht="15.75" customHeight="1">
      <c r="A53" s="14" t="s">
        <v>6</v>
      </c>
      <c r="B53" s="15">
        <v>46027</v>
      </c>
      <c r="C53" s="16" t="s">
        <v>51</v>
      </c>
      <c r="D53" s="17" t="s">
        <v>46</v>
      </c>
      <c r="E53" s="18" t="s">
        <v>35</v>
      </c>
      <c r="F53" s="19">
        <v>490</v>
      </c>
      <c r="G53" s="20">
        <v>123</v>
      </c>
      <c r="H53" s="21">
        <v>90</v>
      </c>
      <c r="I53" s="22">
        <v>523</v>
      </c>
      <c r="J53" s="23">
        <v>73.2</v>
      </c>
    </row>
    <row r="54" spans="1:10" ht="15.75" customHeight="1">
      <c r="A54" s="24" t="s">
        <v>6</v>
      </c>
      <c r="B54" s="25">
        <v>46027</v>
      </c>
      <c r="C54" s="26" t="s">
        <v>51</v>
      </c>
      <c r="D54" s="27" t="s">
        <v>46</v>
      </c>
      <c r="E54" s="28" t="s">
        <v>29</v>
      </c>
      <c r="F54" s="29">
        <v>410</v>
      </c>
      <c r="G54" s="30">
        <v>99</v>
      </c>
      <c r="H54" s="31">
        <v>85</v>
      </c>
      <c r="I54" s="32">
        <v>424</v>
      </c>
      <c r="J54" s="33">
        <v>85.9</v>
      </c>
    </row>
    <row r="55" spans="1:10" ht="15.75" customHeight="1">
      <c r="A55" s="14" t="s">
        <v>6</v>
      </c>
      <c r="B55" s="15">
        <v>46027</v>
      </c>
      <c r="C55" s="16" t="s">
        <v>51</v>
      </c>
      <c r="D55" s="17" t="s">
        <v>46</v>
      </c>
      <c r="E55" s="18" t="s">
        <v>31</v>
      </c>
      <c r="F55" s="19">
        <v>388</v>
      </c>
      <c r="G55" s="20">
        <v>136</v>
      </c>
      <c r="H55" s="21">
        <v>87</v>
      </c>
      <c r="I55" s="22">
        <v>437</v>
      </c>
      <c r="J55" s="23">
        <v>64</v>
      </c>
    </row>
    <row r="56" spans="1:10" ht="15.75" customHeight="1">
      <c r="A56" s="24" t="s">
        <v>6</v>
      </c>
      <c r="B56" s="25">
        <v>46027</v>
      </c>
      <c r="C56" s="26" t="s">
        <v>51</v>
      </c>
      <c r="D56" s="27" t="s">
        <v>46</v>
      </c>
      <c r="E56" s="28" t="s">
        <v>33</v>
      </c>
      <c r="F56" s="29">
        <v>301</v>
      </c>
      <c r="G56" s="30">
        <v>75</v>
      </c>
      <c r="H56" s="31">
        <v>66</v>
      </c>
      <c r="I56" s="32">
        <v>310</v>
      </c>
      <c r="J56" s="33">
        <v>88</v>
      </c>
    </row>
    <row r="57" spans="1:10" ht="15.75" customHeight="1">
      <c r="A57" s="14" t="s">
        <v>6</v>
      </c>
      <c r="B57" s="15">
        <v>46027</v>
      </c>
      <c r="C57" s="16" t="s">
        <v>51</v>
      </c>
      <c r="D57" s="17" t="s">
        <v>46</v>
      </c>
      <c r="E57" s="18" t="s">
        <v>36</v>
      </c>
      <c r="F57" s="19">
        <v>554</v>
      </c>
      <c r="G57" s="20">
        <v>155</v>
      </c>
      <c r="H57" s="21">
        <v>96</v>
      </c>
      <c r="I57" s="22">
        <v>613</v>
      </c>
      <c r="J57" s="23">
        <v>61.9</v>
      </c>
    </row>
    <row r="58" spans="1:10" ht="15.75" customHeight="1">
      <c r="A58" s="24" t="s">
        <v>6</v>
      </c>
      <c r="B58" s="25">
        <v>46028</v>
      </c>
      <c r="C58" s="26" t="s">
        <v>52</v>
      </c>
      <c r="D58" s="27" t="s">
        <v>46</v>
      </c>
      <c r="E58" s="28" t="s">
        <v>26</v>
      </c>
      <c r="F58" s="29">
        <v>594</v>
      </c>
      <c r="G58" s="30">
        <v>88</v>
      </c>
      <c r="H58" s="31">
        <v>61</v>
      </c>
      <c r="I58" s="32">
        <v>621</v>
      </c>
      <c r="J58" s="34">
        <v>69.3</v>
      </c>
    </row>
    <row r="59" spans="1:10" ht="15.75" customHeight="1">
      <c r="A59" s="14" t="s">
        <v>6</v>
      </c>
      <c r="B59" s="15">
        <v>46028</v>
      </c>
      <c r="C59" s="16" t="s">
        <v>52</v>
      </c>
      <c r="D59" s="17" t="s">
        <v>46</v>
      </c>
      <c r="E59" s="18" t="s">
        <v>27</v>
      </c>
      <c r="F59" s="19">
        <v>476</v>
      </c>
      <c r="G59" s="20">
        <v>93</v>
      </c>
      <c r="H59" s="21">
        <v>72</v>
      </c>
      <c r="I59" s="22">
        <v>497</v>
      </c>
      <c r="J59" s="35">
        <v>77.400000000000006</v>
      </c>
    </row>
    <row r="60" spans="1:10" ht="15.75" customHeight="1">
      <c r="A60" s="24" t="s">
        <v>6</v>
      </c>
      <c r="B60" s="25">
        <v>46028</v>
      </c>
      <c r="C60" s="26" t="s">
        <v>52</v>
      </c>
      <c r="D60" s="27" t="s">
        <v>46</v>
      </c>
      <c r="E60" s="28" t="s">
        <v>30</v>
      </c>
      <c r="F60" s="29">
        <v>504</v>
      </c>
      <c r="G60" s="30">
        <v>100</v>
      </c>
      <c r="H60" s="31">
        <v>80</v>
      </c>
      <c r="I60" s="32">
        <v>524</v>
      </c>
      <c r="J60" s="33">
        <v>80</v>
      </c>
    </row>
    <row r="61" spans="1:10" ht="15.75" customHeight="1">
      <c r="A61" s="14" t="s">
        <v>6</v>
      </c>
      <c r="B61" s="15">
        <v>46028</v>
      </c>
      <c r="C61" s="16" t="s">
        <v>52</v>
      </c>
      <c r="D61" s="17" t="s">
        <v>46</v>
      </c>
      <c r="E61" s="18" t="s">
        <v>32</v>
      </c>
      <c r="F61" s="19">
        <v>494</v>
      </c>
      <c r="G61" s="20">
        <v>63</v>
      </c>
      <c r="H61" s="21">
        <v>59</v>
      </c>
      <c r="I61" s="22">
        <v>498</v>
      </c>
      <c r="J61" s="35">
        <v>93.7</v>
      </c>
    </row>
    <row r="62" spans="1:10" ht="15.75" customHeight="1">
      <c r="A62" s="24" t="s">
        <v>6</v>
      </c>
      <c r="B62" s="25">
        <v>46028</v>
      </c>
      <c r="C62" s="26" t="s">
        <v>52</v>
      </c>
      <c r="D62" s="27" t="s">
        <v>46</v>
      </c>
      <c r="E62" s="28" t="s">
        <v>34</v>
      </c>
      <c r="F62" s="29">
        <v>409</v>
      </c>
      <c r="G62" s="30">
        <v>166</v>
      </c>
      <c r="H62" s="31">
        <v>126</v>
      </c>
      <c r="I62" s="32">
        <v>449</v>
      </c>
      <c r="J62" s="33">
        <v>75.900000000000006</v>
      </c>
    </row>
    <row r="63" spans="1:10" ht="15.75" customHeight="1">
      <c r="A63" s="14" t="s">
        <v>6</v>
      </c>
      <c r="B63" s="15">
        <v>46028</v>
      </c>
      <c r="C63" s="16" t="s">
        <v>52</v>
      </c>
      <c r="D63" s="17" t="s">
        <v>46</v>
      </c>
      <c r="E63" s="18" t="s">
        <v>25</v>
      </c>
      <c r="F63" s="19">
        <v>447</v>
      </c>
      <c r="G63" s="20">
        <v>84</v>
      </c>
      <c r="H63" s="21">
        <v>66</v>
      </c>
      <c r="I63" s="22">
        <v>465</v>
      </c>
      <c r="J63" s="35">
        <v>78.599999999999994</v>
      </c>
    </row>
    <row r="64" spans="1:10" ht="15.75" customHeight="1">
      <c r="A64" s="24" t="s">
        <v>6</v>
      </c>
      <c r="B64" s="25">
        <v>46028</v>
      </c>
      <c r="C64" s="26" t="s">
        <v>52</v>
      </c>
      <c r="D64" s="27" t="s">
        <v>46</v>
      </c>
      <c r="E64" s="28" t="s">
        <v>35</v>
      </c>
      <c r="F64" s="29">
        <v>523</v>
      </c>
      <c r="G64" s="30">
        <v>93</v>
      </c>
      <c r="H64" s="31">
        <v>75</v>
      </c>
      <c r="I64" s="32">
        <v>541</v>
      </c>
      <c r="J64" s="33">
        <v>80.599999999999994</v>
      </c>
    </row>
    <row r="65" spans="1:10" ht="15.75" customHeight="1">
      <c r="A65" s="14" t="s">
        <v>6</v>
      </c>
      <c r="B65" s="15">
        <v>46028</v>
      </c>
      <c r="C65" s="16" t="s">
        <v>52</v>
      </c>
      <c r="D65" s="17" t="s">
        <v>46</v>
      </c>
      <c r="E65" s="18" t="s">
        <v>29</v>
      </c>
      <c r="F65" s="19">
        <v>424</v>
      </c>
      <c r="G65" s="20">
        <v>114</v>
      </c>
      <c r="H65" s="21">
        <v>87</v>
      </c>
      <c r="I65" s="22">
        <v>451</v>
      </c>
      <c r="J65" s="35">
        <v>76.3</v>
      </c>
    </row>
    <row r="66" spans="1:10" ht="15.75" customHeight="1">
      <c r="A66" s="24" t="s">
        <v>6</v>
      </c>
      <c r="B66" s="25">
        <v>46028</v>
      </c>
      <c r="C66" s="26" t="s">
        <v>52</v>
      </c>
      <c r="D66" s="27" t="s">
        <v>46</v>
      </c>
      <c r="E66" s="28" t="s">
        <v>31</v>
      </c>
      <c r="F66" s="29">
        <v>437</v>
      </c>
      <c r="G66" s="30">
        <v>132</v>
      </c>
      <c r="H66" s="31">
        <v>88</v>
      </c>
      <c r="I66" s="32">
        <v>481</v>
      </c>
      <c r="J66" s="34">
        <v>66.7</v>
      </c>
    </row>
    <row r="67" spans="1:10" ht="15.75" customHeight="1">
      <c r="A67" s="14" t="s">
        <v>6</v>
      </c>
      <c r="B67" s="15">
        <v>46028</v>
      </c>
      <c r="C67" s="16" t="s">
        <v>52</v>
      </c>
      <c r="D67" s="17" t="s">
        <v>46</v>
      </c>
      <c r="E67" s="18" t="s">
        <v>33</v>
      </c>
      <c r="F67" s="19">
        <v>310</v>
      </c>
      <c r="G67" s="20">
        <v>89</v>
      </c>
      <c r="H67" s="21">
        <v>79</v>
      </c>
      <c r="I67" s="22">
        <v>320</v>
      </c>
      <c r="J67" s="35">
        <v>88.8</v>
      </c>
    </row>
    <row r="68" spans="1:10" ht="15.75" customHeight="1">
      <c r="A68" s="24" t="s">
        <v>6</v>
      </c>
      <c r="B68" s="25">
        <v>46028</v>
      </c>
      <c r="C68" s="26" t="s">
        <v>52</v>
      </c>
      <c r="D68" s="27" t="s">
        <v>46</v>
      </c>
      <c r="E68" s="28" t="s">
        <v>36</v>
      </c>
      <c r="F68" s="29">
        <v>613</v>
      </c>
      <c r="G68" s="30">
        <v>161</v>
      </c>
      <c r="H68" s="31">
        <v>105</v>
      </c>
      <c r="I68" s="32">
        <v>669</v>
      </c>
      <c r="J68" s="34">
        <v>65.2</v>
      </c>
    </row>
    <row r="69" spans="1:10" ht="15.75" customHeight="1">
      <c r="A69" s="14" t="s">
        <v>6</v>
      </c>
      <c r="B69" s="15">
        <v>46029</v>
      </c>
      <c r="C69" s="16" t="s">
        <v>53</v>
      </c>
      <c r="D69" s="17" t="s">
        <v>46</v>
      </c>
      <c r="E69" s="18" t="s">
        <v>26</v>
      </c>
      <c r="F69" s="19">
        <v>621</v>
      </c>
      <c r="G69" s="20">
        <v>82</v>
      </c>
      <c r="H69" s="21">
        <v>64</v>
      </c>
      <c r="I69" s="22">
        <v>639</v>
      </c>
      <c r="J69" s="35">
        <v>78</v>
      </c>
    </row>
    <row r="70" spans="1:10" ht="15.75" customHeight="1">
      <c r="A70" s="24" t="s">
        <v>6</v>
      </c>
      <c r="B70" s="25">
        <v>46029</v>
      </c>
      <c r="C70" s="26" t="s">
        <v>53</v>
      </c>
      <c r="D70" s="27" t="s">
        <v>46</v>
      </c>
      <c r="E70" s="28" t="s">
        <v>27</v>
      </c>
      <c r="F70" s="29">
        <v>497</v>
      </c>
      <c r="G70" s="30">
        <v>98</v>
      </c>
      <c r="H70" s="31">
        <v>82</v>
      </c>
      <c r="I70" s="32">
        <v>513</v>
      </c>
      <c r="J70" s="33">
        <v>83.7</v>
      </c>
    </row>
    <row r="71" spans="1:10" ht="15.75" customHeight="1">
      <c r="A71" s="14" t="s">
        <v>6</v>
      </c>
      <c r="B71" s="15">
        <v>46029</v>
      </c>
      <c r="C71" s="16" t="s">
        <v>53</v>
      </c>
      <c r="D71" s="17" t="s">
        <v>46</v>
      </c>
      <c r="E71" s="18" t="s">
        <v>30</v>
      </c>
      <c r="F71" s="19">
        <v>524</v>
      </c>
      <c r="G71" s="20">
        <v>128</v>
      </c>
      <c r="H71" s="21">
        <v>89</v>
      </c>
      <c r="I71" s="22">
        <v>563</v>
      </c>
      <c r="J71" s="23">
        <v>69.5</v>
      </c>
    </row>
    <row r="72" spans="1:10" ht="15.75" customHeight="1">
      <c r="A72" s="24" t="s">
        <v>6</v>
      </c>
      <c r="B72" s="25">
        <v>46029</v>
      </c>
      <c r="C72" s="26" t="s">
        <v>53</v>
      </c>
      <c r="D72" s="27" t="s">
        <v>46</v>
      </c>
      <c r="E72" s="28" t="s">
        <v>32</v>
      </c>
      <c r="F72" s="29">
        <v>498</v>
      </c>
      <c r="G72" s="30">
        <v>110</v>
      </c>
      <c r="H72" s="31">
        <v>82</v>
      </c>
      <c r="I72" s="32">
        <v>526</v>
      </c>
      <c r="J72" s="34">
        <v>74.5</v>
      </c>
    </row>
    <row r="73" spans="1:10" ht="15.75" customHeight="1">
      <c r="A73" s="14" t="s">
        <v>6</v>
      </c>
      <c r="B73" s="15">
        <v>46029</v>
      </c>
      <c r="C73" s="16" t="s">
        <v>53</v>
      </c>
      <c r="D73" s="17" t="s">
        <v>46</v>
      </c>
      <c r="E73" s="18" t="s">
        <v>34</v>
      </c>
      <c r="F73" s="19">
        <v>449</v>
      </c>
      <c r="G73" s="20">
        <v>120</v>
      </c>
      <c r="H73" s="21">
        <v>90</v>
      </c>
      <c r="I73" s="22">
        <v>479</v>
      </c>
      <c r="J73" s="35">
        <v>75</v>
      </c>
    </row>
    <row r="74" spans="1:10" ht="15.75" customHeight="1">
      <c r="A74" s="24" t="s">
        <v>6</v>
      </c>
      <c r="B74" s="25">
        <v>46029</v>
      </c>
      <c r="C74" s="26" t="s">
        <v>53</v>
      </c>
      <c r="D74" s="27" t="s">
        <v>46</v>
      </c>
      <c r="E74" s="28" t="s">
        <v>25</v>
      </c>
      <c r="F74" s="29">
        <v>465</v>
      </c>
      <c r="G74" s="30">
        <v>70</v>
      </c>
      <c r="H74" s="31">
        <v>60</v>
      </c>
      <c r="I74" s="32">
        <v>475</v>
      </c>
      <c r="J74" s="33">
        <v>85.7</v>
      </c>
    </row>
    <row r="75" spans="1:10" ht="15.75" customHeight="1">
      <c r="A75" s="14" t="s">
        <v>6</v>
      </c>
      <c r="B75" s="15">
        <v>46029</v>
      </c>
      <c r="C75" s="16" t="s">
        <v>53</v>
      </c>
      <c r="D75" s="17" t="s">
        <v>46</v>
      </c>
      <c r="E75" s="18" t="s">
        <v>35</v>
      </c>
      <c r="F75" s="19">
        <v>541</v>
      </c>
      <c r="G75" s="20">
        <v>140</v>
      </c>
      <c r="H75" s="21">
        <v>117</v>
      </c>
      <c r="I75" s="22">
        <v>564</v>
      </c>
      <c r="J75" s="35">
        <v>83.6</v>
      </c>
    </row>
    <row r="76" spans="1:10" ht="15.75" customHeight="1">
      <c r="A76" s="24" t="s">
        <v>6</v>
      </c>
      <c r="B76" s="25">
        <v>46029</v>
      </c>
      <c r="C76" s="26" t="s">
        <v>53</v>
      </c>
      <c r="D76" s="27" t="s">
        <v>46</v>
      </c>
      <c r="E76" s="28" t="s">
        <v>29</v>
      </c>
      <c r="F76" s="29">
        <v>451</v>
      </c>
      <c r="G76" s="30">
        <v>73</v>
      </c>
      <c r="H76" s="31">
        <v>53</v>
      </c>
      <c r="I76" s="32">
        <v>471</v>
      </c>
      <c r="J76" s="34">
        <v>72.599999999999994</v>
      </c>
    </row>
    <row r="77" spans="1:10" ht="15.75" customHeight="1">
      <c r="A77" s="14" t="s">
        <v>6</v>
      </c>
      <c r="B77" s="15">
        <v>46029</v>
      </c>
      <c r="C77" s="16" t="s">
        <v>53</v>
      </c>
      <c r="D77" s="17" t="s">
        <v>46</v>
      </c>
      <c r="E77" s="18" t="s">
        <v>31</v>
      </c>
      <c r="F77" s="19">
        <v>481</v>
      </c>
      <c r="G77" s="20">
        <v>149</v>
      </c>
      <c r="H77" s="21">
        <v>98</v>
      </c>
      <c r="I77" s="22">
        <v>532</v>
      </c>
      <c r="J77" s="23">
        <v>65.8</v>
      </c>
    </row>
    <row r="78" spans="1:10" ht="15.75" customHeight="1">
      <c r="A78" s="24" t="s">
        <v>6</v>
      </c>
      <c r="B78" s="25">
        <v>46029</v>
      </c>
      <c r="C78" s="26" t="s">
        <v>53</v>
      </c>
      <c r="D78" s="27" t="s">
        <v>46</v>
      </c>
      <c r="E78" s="28" t="s">
        <v>33</v>
      </c>
      <c r="F78" s="29">
        <v>320</v>
      </c>
      <c r="G78" s="30">
        <v>89</v>
      </c>
      <c r="H78" s="31">
        <v>80</v>
      </c>
      <c r="I78" s="32">
        <v>329</v>
      </c>
      <c r="J78" s="33">
        <v>89.9</v>
      </c>
    </row>
    <row r="79" spans="1:10" ht="15.75" customHeight="1">
      <c r="A79" s="14" t="s">
        <v>6</v>
      </c>
      <c r="B79" s="15">
        <v>46029</v>
      </c>
      <c r="C79" s="16" t="s">
        <v>53</v>
      </c>
      <c r="D79" s="17" t="s">
        <v>46</v>
      </c>
      <c r="E79" s="18" t="s">
        <v>36</v>
      </c>
      <c r="F79" s="19">
        <v>669</v>
      </c>
      <c r="G79" s="20">
        <v>123</v>
      </c>
      <c r="H79" s="21">
        <v>93</v>
      </c>
      <c r="I79" s="22">
        <v>699</v>
      </c>
      <c r="J79" s="35">
        <v>75.599999999999994</v>
      </c>
    </row>
    <row r="80" spans="1:10" ht="15.75" customHeight="1">
      <c r="A80" s="24" t="s">
        <v>6</v>
      </c>
      <c r="B80" s="25">
        <v>46030</v>
      </c>
      <c r="C80" s="26" t="s">
        <v>45</v>
      </c>
      <c r="D80" s="27" t="s">
        <v>46</v>
      </c>
      <c r="E80" s="28" t="s">
        <v>26</v>
      </c>
      <c r="F80" s="29">
        <v>639</v>
      </c>
      <c r="G80" s="30">
        <v>130</v>
      </c>
      <c r="H80" s="31">
        <v>85</v>
      </c>
      <c r="I80" s="32">
        <v>684</v>
      </c>
      <c r="J80" s="34">
        <v>65.400000000000006</v>
      </c>
    </row>
    <row r="81" spans="1:10" ht="15.75" customHeight="1">
      <c r="A81" s="14" t="s">
        <v>6</v>
      </c>
      <c r="B81" s="15">
        <v>46030</v>
      </c>
      <c r="C81" s="16" t="s">
        <v>45</v>
      </c>
      <c r="D81" s="17" t="s">
        <v>46</v>
      </c>
      <c r="E81" s="18" t="s">
        <v>27</v>
      </c>
      <c r="F81" s="19">
        <v>513</v>
      </c>
      <c r="G81" s="20">
        <v>130</v>
      </c>
      <c r="H81" s="21">
        <v>107</v>
      </c>
      <c r="I81" s="22">
        <v>536</v>
      </c>
      <c r="J81" s="35">
        <v>82.3</v>
      </c>
    </row>
    <row r="82" spans="1:10" ht="15.75" customHeight="1">
      <c r="A82" s="24" t="s">
        <v>6</v>
      </c>
      <c r="B82" s="25">
        <v>46030</v>
      </c>
      <c r="C82" s="26" t="s">
        <v>45</v>
      </c>
      <c r="D82" s="27" t="s">
        <v>46</v>
      </c>
      <c r="E82" s="28" t="s">
        <v>30</v>
      </c>
      <c r="F82" s="29">
        <v>563</v>
      </c>
      <c r="G82" s="30">
        <v>100</v>
      </c>
      <c r="H82" s="31">
        <v>66</v>
      </c>
      <c r="I82" s="32">
        <v>597</v>
      </c>
      <c r="J82" s="34">
        <v>66</v>
      </c>
    </row>
    <row r="83" spans="1:10" ht="15.75" customHeight="1">
      <c r="A83" s="14" t="s">
        <v>6</v>
      </c>
      <c r="B83" s="15">
        <v>46030</v>
      </c>
      <c r="C83" s="16" t="s">
        <v>45</v>
      </c>
      <c r="D83" s="17" t="s">
        <v>46</v>
      </c>
      <c r="E83" s="18" t="s">
        <v>32</v>
      </c>
      <c r="F83" s="19">
        <v>526</v>
      </c>
      <c r="G83" s="20">
        <v>92</v>
      </c>
      <c r="H83" s="21">
        <v>75</v>
      </c>
      <c r="I83" s="22">
        <v>543</v>
      </c>
      <c r="J83" s="35">
        <v>81.5</v>
      </c>
    </row>
    <row r="84" spans="1:10" ht="15.75" customHeight="1">
      <c r="A84" s="24" t="s">
        <v>6</v>
      </c>
      <c r="B84" s="25">
        <v>46030</v>
      </c>
      <c r="C84" s="26" t="s">
        <v>45</v>
      </c>
      <c r="D84" s="27" t="s">
        <v>46</v>
      </c>
      <c r="E84" s="28" t="s">
        <v>34</v>
      </c>
      <c r="F84" s="29">
        <v>479</v>
      </c>
      <c r="G84" s="30">
        <v>102</v>
      </c>
      <c r="H84" s="31">
        <v>69</v>
      </c>
      <c r="I84" s="32">
        <v>512</v>
      </c>
      <c r="J84" s="34">
        <v>67.599999999999994</v>
      </c>
    </row>
    <row r="85" spans="1:10" ht="15.75" customHeight="1">
      <c r="A85" s="14" t="s">
        <v>6</v>
      </c>
      <c r="B85" s="15">
        <v>46030</v>
      </c>
      <c r="C85" s="16" t="s">
        <v>45</v>
      </c>
      <c r="D85" s="17" t="s">
        <v>46</v>
      </c>
      <c r="E85" s="18" t="s">
        <v>25</v>
      </c>
      <c r="F85" s="19">
        <v>475</v>
      </c>
      <c r="G85" s="20">
        <v>67</v>
      </c>
      <c r="H85" s="21">
        <v>54</v>
      </c>
      <c r="I85" s="22">
        <v>488</v>
      </c>
      <c r="J85" s="35">
        <v>80.599999999999994</v>
      </c>
    </row>
    <row r="86" spans="1:10" ht="15.75" customHeight="1">
      <c r="A86" s="24" t="s">
        <v>6</v>
      </c>
      <c r="B86" s="25">
        <v>46030</v>
      </c>
      <c r="C86" s="26" t="s">
        <v>45</v>
      </c>
      <c r="D86" s="27" t="s">
        <v>46</v>
      </c>
      <c r="E86" s="28" t="s">
        <v>35</v>
      </c>
      <c r="F86" s="29">
        <v>564</v>
      </c>
      <c r="G86" s="30">
        <v>104</v>
      </c>
      <c r="H86" s="31">
        <v>76</v>
      </c>
      <c r="I86" s="32">
        <v>592</v>
      </c>
      <c r="J86" s="34">
        <v>73.099999999999994</v>
      </c>
    </row>
    <row r="87" spans="1:10" ht="15.75" customHeight="1">
      <c r="A87" s="14" t="s">
        <v>6</v>
      </c>
      <c r="B87" s="15">
        <v>46030</v>
      </c>
      <c r="C87" s="16" t="s">
        <v>45</v>
      </c>
      <c r="D87" s="17" t="s">
        <v>46</v>
      </c>
      <c r="E87" s="18" t="s">
        <v>29</v>
      </c>
      <c r="F87" s="19">
        <v>471</v>
      </c>
      <c r="G87" s="20">
        <v>103</v>
      </c>
      <c r="H87" s="21">
        <v>77</v>
      </c>
      <c r="I87" s="22">
        <v>497</v>
      </c>
      <c r="J87" s="23">
        <v>74.8</v>
      </c>
    </row>
    <row r="88" spans="1:10" ht="15.75" customHeight="1">
      <c r="A88" s="24" t="s">
        <v>6</v>
      </c>
      <c r="B88" s="25">
        <v>46030</v>
      </c>
      <c r="C88" s="26" t="s">
        <v>45</v>
      </c>
      <c r="D88" s="27" t="s">
        <v>46</v>
      </c>
      <c r="E88" s="28" t="s">
        <v>31</v>
      </c>
      <c r="F88" s="29">
        <v>532</v>
      </c>
      <c r="G88" s="30">
        <v>95</v>
      </c>
      <c r="H88" s="31">
        <v>70</v>
      </c>
      <c r="I88" s="32">
        <v>557</v>
      </c>
      <c r="J88" s="34">
        <v>73.7</v>
      </c>
    </row>
    <row r="89" spans="1:10" ht="15.75" customHeight="1">
      <c r="A89" s="14" t="s">
        <v>6</v>
      </c>
      <c r="B89" s="15">
        <v>46030</v>
      </c>
      <c r="C89" s="16" t="s">
        <v>45</v>
      </c>
      <c r="D89" s="17" t="s">
        <v>46</v>
      </c>
      <c r="E89" s="18" t="s">
        <v>33</v>
      </c>
      <c r="F89" s="19">
        <v>329</v>
      </c>
      <c r="G89" s="20">
        <v>90</v>
      </c>
      <c r="H89" s="21">
        <v>87</v>
      </c>
      <c r="I89" s="22">
        <v>332</v>
      </c>
      <c r="J89" s="35">
        <v>96.7</v>
      </c>
    </row>
    <row r="90" spans="1:10" ht="15.75" customHeight="1">
      <c r="A90" s="24" t="s">
        <v>6</v>
      </c>
      <c r="B90" s="25">
        <v>46030</v>
      </c>
      <c r="C90" s="26" t="s">
        <v>45</v>
      </c>
      <c r="D90" s="27" t="s">
        <v>46</v>
      </c>
      <c r="E90" s="28" t="s">
        <v>36</v>
      </c>
      <c r="F90" s="29">
        <v>699</v>
      </c>
      <c r="G90" s="30">
        <v>112</v>
      </c>
      <c r="H90" s="31">
        <v>85</v>
      </c>
      <c r="I90" s="32">
        <v>726</v>
      </c>
      <c r="J90" s="33">
        <v>75.900000000000006</v>
      </c>
    </row>
    <row r="91" spans="1:10" ht="15.75" customHeight="1">
      <c r="A91" s="14" t="s">
        <v>6</v>
      </c>
      <c r="B91" s="15">
        <v>46031</v>
      </c>
      <c r="C91" s="16" t="s">
        <v>47</v>
      </c>
      <c r="D91" s="17" t="s">
        <v>46</v>
      </c>
      <c r="E91" s="18" t="s">
        <v>26</v>
      </c>
      <c r="F91" s="19">
        <v>684</v>
      </c>
      <c r="G91" s="20">
        <v>142</v>
      </c>
      <c r="H91" s="21">
        <v>102</v>
      </c>
      <c r="I91" s="22">
        <v>724</v>
      </c>
      <c r="J91" s="23">
        <v>71.8</v>
      </c>
    </row>
    <row r="92" spans="1:10" ht="15.75" customHeight="1">
      <c r="A92" s="24" t="s">
        <v>6</v>
      </c>
      <c r="B92" s="25">
        <v>46031</v>
      </c>
      <c r="C92" s="26" t="s">
        <v>47</v>
      </c>
      <c r="D92" s="27" t="s">
        <v>46</v>
      </c>
      <c r="E92" s="28" t="s">
        <v>27</v>
      </c>
      <c r="F92" s="29">
        <v>536</v>
      </c>
      <c r="G92" s="30">
        <v>95</v>
      </c>
      <c r="H92" s="31">
        <v>73</v>
      </c>
      <c r="I92" s="32">
        <v>558</v>
      </c>
      <c r="J92" s="33">
        <v>76.8</v>
      </c>
    </row>
    <row r="93" spans="1:10" ht="15.75" customHeight="1">
      <c r="A93" s="14" t="s">
        <v>6</v>
      </c>
      <c r="B93" s="15">
        <v>46031</v>
      </c>
      <c r="C93" s="16" t="s">
        <v>47</v>
      </c>
      <c r="D93" s="17" t="s">
        <v>46</v>
      </c>
      <c r="E93" s="18" t="s">
        <v>30</v>
      </c>
      <c r="F93" s="19">
        <v>597</v>
      </c>
      <c r="G93" s="20">
        <v>154</v>
      </c>
      <c r="H93" s="21">
        <v>100</v>
      </c>
      <c r="I93" s="22">
        <v>651</v>
      </c>
      <c r="J93" s="23">
        <v>64.900000000000006</v>
      </c>
    </row>
    <row r="94" spans="1:10" ht="15.75" customHeight="1">
      <c r="A94" s="24" t="s">
        <v>6</v>
      </c>
      <c r="B94" s="25">
        <v>46031</v>
      </c>
      <c r="C94" s="26" t="s">
        <v>47</v>
      </c>
      <c r="D94" s="27" t="s">
        <v>46</v>
      </c>
      <c r="E94" s="28" t="s">
        <v>32</v>
      </c>
      <c r="F94" s="29">
        <v>543</v>
      </c>
      <c r="G94" s="30">
        <v>99</v>
      </c>
      <c r="H94" s="31">
        <v>94</v>
      </c>
      <c r="I94" s="32">
        <v>548</v>
      </c>
      <c r="J94" s="33">
        <v>94.9</v>
      </c>
    </row>
    <row r="95" spans="1:10" ht="15.75" customHeight="1">
      <c r="A95" s="14" t="s">
        <v>6</v>
      </c>
      <c r="B95" s="15">
        <v>46031</v>
      </c>
      <c r="C95" s="16" t="s">
        <v>47</v>
      </c>
      <c r="D95" s="17" t="s">
        <v>46</v>
      </c>
      <c r="E95" s="18" t="s">
        <v>34</v>
      </c>
      <c r="F95" s="19">
        <v>512</v>
      </c>
      <c r="G95" s="20">
        <v>100</v>
      </c>
      <c r="H95" s="21">
        <v>81</v>
      </c>
      <c r="I95" s="22">
        <v>531</v>
      </c>
      <c r="J95" s="35">
        <v>81</v>
      </c>
    </row>
    <row r="96" spans="1:10" ht="15.75" customHeight="1">
      <c r="A96" s="24" t="s">
        <v>6</v>
      </c>
      <c r="B96" s="25">
        <v>46031</v>
      </c>
      <c r="C96" s="26" t="s">
        <v>47</v>
      </c>
      <c r="D96" s="27" t="s">
        <v>46</v>
      </c>
      <c r="E96" s="28" t="s">
        <v>25</v>
      </c>
      <c r="F96" s="29">
        <v>488</v>
      </c>
      <c r="G96" s="30">
        <v>88</v>
      </c>
      <c r="H96" s="31">
        <v>74</v>
      </c>
      <c r="I96" s="32">
        <v>502</v>
      </c>
      <c r="J96" s="33">
        <v>84.1</v>
      </c>
    </row>
    <row r="97" spans="1:10" ht="15.75" customHeight="1">
      <c r="A97" s="14" t="s">
        <v>6</v>
      </c>
      <c r="B97" s="15">
        <v>46031</v>
      </c>
      <c r="C97" s="16" t="s">
        <v>47</v>
      </c>
      <c r="D97" s="17" t="s">
        <v>46</v>
      </c>
      <c r="E97" s="18" t="s">
        <v>35</v>
      </c>
      <c r="F97" s="19">
        <v>592</v>
      </c>
      <c r="G97" s="20">
        <v>118</v>
      </c>
      <c r="H97" s="21">
        <v>106</v>
      </c>
      <c r="I97" s="22">
        <v>604</v>
      </c>
      <c r="J97" s="35">
        <v>89.8</v>
      </c>
    </row>
    <row r="98" spans="1:10" ht="15.75" customHeight="1">
      <c r="A98" s="24" t="s">
        <v>6</v>
      </c>
      <c r="B98" s="25">
        <v>46031</v>
      </c>
      <c r="C98" s="26" t="s">
        <v>47</v>
      </c>
      <c r="D98" s="27" t="s">
        <v>46</v>
      </c>
      <c r="E98" s="28" t="s">
        <v>29</v>
      </c>
      <c r="F98" s="29">
        <v>497</v>
      </c>
      <c r="G98" s="30">
        <v>102</v>
      </c>
      <c r="H98" s="31">
        <v>70</v>
      </c>
      <c r="I98" s="32">
        <v>529</v>
      </c>
      <c r="J98" s="34">
        <v>68.599999999999994</v>
      </c>
    </row>
    <row r="99" spans="1:10" ht="15.75" customHeight="1">
      <c r="A99" s="14" t="s">
        <v>6</v>
      </c>
      <c r="B99" s="15">
        <v>46031</v>
      </c>
      <c r="C99" s="16" t="s">
        <v>47</v>
      </c>
      <c r="D99" s="17" t="s">
        <v>46</v>
      </c>
      <c r="E99" s="18" t="s">
        <v>31</v>
      </c>
      <c r="F99" s="19">
        <v>557</v>
      </c>
      <c r="G99" s="20">
        <v>91</v>
      </c>
      <c r="H99" s="21">
        <v>69</v>
      </c>
      <c r="I99" s="22">
        <v>579</v>
      </c>
      <c r="J99" s="35">
        <v>75.8</v>
      </c>
    </row>
    <row r="100" spans="1:10" ht="15.75" customHeight="1">
      <c r="A100" s="24" t="s">
        <v>6</v>
      </c>
      <c r="B100" s="25">
        <v>46031</v>
      </c>
      <c r="C100" s="26" t="s">
        <v>47</v>
      </c>
      <c r="D100" s="27" t="s">
        <v>46</v>
      </c>
      <c r="E100" s="28" t="s">
        <v>33</v>
      </c>
      <c r="F100" s="29">
        <v>332</v>
      </c>
      <c r="G100" s="30">
        <v>84</v>
      </c>
      <c r="H100" s="31">
        <v>76</v>
      </c>
      <c r="I100" s="32">
        <v>340</v>
      </c>
      <c r="J100" s="33">
        <v>90.5</v>
      </c>
    </row>
    <row r="101" spans="1:10" ht="15.75" customHeight="1">
      <c r="A101" s="14" t="s">
        <v>6</v>
      </c>
      <c r="B101" s="15">
        <v>46031</v>
      </c>
      <c r="C101" s="16" t="s">
        <v>47</v>
      </c>
      <c r="D101" s="17" t="s">
        <v>46</v>
      </c>
      <c r="E101" s="18" t="s">
        <v>36</v>
      </c>
      <c r="F101" s="19">
        <v>726</v>
      </c>
      <c r="G101" s="20">
        <v>148</v>
      </c>
      <c r="H101" s="21">
        <v>100</v>
      </c>
      <c r="I101" s="22">
        <v>774</v>
      </c>
      <c r="J101" s="23">
        <v>67.599999999999994</v>
      </c>
    </row>
    <row r="102" spans="1:10" ht="15.75" customHeight="1">
      <c r="A102" s="36" t="s">
        <v>6</v>
      </c>
      <c r="B102" s="37">
        <v>46032</v>
      </c>
      <c r="C102" s="38" t="s">
        <v>48</v>
      </c>
      <c r="D102" s="39" t="s">
        <v>49</v>
      </c>
      <c r="E102" s="40" t="s">
        <v>26</v>
      </c>
      <c r="F102" s="41">
        <v>724</v>
      </c>
      <c r="G102" s="42">
        <v>35</v>
      </c>
      <c r="H102" s="43">
        <v>28</v>
      </c>
      <c r="I102" s="44">
        <v>731</v>
      </c>
      <c r="J102" s="45">
        <v>80</v>
      </c>
    </row>
    <row r="103" spans="1:10" ht="15.75" customHeight="1">
      <c r="A103" s="36" t="s">
        <v>6</v>
      </c>
      <c r="B103" s="37">
        <v>46032</v>
      </c>
      <c r="C103" s="38" t="s">
        <v>48</v>
      </c>
      <c r="D103" s="39" t="s">
        <v>49</v>
      </c>
      <c r="E103" s="40" t="s">
        <v>27</v>
      </c>
      <c r="F103" s="41">
        <v>558</v>
      </c>
      <c r="G103" s="42">
        <v>52</v>
      </c>
      <c r="H103" s="43">
        <v>44</v>
      </c>
      <c r="I103" s="44">
        <v>566</v>
      </c>
      <c r="J103" s="45">
        <v>84.6</v>
      </c>
    </row>
    <row r="104" spans="1:10" ht="15.75" customHeight="1">
      <c r="A104" s="36" t="s">
        <v>6</v>
      </c>
      <c r="B104" s="37">
        <v>46032</v>
      </c>
      <c r="C104" s="38" t="s">
        <v>48</v>
      </c>
      <c r="D104" s="39" t="s">
        <v>49</v>
      </c>
      <c r="E104" s="40" t="s">
        <v>30</v>
      </c>
      <c r="F104" s="41">
        <v>651</v>
      </c>
      <c r="G104" s="42">
        <v>52</v>
      </c>
      <c r="H104" s="43">
        <v>33</v>
      </c>
      <c r="I104" s="44">
        <v>670</v>
      </c>
      <c r="J104" s="46">
        <v>63.5</v>
      </c>
    </row>
    <row r="105" spans="1:10" ht="15.75" customHeight="1">
      <c r="A105" s="36" t="s">
        <v>6</v>
      </c>
      <c r="B105" s="37">
        <v>46032</v>
      </c>
      <c r="C105" s="38" t="s">
        <v>48</v>
      </c>
      <c r="D105" s="39" t="s">
        <v>49</v>
      </c>
      <c r="E105" s="40" t="s">
        <v>32</v>
      </c>
      <c r="F105" s="41">
        <v>548</v>
      </c>
      <c r="G105" s="42">
        <v>59</v>
      </c>
      <c r="H105" s="43">
        <v>50</v>
      </c>
      <c r="I105" s="44">
        <v>557</v>
      </c>
      <c r="J105" s="45">
        <v>84.7</v>
      </c>
    </row>
    <row r="106" spans="1:10" ht="15.75" customHeight="1">
      <c r="A106" s="36" t="s">
        <v>6</v>
      </c>
      <c r="B106" s="37">
        <v>46032</v>
      </c>
      <c r="C106" s="38" t="s">
        <v>48</v>
      </c>
      <c r="D106" s="39" t="s">
        <v>49</v>
      </c>
      <c r="E106" s="40" t="s">
        <v>34</v>
      </c>
      <c r="F106" s="41">
        <v>531</v>
      </c>
      <c r="G106" s="42">
        <v>63</v>
      </c>
      <c r="H106" s="43">
        <v>40</v>
      </c>
      <c r="I106" s="44">
        <v>554</v>
      </c>
      <c r="J106" s="46">
        <v>63.5</v>
      </c>
    </row>
    <row r="107" spans="1:10" ht="15.75" customHeight="1">
      <c r="A107" s="36" t="s">
        <v>6</v>
      </c>
      <c r="B107" s="37">
        <v>46032</v>
      </c>
      <c r="C107" s="38" t="s">
        <v>48</v>
      </c>
      <c r="D107" s="39" t="s">
        <v>49</v>
      </c>
      <c r="E107" s="40" t="s">
        <v>25</v>
      </c>
      <c r="F107" s="41">
        <v>502</v>
      </c>
      <c r="G107" s="42">
        <v>38</v>
      </c>
      <c r="H107" s="43">
        <v>26</v>
      </c>
      <c r="I107" s="44">
        <v>514</v>
      </c>
      <c r="J107" s="46">
        <v>68.400000000000006</v>
      </c>
    </row>
    <row r="108" spans="1:10" ht="15.75" customHeight="1">
      <c r="A108" s="36" t="s">
        <v>6</v>
      </c>
      <c r="B108" s="37">
        <v>46032</v>
      </c>
      <c r="C108" s="38" t="s">
        <v>48</v>
      </c>
      <c r="D108" s="39" t="s">
        <v>49</v>
      </c>
      <c r="E108" s="40" t="s">
        <v>35</v>
      </c>
      <c r="F108" s="41">
        <v>604</v>
      </c>
      <c r="G108" s="42">
        <v>46</v>
      </c>
      <c r="H108" s="43">
        <v>41</v>
      </c>
      <c r="I108" s="44">
        <v>609</v>
      </c>
      <c r="J108" s="45">
        <v>89.1</v>
      </c>
    </row>
    <row r="109" spans="1:10" ht="15.75" customHeight="1">
      <c r="A109" s="36" t="s">
        <v>6</v>
      </c>
      <c r="B109" s="37">
        <v>46032</v>
      </c>
      <c r="C109" s="38" t="s">
        <v>48</v>
      </c>
      <c r="D109" s="39" t="s">
        <v>49</v>
      </c>
      <c r="E109" s="40" t="s">
        <v>29</v>
      </c>
      <c r="F109" s="41">
        <v>529</v>
      </c>
      <c r="G109" s="42">
        <v>46</v>
      </c>
      <c r="H109" s="43">
        <v>30</v>
      </c>
      <c r="I109" s="44">
        <v>545</v>
      </c>
      <c r="J109" s="46">
        <v>65.2</v>
      </c>
    </row>
    <row r="110" spans="1:10" ht="15.75" customHeight="1">
      <c r="A110" s="36" t="s">
        <v>6</v>
      </c>
      <c r="B110" s="37">
        <v>46032</v>
      </c>
      <c r="C110" s="38" t="s">
        <v>48</v>
      </c>
      <c r="D110" s="39" t="s">
        <v>49</v>
      </c>
      <c r="E110" s="40" t="s">
        <v>31</v>
      </c>
      <c r="F110" s="41">
        <v>579</v>
      </c>
      <c r="G110" s="42">
        <v>58</v>
      </c>
      <c r="H110" s="43">
        <v>37</v>
      </c>
      <c r="I110" s="44">
        <v>600</v>
      </c>
      <c r="J110" s="46">
        <v>63.8</v>
      </c>
    </row>
    <row r="111" spans="1:10" ht="15.75" customHeight="1">
      <c r="A111" s="36" t="s">
        <v>6</v>
      </c>
      <c r="B111" s="37">
        <v>46032</v>
      </c>
      <c r="C111" s="38" t="s">
        <v>48</v>
      </c>
      <c r="D111" s="39" t="s">
        <v>49</v>
      </c>
      <c r="E111" s="40" t="s">
        <v>33</v>
      </c>
      <c r="F111" s="41">
        <v>340</v>
      </c>
      <c r="G111" s="42">
        <v>40</v>
      </c>
      <c r="H111" s="43">
        <v>37</v>
      </c>
      <c r="I111" s="44">
        <v>343</v>
      </c>
      <c r="J111" s="45">
        <v>92.5</v>
      </c>
    </row>
    <row r="112" spans="1:10" ht="15.75" customHeight="1">
      <c r="A112" s="36" t="s">
        <v>6</v>
      </c>
      <c r="B112" s="37">
        <v>46032</v>
      </c>
      <c r="C112" s="38" t="s">
        <v>48</v>
      </c>
      <c r="D112" s="39" t="s">
        <v>49</v>
      </c>
      <c r="E112" s="40" t="s">
        <v>36</v>
      </c>
      <c r="F112" s="41">
        <v>774</v>
      </c>
      <c r="G112" s="42">
        <v>57</v>
      </c>
      <c r="H112" s="43">
        <v>35</v>
      </c>
      <c r="I112" s="44">
        <v>796</v>
      </c>
      <c r="J112" s="46">
        <v>61.4</v>
      </c>
    </row>
    <row r="113" spans="1:10" ht="15.75" customHeight="1">
      <c r="A113" s="36" t="s">
        <v>6</v>
      </c>
      <c r="B113" s="37">
        <v>46033</v>
      </c>
      <c r="C113" s="38" t="s">
        <v>50</v>
      </c>
      <c r="D113" s="39" t="s">
        <v>49</v>
      </c>
      <c r="E113" s="40" t="s">
        <v>26</v>
      </c>
      <c r="F113" s="41">
        <v>731</v>
      </c>
      <c r="G113" s="42">
        <v>68</v>
      </c>
      <c r="H113" s="43">
        <v>49</v>
      </c>
      <c r="I113" s="44">
        <v>750</v>
      </c>
      <c r="J113" s="46">
        <v>72.099999999999994</v>
      </c>
    </row>
    <row r="114" spans="1:10" ht="15.75" customHeight="1">
      <c r="A114" s="36" t="s">
        <v>6</v>
      </c>
      <c r="B114" s="37">
        <v>46033</v>
      </c>
      <c r="C114" s="38" t="s">
        <v>50</v>
      </c>
      <c r="D114" s="39" t="s">
        <v>49</v>
      </c>
      <c r="E114" s="40" t="s">
        <v>27</v>
      </c>
      <c r="F114" s="41">
        <v>566</v>
      </c>
      <c r="G114" s="42">
        <v>43</v>
      </c>
      <c r="H114" s="43">
        <v>37</v>
      </c>
      <c r="I114" s="44">
        <v>572</v>
      </c>
      <c r="J114" s="45">
        <v>86</v>
      </c>
    </row>
    <row r="115" spans="1:10" ht="15.75" customHeight="1">
      <c r="A115" s="36" t="s">
        <v>6</v>
      </c>
      <c r="B115" s="37">
        <v>46033</v>
      </c>
      <c r="C115" s="38" t="s">
        <v>50</v>
      </c>
      <c r="D115" s="39" t="s">
        <v>49</v>
      </c>
      <c r="E115" s="40" t="s">
        <v>30</v>
      </c>
      <c r="F115" s="41">
        <v>670</v>
      </c>
      <c r="G115" s="42">
        <v>68</v>
      </c>
      <c r="H115" s="43">
        <v>49</v>
      </c>
      <c r="I115" s="44">
        <v>689</v>
      </c>
      <c r="J115" s="46">
        <v>72.099999999999994</v>
      </c>
    </row>
    <row r="116" spans="1:10" ht="15.75" customHeight="1">
      <c r="A116" s="36" t="s">
        <v>6</v>
      </c>
      <c r="B116" s="37">
        <v>46033</v>
      </c>
      <c r="C116" s="38" t="s">
        <v>50</v>
      </c>
      <c r="D116" s="39" t="s">
        <v>49</v>
      </c>
      <c r="E116" s="40" t="s">
        <v>32</v>
      </c>
      <c r="F116" s="41">
        <v>557</v>
      </c>
      <c r="G116" s="42">
        <v>41</v>
      </c>
      <c r="H116" s="43">
        <v>35</v>
      </c>
      <c r="I116" s="44">
        <v>563</v>
      </c>
      <c r="J116" s="45">
        <v>85.4</v>
      </c>
    </row>
    <row r="117" spans="1:10" ht="15.75" customHeight="1">
      <c r="A117" s="36" t="s">
        <v>6</v>
      </c>
      <c r="B117" s="37">
        <v>46033</v>
      </c>
      <c r="C117" s="38" t="s">
        <v>50</v>
      </c>
      <c r="D117" s="39" t="s">
        <v>49</v>
      </c>
      <c r="E117" s="40" t="s">
        <v>34</v>
      </c>
      <c r="F117" s="41">
        <v>554</v>
      </c>
      <c r="G117" s="42">
        <v>43</v>
      </c>
      <c r="H117" s="43">
        <v>28</v>
      </c>
      <c r="I117" s="44">
        <v>569</v>
      </c>
      <c r="J117" s="46">
        <v>65.099999999999994</v>
      </c>
    </row>
    <row r="118" spans="1:10" ht="15.75" customHeight="1">
      <c r="A118" s="36" t="s">
        <v>6</v>
      </c>
      <c r="B118" s="37">
        <v>46033</v>
      </c>
      <c r="C118" s="38" t="s">
        <v>50</v>
      </c>
      <c r="D118" s="39" t="s">
        <v>49</v>
      </c>
      <c r="E118" s="40" t="s">
        <v>25</v>
      </c>
      <c r="F118" s="41">
        <v>514</v>
      </c>
      <c r="G118" s="42">
        <v>27</v>
      </c>
      <c r="H118" s="43">
        <v>18</v>
      </c>
      <c r="I118" s="44">
        <v>523</v>
      </c>
      <c r="J118" s="46">
        <v>66.7</v>
      </c>
    </row>
    <row r="119" spans="1:10" ht="15.75" customHeight="1">
      <c r="A119" s="36" t="s">
        <v>6</v>
      </c>
      <c r="B119" s="37">
        <v>46033</v>
      </c>
      <c r="C119" s="38" t="s">
        <v>50</v>
      </c>
      <c r="D119" s="39" t="s">
        <v>49</v>
      </c>
      <c r="E119" s="40" t="s">
        <v>35</v>
      </c>
      <c r="F119" s="41">
        <v>609</v>
      </c>
      <c r="G119" s="42">
        <v>57</v>
      </c>
      <c r="H119" s="43">
        <v>51</v>
      </c>
      <c r="I119" s="44">
        <v>615</v>
      </c>
      <c r="J119" s="45">
        <v>89.5</v>
      </c>
    </row>
    <row r="120" spans="1:10" ht="15.75" customHeight="1">
      <c r="A120" s="36" t="s">
        <v>6</v>
      </c>
      <c r="B120" s="37">
        <v>46033</v>
      </c>
      <c r="C120" s="38" t="s">
        <v>50</v>
      </c>
      <c r="D120" s="39" t="s">
        <v>49</v>
      </c>
      <c r="E120" s="40" t="s">
        <v>29</v>
      </c>
      <c r="F120" s="41">
        <v>545</v>
      </c>
      <c r="G120" s="42">
        <v>57</v>
      </c>
      <c r="H120" s="43">
        <v>48</v>
      </c>
      <c r="I120" s="44">
        <v>554</v>
      </c>
      <c r="J120" s="45">
        <v>84.2</v>
      </c>
    </row>
    <row r="121" spans="1:10" ht="15.75" customHeight="1">
      <c r="A121" s="36" t="s">
        <v>6</v>
      </c>
      <c r="B121" s="37">
        <v>46033</v>
      </c>
      <c r="C121" s="38" t="s">
        <v>50</v>
      </c>
      <c r="D121" s="39" t="s">
        <v>49</v>
      </c>
      <c r="E121" s="40" t="s">
        <v>31</v>
      </c>
      <c r="F121" s="41">
        <v>600</v>
      </c>
      <c r="G121" s="42">
        <v>42</v>
      </c>
      <c r="H121" s="43">
        <v>33</v>
      </c>
      <c r="I121" s="44">
        <v>609</v>
      </c>
      <c r="J121" s="45">
        <v>78.599999999999994</v>
      </c>
    </row>
    <row r="122" spans="1:10" ht="15.75" customHeight="1">
      <c r="A122" s="36" t="s">
        <v>6</v>
      </c>
      <c r="B122" s="37">
        <v>46033</v>
      </c>
      <c r="C122" s="38" t="s">
        <v>50</v>
      </c>
      <c r="D122" s="39" t="s">
        <v>49</v>
      </c>
      <c r="E122" s="40" t="s">
        <v>33</v>
      </c>
      <c r="F122" s="41">
        <v>343</v>
      </c>
      <c r="G122" s="42">
        <v>39</v>
      </c>
      <c r="H122" s="43">
        <v>30</v>
      </c>
      <c r="I122" s="44">
        <v>352</v>
      </c>
      <c r="J122" s="45">
        <v>76.900000000000006</v>
      </c>
    </row>
    <row r="123" spans="1:10" ht="15.75" customHeight="1">
      <c r="A123" s="36" t="s">
        <v>6</v>
      </c>
      <c r="B123" s="37">
        <v>46033</v>
      </c>
      <c r="C123" s="38" t="s">
        <v>50</v>
      </c>
      <c r="D123" s="39" t="s">
        <v>49</v>
      </c>
      <c r="E123" s="40" t="s">
        <v>36</v>
      </c>
      <c r="F123" s="41">
        <v>796</v>
      </c>
      <c r="G123" s="42">
        <v>68</v>
      </c>
      <c r="H123" s="43">
        <v>49</v>
      </c>
      <c r="I123" s="44">
        <v>815</v>
      </c>
      <c r="J123" s="46">
        <v>72.099999999999994</v>
      </c>
    </row>
    <row r="124" spans="1:10" ht="15.75" customHeight="1">
      <c r="A124" s="24" t="s">
        <v>6</v>
      </c>
      <c r="B124" s="25">
        <v>46034</v>
      </c>
      <c r="C124" s="26" t="s">
        <v>51</v>
      </c>
      <c r="D124" s="27" t="s">
        <v>46</v>
      </c>
      <c r="E124" s="28" t="s">
        <v>26</v>
      </c>
      <c r="F124" s="29">
        <v>750</v>
      </c>
      <c r="G124" s="30">
        <v>116</v>
      </c>
      <c r="H124" s="31">
        <v>97</v>
      </c>
      <c r="I124" s="32">
        <v>769</v>
      </c>
      <c r="J124" s="33">
        <v>83.6</v>
      </c>
    </row>
    <row r="125" spans="1:10" ht="15.75" customHeight="1">
      <c r="A125" s="14" t="s">
        <v>6</v>
      </c>
      <c r="B125" s="15">
        <v>46034</v>
      </c>
      <c r="C125" s="16" t="s">
        <v>51</v>
      </c>
      <c r="D125" s="17" t="s">
        <v>46</v>
      </c>
      <c r="E125" s="18" t="s">
        <v>27</v>
      </c>
      <c r="F125" s="19">
        <v>572</v>
      </c>
      <c r="G125" s="20">
        <v>107</v>
      </c>
      <c r="H125" s="21">
        <v>74</v>
      </c>
      <c r="I125" s="22">
        <v>605</v>
      </c>
      <c r="J125" s="23">
        <v>69.2</v>
      </c>
    </row>
    <row r="126" spans="1:10" ht="15.75" customHeight="1">
      <c r="A126" s="24" t="s">
        <v>6</v>
      </c>
      <c r="B126" s="25">
        <v>46034</v>
      </c>
      <c r="C126" s="26" t="s">
        <v>51</v>
      </c>
      <c r="D126" s="27" t="s">
        <v>46</v>
      </c>
      <c r="E126" s="28" t="s">
        <v>30</v>
      </c>
      <c r="F126" s="29">
        <v>689</v>
      </c>
      <c r="G126" s="30">
        <v>131</v>
      </c>
      <c r="H126" s="31">
        <v>101</v>
      </c>
      <c r="I126" s="32">
        <v>719</v>
      </c>
      <c r="J126" s="33">
        <v>77.099999999999994</v>
      </c>
    </row>
    <row r="127" spans="1:10" ht="15.75" customHeight="1">
      <c r="A127" s="14" t="s">
        <v>6</v>
      </c>
      <c r="B127" s="15">
        <v>46034</v>
      </c>
      <c r="C127" s="16" t="s">
        <v>51</v>
      </c>
      <c r="D127" s="17" t="s">
        <v>46</v>
      </c>
      <c r="E127" s="18" t="s">
        <v>32</v>
      </c>
      <c r="F127" s="19">
        <v>563</v>
      </c>
      <c r="G127" s="20">
        <v>84</v>
      </c>
      <c r="H127" s="21">
        <v>70</v>
      </c>
      <c r="I127" s="22">
        <v>577</v>
      </c>
      <c r="J127" s="35">
        <v>83.3</v>
      </c>
    </row>
    <row r="128" spans="1:10" ht="15.75" customHeight="1">
      <c r="A128" s="24" t="s">
        <v>6</v>
      </c>
      <c r="B128" s="25">
        <v>46034</v>
      </c>
      <c r="C128" s="26" t="s">
        <v>51</v>
      </c>
      <c r="D128" s="27" t="s">
        <v>46</v>
      </c>
      <c r="E128" s="28" t="s">
        <v>34</v>
      </c>
      <c r="F128" s="29">
        <v>569</v>
      </c>
      <c r="G128" s="30">
        <v>108</v>
      </c>
      <c r="H128" s="31">
        <v>74</v>
      </c>
      <c r="I128" s="32">
        <v>603</v>
      </c>
      <c r="J128" s="34">
        <v>68.5</v>
      </c>
    </row>
    <row r="129" spans="1:10" ht="15.75" customHeight="1">
      <c r="A129" s="14" t="s">
        <v>6</v>
      </c>
      <c r="B129" s="15">
        <v>46034</v>
      </c>
      <c r="C129" s="16" t="s">
        <v>51</v>
      </c>
      <c r="D129" s="17" t="s">
        <v>46</v>
      </c>
      <c r="E129" s="18" t="s">
        <v>25</v>
      </c>
      <c r="F129" s="19">
        <v>523</v>
      </c>
      <c r="G129" s="20">
        <v>68</v>
      </c>
      <c r="H129" s="21">
        <v>48</v>
      </c>
      <c r="I129" s="22">
        <v>543</v>
      </c>
      <c r="J129" s="23">
        <v>70.599999999999994</v>
      </c>
    </row>
    <row r="130" spans="1:10" ht="15.75" customHeight="1">
      <c r="A130" s="24" t="s">
        <v>6</v>
      </c>
      <c r="B130" s="25">
        <v>46034</v>
      </c>
      <c r="C130" s="26" t="s">
        <v>51</v>
      </c>
      <c r="D130" s="27" t="s">
        <v>46</v>
      </c>
      <c r="E130" s="28" t="s">
        <v>35</v>
      </c>
      <c r="F130" s="29">
        <v>615</v>
      </c>
      <c r="G130" s="30">
        <v>128</v>
      </c>
      <c r="H130" s="31">
        <v>103</v>
      </c>
      <c r="I130" s="32">
        <v>640</v>
      </c>
      <c r="J130" s="33">
        <v>80.5</v>
      </c>
    </row>
    <row r="131" spans="1:10" ht="15.75" customHeight="1">
      <c r="A131" s="14" t="s">
        <v>6</v>
      </c>
      <c r="B131" s="15">
        <v>46034</v>
      </c>
      <c r="C131" s="16" t="s">
        <v>51</v>
      </c>
      <c r="D131" s="17" t="s">
        <v>46</v>
      </c>
      <c r="E131" s="18" t="s">
        <v>29</v>
      </c>
      <c r="F131" s="19">
        <v>554</v>
      </c>
      <c r="G131" s="20">
        <v>92</v>
      </c>
      <c r="H131" s="21">
        <v>61</v>
      </c>
      <c r="I131" s="22">
        <v>585</v>
      </c>
      <c r="J131" s="23">
        <v>66.3</v>
      </c>
    </row>
    <row r="132" spans="1:10" ht="15.75" customHeight="1">
      <c r="A132" s="24" t="s">
        <v>6</v>
      </c>
      <c r="B132" s="25">
        <v>46034</v>
      </c>
      <c r="C132" s="26" t="s">
        <v>51</v>
      </c>
      <c r="D132" s="27" t="s">
        <v>46</v>
      </c>
      <c r="E132" s="28" t="s">
        <v>31</v>
      </c>
      <c r="F132" s="29">
        <v>609</v>
      </c>
      <c r="G132" s="30">
        <v>86</v>
      </c>
      <c r="H132" s="31">
        <v>70</v>
      </c>
      <c r="I132" s="32">
        <v>625</v>
      </c>
      <c r="J132" s="33">
        <v>81.400000000000006</v>
      </c>
    </row>
    <row r="133" spans="1:10" ht="15.75" customHeight="1">
      <c r="A133" s="14" t="s">
        <v>6</v>
      </c>
      <c r="B133" s="15">
        <v>46034</v>
      </c>
      <c r="C133" s="16" t="s">
        <v>51</v>
      </c>
      <c r="D133" s="17" t="s">
        <v>46</v>
      </c>
      <c r="E133" s="18" t="s">
        <v>33</v>
      </c>
      <c r="F133" s="19">
        <v>352</v>
      </c>
      <c r="G133" s="20">
        <v>98</v>
      </c>
      <c r="H133" s="21">
        <v>81</v>
      </c>
      <c r="I133" s="22">
        <v>369</v>
      </c>
      <c r="J133" s="35">
        <v>82.7</v>
      </c>
    </row>
    <row r="134" spans="1:10" ht="15.75" customHeight="1">
      <c r="A134" s="24" t="s">
        <v>6</v>
      </c>
      <c r="B134" s="25">
        <v>46034</v>
      </c>
      <c r="C134" s="26" t="s">
        <v>51</v>
      </c>
      <c r="D134" s="27" t="s">
        <v>46</v>
      </c>
      <c r="E134" s="28" t="s">
        <v>36</v>
      </c>
      <c r="F134" s="29">
        <v>815</v>
      </c>
      <c r="G134" s="30">
        <v>120</v>
      </c>
      <c r="H134" s="31">
        <v>74</v>
      </c>
      <c r="I134" s="32">
        <v>861</v>
      </c>
      <c r="J134" s="34">
        <v>61.7</v>
      </c>
    </row>
    <row r="135" spans="1:10" ht="15.75" customHeight="1">
      <c r="A135" s="14" t="s">
        <v>6</v>
      </c>
      <c r="B135" s="15">
        <v>46035</v>
      </c>
      <c r="C135" s="16" t="s">
        <v>52</v>
      </c>
      <c r="D135" s="17" t="s">
        <v>46</v>
      </c>
      <c r="E135" s="18" t="s">
        <v>26</v>
      </c>
      <c r="F135" s="19">
        <v>769</v>
      </c>
      <c r="G135" s="20">
        <v>139</v>
      </c>
      <c r="H135" s="21">
        <v>97</v>
      </c>
      <c r="I135" s="22">
        <v>811</v>
      </c>
      <c r="J135" s="23">
        <v>69.8</v>
      </c>
    </row>
    <row r="136" spans="1:10" ht="15.75" customHeight="1">
      <c r="A136" s="24" t="s">
        <v>6</v>
      </c>
      <c r="B136" s="25">
        <v>46035</v>
      </c>
      <c r="C136" s="26" t="s">
        <v>52</v>
      </c>
      <c r="D136" s="27" t="s">
        <v>46</v>
      </c>
      <c r="E136" s="28" t="s">
        <v>27</v>
      </c>
      <c r="F136" s="29">
        <v>605</v>
      </c>
      <c r="G136" s="30">
        <v>88</v>
      </c>
      <c r="H136" s="31">
        <v>77</v>
      </c>
      <c r="I136" s="32">
        <v>616</v>
      </c>
      <c r="J136" s="33">
        <v>87.5</v>
      </c>
    </row>
    <row r="137" spans="1:10" ht="15.75" customHeight="1">
      <c r="A137" s="14" t="s">
        <v>6</v>
      </c>
      <c r="B137" s="15">
        <v>46035</v>
      </c>
      <c r="C137" s="16" t="s">
        <v>52</v>
      </c>
      <c r="D137" s="17" t="s">
        <v>46</v>
      </c>
      <c r="E137" s="18" t="s">
        <v>30</v>
      </c>
      <c r="F137" s="19">
        <v>719</v>
      </c>
      <c r="G137" s="20">
        <v>101</v>
      </c>
      <c r="H137" s="21">
        <v>63</v>
      </c>
      <c r="I137" s="22">
        <v>757</v>
      </c>
      <c r="J137" s="23">
        <v>62.4</v>
      </c>
    </row>
    <row r="138" spans="1:10" ht="15.75" customHeight="1">
      <c r="A138" s="24" t="s">
        <v>6</v>
      </c>
      <c r="B138" s="25">
        <v>46035</v>
      </c>
      <c r="C138" s="26" t="s">
        <v>52</v>
      </c>
      <c r="D138" s="27" t="s">
        <v>46</v>
      </c>
      <c r="E138" s="28" t="s">
        <v>32</v>
      </c>
      <c r="F138" s="29">
        <v>577</v>
      </c>
      <c r="G138" s="30">
        <v>88</v>
      </c>
      <c r="H138" s="31">
        <v>83</v>
      </c>
      <c r="I138" s="32">
        <v>582</v>
      </c>
      <c r="J138" s="33">
        <v>94.3</v>
      </c>
    </row>
    <row r="139" spans="1:10" ht="15.75" customHeight="1">
      <c r="A139" s="14" t="s">
        <v>6</v>
      </c>
      <c r="B139" s="15">
        <v>46035</v>
      </c>
      <c r="C139" s="16" t="s">
        <v>52</v>
      </c>
      <c r="D139" s="17" t="s">
        <v>46</v>
      </c>
      <c r="E139" s="18" t="s">
        <v>34</v>
      </c>
      <c r="F139" s="19">
        <v>603</v>
      </c>
      <c r="G139" s="20">
        <v>171</v>
      </c>
      <c r="H139" s="21">
        <v>123</v>
      </c>
      <c r="I139" s="22">
        <v>651</v>
      </c>
      <c r="J139" s="23">
        <v>71.900000000000006</v>
      </c>
    </row>
    <row r="140" spans="1:10" ht="15.75" customHeight="1">
      <c r="A140" s="24" t="s">
        <v>6</v>
      </c>
      <c r="B140" s="25">
        <v>46035</v>
      </c>
      <c r="C140" s="26" t="s">
        <v>52</v>
      </c>
      <c r="D140" s="27" t="s">
        <v>46</v>
      </c>
      <c r="E140" s="28" t="s">
        <v>25</v>
      </c>
      <c r="F140" s="29">
        <v>543</v>
      </c>
      <c r="G140" s="30">
        <v>101</v>
      </c>
      <c r="H140" s="31">
        <v>74</v>
      </c>
      <c r="I140" s="32">
        <v>570</v>
      </c>
      <c r="J140" s="34">
        <v>73.3</v>
      </c>
    </row>
    <row r="141" spans="1:10" ht="15.75" customHeight="1">
      <c r="A141" s="14" t="s">
        <v>6</v>
      </c>
      <c r="B141" s="15">
        <v>46035</v>
      </c>
      <c r="C141" s="16" t="s">
        <v>52</v>
      </c>
      <c r="D141" s="17" t="s">
        <v>46</v>
      </c>
      <c r="E141" s="18" t="s">
        <v>35</v>
      </c>
      <c r="F141" s="19">
        <v>640</v>
      </c>
      <c r="G141" s="20">
        <v>83</v>
      </c>
      <c r="H141" s="21">
        <v>71</v>
      </c>
      <c r="I141" s="22">
        <v>652</v>
      </c>
      <c r="J141" s="35">
        <v>85.5</v>
      </c>
    </row>
    <row r="142" spans="1:10" ht="15.75" customHeight="1">
      <c r="A142" s="24" t="s">
        <v>6</v>
      </c>
      <c r="B142" s="25">
        <v>46035</v>
      </c>
      <c r="C142" s="26" t="s">
        <v>52</v>
      </c>
      <c r="D142" s="27" t="s">
        <v>46</v>
      </c>
      <c r="E142" s="28" t="s">
        <v>29</v>
      </c>
      <c r="F142" s="29">
        <v>585</v>
      </c>
      <c r="G142" s="30">
        <v>91</v>
      </c>
      <c r="H142" s="31">
        <v>74</v>
      </c>
      <c r="I142" s="32">
        <v>602</v>
      </c>
      <c r="J142" s="33">
        <v>81.3</v>
      </c>
    </row>
    <row r="143" spans="1:10" ht="15.75" customHeight="1">
      <c r="A143" s="14" t="s">
        <v>6</v>
      </c>
      <c r="B143" s="15">
        <v>46035</v>
      </c>
      <c r="C143" s="16" t="s">
        <v>52</v>
      </c>
      <c r="D143" s="17" t="s">
        <v>46</v>
      </c>
      <c r="E143" s="18" t="s">
        <v>31</v>
      </c>
      <c r="F143" s="19">
        <v>625</v>
      </c>
      <c r="G143" s="20">
        <v>99</v>
      </c>
      <c r="H143" s="21">
        <v>64</v>
      </c>
      <c r="I143" s="22">
        <v>660</v>
      </c>
      <c r="J143" s="23">
        <v>64.599999999999994</v>
      </c>
    </row>
    <row r="144" spans="1:10" ht="15.75" customHeight="1">
      <c r="A144" s="24" t="s">
        <v>6</v>
      </c>
      <c r="B144" s="25">
        <v>46035</v>
      </c>
      <c r="C144" s="26" t="s">
        <v>52</v>
      </c>
      <c r="D144" s="27" t="s">
        <v>46</v>
      </c>
      <c r="E144" s="28" t="s">
        <v>33</v>
      </c>
      <c r="F144" s="29">
        <v>369</v>
      </c>
      <c r="G144" s="30">
        <v>91</v>
      </c>
      <c r="H144" s="31">
        <v>83</v>
      </c>
      <c r="I144" s="32">
        <v>377</v>
      </c>
      <c r="J144" s="33">
        <v>91.2</v>
      </c>
    </row>
    <row r="145" spans="1:10" ht="15.75" customHeight="1">
      <c r="A145" s="14" t="s">
        <v>6</v>
      </c>
      <c r="B145" s="15">
        <v>46035</v>
      </c>
      <c r="C145" s="16" t="s">
        <v>52</v>
      </c>
      <c r="D145" s="17" t="s">
        <v>46</v>
      </c>
      <c r="E145" s="18" t="s">
        <v>36</v>
      </c>
      <c r="F145" s="19">
        <v>861</v>
      </c>
      <c r="G145" s="20">
        <v>150</v>
      </c>
      <c r="H145" s="21">
        <v>107</v>
      </c>
      <c r="I145" s="22">
        <v>904</v>
      </c>
      <c r="J145" s="23">
        <v>71.3</v>
      </c>
    </row>
    <row r="146" spans="1:10" ht="15.75" customHeight="1">
      <c r="A146" s="24" t="s">
        <v>6</v>
      </c>
      <c r="B146" s="25">
        <v>46036</v>
      </c>
      <c r="C146" s="26" t="s">
        <v>53</v>
      </c>
      <c r="D146" s="27" t="s">
        <v>46</v>
      </c>
      <c r="E146" s="28" t="s">
        <v>26</v>
      </c>
      <c r="F146" s="29">
        <v>811</v>
      </c>
      <c r="G146" s="30">
        <v>111</v>
      </c>
      <c r="H146" s="31">
        <v>78</v>
      </c>
      <c r="I146" s="32">
        <v>844</v>
      </c>
      <c r="J146" s="34">
        <v>70.3</v>
      </c>
    </row>
    <row r="147" spans="1:10" ht="15.75" customHeight="1">
      <c r="A147" s="14" t="s">
        <v>6</v>
      </c>
      <c r="B147" s="15">
        <v>46036</v>
      </c>
      <c r="C147" s="16" t="s">
        <v>53</v>
      </c>
      <c r="D147" s="17" t="s">
        <v>46</v>
      </c>
      <c r="E147" s="18" t="s">
        <v>27</v>
      </c>
      <c r="F147" s="19">
        <v>616</v>
      </c>
      <c r="G147" s="20">
        <v>74</v>
      </c>
      <c r="H147" s="21">
        <v>63</v>
      </c>
      <c r="I147" s="22">
        <v>627</v>
      </c>
      <c r="J147" s="35">
        <v>85.1</v>
      </c>
    </row>
    <row r="148" spans="1:10" ht="15.75" customHeight="1">
      <c r="A148" s="24" t="s">
        <v>6</v>
      </c>
      <c r="B148" s="25">
        <v>46036</v>
      </c>
      <c r="C148" s="26" t="s">
        <v>53</v>
      </c>
      <c r="D148" s="27" t="s">
        <v>46</v>
      </c>
      <c r="E148" s="28" t="s">
        <v>30</v>
      </c>
      <c r="F148" s="29">
        <v>757</v>
      </c>
      <c r="G148" s="30">
        <v>93</v>
      </c>
      <c r="H148" s="31">
        <v>55</v>
      </c>
      <c r="I148" s="32">
        <v>795</v>
      </c>
      <c r="J148" s="34">
        <v>59.1</v>
      </c>
    </row>
    <row r="149" spans="1:10" ht="15.75" customHeight="1">
      <c r="A149" s="14" t="s">
        <v>6</v>
      </c>
      <c r="B149" s="15">
        <v>46036</v>
      </c>
      <c r="C149" s="16" t="s">
        <v>53</v>
      </c>
      <c r="D149" s="17" t="s">
        <v>46</v>
      </c>
      <c r="E149" s="18" t="s">
        <v>32</v>
      </c>
      <c r="F149" s="19">
        <v>582</v>
      </c>
      <c r="G149" s="20">
        <v>86</v>
      </c>
      <c r="H149" s="21">
        <v>74</v>
      </c>
      <c r="I149" s="22">
        <v>594</v>
      </c>
      <c r="J149" s="35">
        <v>86</v>
      </c>
    </row>
    <row r="150" spans="1:10" ht="15.75" customHeight="1">
      <c r="A150" s="24" t="s">
        <v>6</v>
      </c>
      <c r="B150" s="25">
        <v>46036</v>
      </c>
      <c r="C150" s="26" t="s">
        <v>53</v>
      </c>
      <c r="D150" s="27" t="s">
        <v>46</v>
      </c>
      <c r="E150" s="28" t="s">
        <v>34</v>
      </c>
      <c r="F150" s="29">
        <v>651</v>
      </c>
      <c r="G150" s="30">
        <v>170</v>
      </c>
      <c r="H150" s="31">
        <v>106</v>
      </c>
      <c r="I150" s="32">
        <v>715</v>
      </c>
      <c r="J150" s="34">
        <v>62.4</v>
      </c>
    </row>
    <row r="151" spans="1:10" ht="15.75" customHeight="1">
      <c r="A151" s="14" t="s">
        <v>6</v>
      </c>
      <c r="B151" s="15">
        <v>46036</v>
      </c>
      <c r="C151" s="16" t="s">
        <v>53</v>
      </c>
      <c r="D151" s="17" t="s">
        <v>46</v>
      </c>
      <c r="E151" s="18" t="s">
        <v>25</v>
      </c>
      <c r="F151" s="19">
        <v>570</v>
      </c>
      <c r="G151" s="20">
        <v>52</v>
      </c>
      <c r="H151" s="21">
        <v>38</v>
      </c>
      <c r="I151" s="22">
        <v>584</v>
      </c>
      <c r="J151" s="23">
        <v>73.099999999999994</v>
      </c>
    </row>
    <row r="152" spans="1:10" ht="15.75" customHeight="1">
      <c r="A152" s="24" t="s">
        <v>6</v>
      </c>
      <c r="B152" s="25">
        <v>46036</v>
      </c>
      <c r="C152" s="26" t="s">
        <v>53</v>
      </c>
      <c r="D152" s="27" t="s">
        <v>46</v>
      </c>
      <c r="E152" s="28" t="s">
        <v>35</v>
      </c>
      <c r="F152" s="29">
        <v>652</v>
      </c>
      <c r="G152" s="30">
        <v>130</v>
      </c>
      <c r="H152" s="31">
        <v>115</v>
      </c>
      <c r="I152" s="32">
        <v>667</v>
      </c>
      <c r="J152" s="33">
        <v>88.5</v>
      </c>
    </row>
    <row r="153" spans="1:10" ht="15.75" customHeight="1">
      <c r="A153" s="14" t="s">
        <v>6</v>
      </c>
      <c r="B153" s="15">
        <v>46036</v>
      </c>
      <c r="C153" s="16" t="s">
        <v>53</v>
      </c>
      <c r="D153" s="17" t="s">
        <v>46</v>
      </c>
      <c r="E153" s="18" t="s">
        <v>29</v>
      </c>
      <c r="F153" s="19">
        <v>602</v>
      </c>
      <c r="G153" s="20">
        <v>83</v>
      </c>
      <c r="H153" s="21">
        <v>59</v>
      </c>
      <c r="I153" s="22">
        <v>626</v>
      </c>
      <c r="J153" s="23">
        <v>71.099999999999994</v>
      </c>
    </row>
    <row r="154" spans="1:10" ht="15.75" customHeight="1">
      <c r="A154" s="24" t="s">
        <v>6</v>
      </c>
      <c r="B154" s="25">
        <v>46036</v>
      </c>
      <c r="C154" s="26" t="s">
        <v>53</v>
      </c>
      <c r="D154" s="27" t="s">
        <v>46</v>
      </c>
      <c r="E154" s="28" t="s">
        <v>31</v>
      </c>
      <c r="F154" s="29">
        <v>660</v>
      </c>
      <c r="G154" s="30">
        <v>123</v>
      </c>
      <c r="H154" s="31">
        <v>81</v>
      </c>
      <c r="I154" s="32">
        <v>702</v>
      </c>
      <c r="J154" s="34">
        <v>65.900000000000006</v>
      </c>
    </row>
    <row r="155" spans="1:10" ht="15.75" customHeight="1">
      <c r="A155" s="14" t="s">
        <v>6</v>
      </c>
      <c r="B155" s="15">
        <v>46036</v>
      </c>
      <c r="C155" s="16" t="s">
        <v>53</v>
      </c>
      <c r="D155" s="17" t="s">
        <v>46</v>
      </c>
      <c r="E155" s="18" t="s">
        <v>33</v>
      </c>
      <c r="F155" s="19">
        <v>377</v>
      </c>
      <c r="G155" s="20">
        <v>73</v>
      </c>
      <c r="H155" s="21">
        <v>66</v>
      </c>
      <c r="I155" s="22">
        <v>384</v>
      </c>
      <c r="J155" s="35">
        <v>90.4</v>
      </c>
    </row>
    <row r="156" spans="1:10" ht="15.75" customHeight="1">
      <c r="A156" s="24" t="s">
        <v>6</v>
      </c>
      <c r="B156" s="25">
        <v>46036</v>
      </c>
      <c r="C156" s="26" t="s">
        <v>53</v>
      </c>
      <c r="D156" s="27" t="s">
        <v>46</v>
      </c>
      <c r="E156" s="28" t="s">
        <v>36</v>
      </c>
      <c r="F156" s="29">
        <v>904</v>
      </c>
      <c r="G156" s="30">
        <v>122</v>
      </c>
      <c r="H156" s="31">
        <v>90</v>
      </c>
      <c r="I156" s="32">
        <v>936</v>
      </c>
      <c r="J156" s="34">
        <v>73.8</v>
      </c>
    </row>
    <row r="157" spans="1:10" ht="15.75" customHeight="1">
      <c r="A157" s="14" t="s">
        <v>6</v>
      </c>
      <c r="B157" s="15">
        <v>46037</v>
      </c>
      <c r="C157" s="16" t="s">
        <v>45</v>
      </c>
      <c r="D157" s="17" t="s">
        <v>46</v>
      </c>
      <c r="E157" s="18" t="s">
        <v>26</v>
      </c>
      <c r="F157" s="19">
        <v>844</v>
      </c>
      <c r="G157" s="20">
        <v>108</v>
      </c>
      <c r="H157" s="21">
        <v>86</v>
      </c>
      <c r="I157" s="22">
        <v>866</v>
      </c>
      <c r="J157" s="35">
        <v>79.599999999999994</v>
      </c>
    </row>
    <row r="158" spans="1:10" ht="15.75" customHeight="1">
      <c r="A158" s="24" t="s">
        <v>6</v>
      </c>
      <c r="B158" s="25">
        <v>46037</v>
      </c>
      <c r="C158" s="26" t="s">
        <v>45</v>
      </c>
      <c r="D158" s="27" t="s">
        <v>46</v>
      </c>
      <c r="E158" s="28" t="s">
        <v>27</v>
      </c>
      <c r="F158" s="29">
        <v>627</v>
      </c>
      <c r="G158" s="30">
        <v>112</v>
      </c>
      <c r="H158" s="31">
        <v>91</v>
      </c>
      <c r="I158" s="32">
        <v>648</v>
      </c>
      <c r="J158" s="33">
        <v>81.2</v>
      </c>
    </row>
    <row r="159" spans="1:10" ht="15.75" customHeight="1">
      <c r="A159" s="14" t="s">
        <v>6</v>
      </c>
      <c r="B159" s="15">
        <v>46037</v>
      </c>
      <c r="C159" s="16" t="s">
        <v>45</v>
      </c>
      <c r="D159" s="17" t="s">
        <v>46</v>
      </c>
      <c r="E159" s="18" t="s">
        <v>30</v>
      </c>
      <c r="F159" s="19">
        <v>795</v>
      </c>
      <c r="G159" s="20">
        <v>140</v>
      </c>
      <c r="H159" s="21">
        <v>101</v>
      </c>
      <c r="I159" s="22">
        <v>834</v>
      </c>
      <c r="J159" s="23">
        <v>72.099999999999994</v>
      </c>
    </row>
    <row r="160" spans="1:10" ht="15.75" customHeight="1">
      <c r="A160" s="24" t="s">
        <v>6</v>
      </c>
      <c r="B160" s="25">
        <v>46037</v>
      </c>
      <c r="C160" s="26" t="s">
        <v>45</v>
      </c>
      <c r="D160" s="27" t="s">
        <v>46</v>
      </c>
      <c r="E160" s="28" t="s">
        <v>32</v>
      </c>
      <c r="F160" s="29">
        <v>594</v>
      </c>
      <c r="G160" s="30">
        <v>72</v>
      </c>
      <c r="H160" s="31">
        <v>60</v>
      </c>
      <c r="I160" s="32">
        <v>606</v>
      </c>
      <c r="J160" s="33">
        <v>83.3</v>
      </c>
    </row>
    <row r="161" spans="1:10" ht="15.75" customHeight="1">
      <c r="A161" s="14" t="s">
        <v>6</v>
      </c>
      <c r="B161" s="15">
        <v>46037</v>
      </c>
      <c r="C161" s="16" t="s">
        <v>45</v>
      </c>
      <c r="D161" s="17" t="s">
        <v>46</v>
      </c>
      <c r="E161" s="18" t="s">
        <v>34</v>
      </c>
      <c r="F161" s="19">
        <v>715</v>
      </c>
      <c r="G161" s="20">
        <v>109</v>
      </c>
      <c r="H161" s="21">
        <v>82</v>
      </c>
      <c r="I161" s="22">
        <v>742</v>
      </c>
      <c r="J161" s="35">
        <v>75.2</v>
      </c>
    </row>
    <row r="162" spans="1:10" ht="15.75" customHeight="1">
      <c r="A162" s="24" t="s">
        <v>6</v>
      </c>
      <c r="B162" s="25">
        <v>46037</v>
      </c>
      <c r="C162" s="26" t="s">
        <v>45</v>
      </c>
      <c r="D162" s="27" t="s">
        <v>46</v>
      </c>
      <c r="E162" s="28" t="s">
        <v>25</v>
      </c>
      <c r="F162" s="29">
        <v>584</v>
      </c>
      <c r="G162" s="30">
        <v>105</v>
      </c>
      <c r="H162" s="31">
        <v>72</v>
      </c>
      <c r="I162" s="32">
        <v>617</v>
      </c>
      <c r="J162" s="34">
        <v>68.599999999999994</v>
      </c>
    </row>
    <row r="163" spans="1:10" ht="15.75" customHeight="1">
      <c r="A163" s="14" t="s">
        <v>6</v>
      </c>
      <c r="B163" s="15">
        <v>46037</v>
      </c>
      <c r="C163" s="16" t="s">
        <v>45</v>
      </c>
      <c r="D163" s="17" t="s">
        <v>46</v>
      </c>
      <c r="E163" s="18" t="s">
        <v>35</v>
      </c>
      <c r="F163" s="19">
        <v>667</v>
      </c>
      <c r="G163" s="20">
        <v>111</v>
      </c>
      <c r="H163" s="21">
        <v>83</v>
      </c>
      <c r="I163" s="22">
        <v>695</v>
      </c>
      <c r="J163" s="23">
        <v>74.8</v>
      </c>
    </row>
    <row r="164" spans="1:10" ht="15.75" customHeight="1">
      <c r="A164" s="24" t="s">
        <v>6</v>
      </c>
      <c r="B164" s="25">
        <v>46037</v>
      </c>
      <c r="C164" s="26" t="s">
        <v>45</v>
      </c>
      <c r="D164" s="27" t="s">
        <v>46</v>
      </c>
      <c r="E164" s="28" t="s">
        <v>29</v>
      </c>
      <c r="F164" s="29">
        <v>626</v>
      </c>
      <c r="G164" s="30">
        <v>95</v>
      </c>
      <c r="H164" s="31">
        <v>65</v>
      </c>
      <c r="I164" s="32">
        <v>656</v>
      </c>
      <c r="J164" s="34">
        <v>68.400000000000006</v>
      </c>
    </row>
    <row r="165" spans="1:10" ht="15.75" customHeight="1">
      <c r="A165" s="14" t="s">
        <v>6</v>
      </c>
      <c r="B165" s="15">
        <v>46037</v>
      </c>
      <c r="C165" s="16" t="s">
        <v>45</v>
      </c>
      <c r="D165" s="17" t="s">
        <v>46</v>
      </c>
      <c r="E165" s="18" t="s">
        <v>31</v>
      </c>
      <c r="F165" s="19">
        <v>702</v>
      </c>
      <c r="G165" s="20">
        <v>101</v>
      </c>
      <c r="H165" s="21">
        <v>67</v>
      </c>
      <c r="I165" s="22">
        <v>736</v>
      </c>
      <c r="J165" s="23">
        <v>66.3</v>
      </c>
    </row>
    <row r="166" spans="1:10" ht="15.75" customHeight="1">
      <c r="A166" s="24" t="s">
        <v>6</v>
      </c>
      <c r="B166" s="25">
        <v>46037</v>
      </c>
      <c r="C166" s="26" t="s">
        <v>45</v>
      </c>
      <c r="D166" s="27" t="s">
        <v>46</v>
      </c>
      <c r="E166" s="28" t="s">
        <v>33</v>
      </c>
      <c r="F166" s="29">
        <v>384</v>
      </c>
      <c r="G166" s="30">
        <v>84</v>
      </c>
      <c r="H166" s="31">
        <v>76</v>
      </c>
      <c r="I166" s="32">
        <v>392</v>
      </c>
      <c r="J166" s="33">
        <v>90.5</v>
      </c>
    </row>
    <row r="167" spans="1:10" ht="15.75" customHeight="1">
      <c r="A167" s="14" t="s">
        <v>6</v>
      </c>
      <c r="B167" s="15">
        <v>46037</v>
      </c>
      <c r="C167" s="16" t="s">
        <v>45</v>
      </c>
      <c r="D167" s="17" t="s">
        <v>46</v>
      </c>
      <c r="E167" s="18" t="s">
        <v>36</v>
      </c>
      <c r="F167" s="19">
        <v>936</v>
      </c>
      <c r="G167" s="20">
        <v>165</v>
      </c>
      <c r="H167" s="21">
        <v>101</v>
      </c>
      <c r="I167" s="22">
        <v>1000</v>
      </c>
      <c r="J167" s="23">
        <v>61.2</v>
      </c>
    </row>
    <row r="168" spans="1:10" ht="15.75" customHeight="1">
      <c r="A168" s="24" t="s">
        <v>6</v>
      </c>
      <c r="B168" s="25">
        <v>46038</v>
      </c>
      <c r="C168" s="26" t="s">
        <v>47</v>
      </c>
      <c r="D168" s="27" t="s">
        <v>46</v>
      </c>
      <c r="E168" s="28" t="s">
        <v>26</v>
      </c>
      <c r="F168" s="29">
        <v>866</v>
      </c>
      <c r="G168" s="30">
        <v>93</v>
      </c>
      <c r="H168" s="31">
        <v>76</v>
      </c>
      <c r="I168" s="32">
        <v>883</v>
      </c>
      <c r="J168" s="33">
        <v>81.7</v>
      </c>
    </row>
    <row r="169" spans="1:10" ht="15.75" customHeight="1">
      <c r="A169" s="14" t="s">
        <v>6</v>
      </c>
      <c r="B169" s="15">
        <v>46038</v>
      </c>
      <c r="C169" s="16" t="s">
        <v>47</v>
      </c>
      <c r="D169" s="17" t="s">
        <v>46</v>
      </c>
      <c r="E169" s="18" t="s">
        <v>27</v>
      </c>
      <c r="F169" s="19">
        <v>648</v>
      </c>
      <c r="G169" s="20">
        <v>123</v>
      </c>
      <c r="H169" s="21">
        <v>110</v>
      </c>
      <c r="I169" s="22">
        <v>661</v>
      </c>
      <c r="J169" s="35">
        <v>89.4</v>
      </c>
    </row>
    <row r="170" spans="1:10" ht="15.75" customHeight="1">
      <c r="A170" s="24" t="s">
        <v>6</v>
      </c>
      <c r="B170" s="25">
        <v>46038</v>
      </c>
      <c r="C170" s="26" t="s">
        <v>47</v>
      </c>
      <c r="D170" s="27" t="s">
        <v>46</v>
      </c>
      <c r="E170" s="28" t="s">
        <v>30</v>
      </c>
      <c r="F170" s="29">
        <v>834</v>
      </c>
      <c r="G170" s="30">
        <v>102</v>
      </c>
      <c r="H170" s="31">
        <v>79</v>
      </c>
      <c r="I170" s="32">
        <v>857</v>
      </c>
      <c r="J170" s="33">
        <v>77.5</v>
      </c>
    </row>
    <row r="171" spans="1:10" ht="15.75" customHeight="1">
      <c r="A171" s="14" t="s">
        <v>6</v>
      </c>
      <c r="B171" s="15">
        <v>46038</v>
      </c>
      <c r="C171" s="16" t="s">
        <v>47</v>
      </c>
      <c r="D171" s="17" t="s">
        <v>46</v>
      </c>
      <c r="E171" s="18" t="s">
        <v>32</v>
      </c>
      <c r="F171" s="19">
        <v>606</v>
      </c>
      <c r="G171" s="20">
        <v>102</v>
      </c>
      <c r="H171" s="21">
        <v>86</v>
      </c>
      <c r="I171" s="22">
        <v>622</v>
      </c>
      <c r="J171" s="35">
        <v>84.3</v>
      </c>
    </row>
    <row r="172" spans="1:10" ht="15.75" customHeight="1">
      <c r="A172" s="24" t="s">
        <v>6</v>
      </c>
      <c r="B172" s="25">
        <v>46038</v>
      </c>
      <c r="C172" s="26" t="s">
        <v>47</v>
      </c>
      <c r="D172" s="27" t="s">
        <v>46</v>
      </c>
      <c r="E172" s="28" t="s">
        <v>34</v>
      </c>
      <c r="F172" s="29">
        <v>742</v>
      </c>
      <c r="G172" s="30">
        <v>110</v>
      </c>
      <c r="H172" s="31">
        <v>89</v>
      </c>
      <c r="I172" s="32">
        <v>763</v>
      </c>
      <c r="J172" s="33">
        <v>80.900000000000006</v>
      </c>
    </row>
    <row r="173" spans="1:10" ht="15.75" customHeight="1">
      <c r="A173" s="14" t="s">
        <v>6</v>
      </c>
      <c r="B173" s="15">
        <v>46038</v>
      </c>
      <c r="C173" s="16" t="s">
        <v>47</v>
      </c>
      <c r="D173" s="17" t="s">
        <v>46</v>
      </c>
      <c r="E173" s="18" t="s">
        <v>25</v>
      </c>
      <c r="F173" s="19">
        <v>617</v>
      </c>
      <c r="G173" s="20">
        <v>63</v>
      </c>
      <c r="H173" s="21">
        <v>48</v>
      </c>
      <c r="I173" s="22">
        <v>632</v>
      </c>
      <c r="J173" s="35">
        <v>76.2</v>
      </c>
    </row>
    <row r="174" spans="1:10" ht="15.75" customHeight="1">
      <c r="A174" s="24" t="s">
        <v>6</v>
      </c>
      <c r="B174" s="25">
        <v>46038</v>
      </c>
      <c r="C174" s="26" t="s">
        <v>47</v>
      </c>
      <c r="D174" s="27" t="s">
        <v>46</v>
      </c>
      <c r="E174" s="28" t="s">
        <v>35</v>
      </c>
      <c r="F174" s="29">
        <v>695</v>
      </c>
      <c r="G174" s="30">
        <v>98</v>
      </c>
      <c r="H174" s="31">
        <v>83</v>
      </c>
      <c r="I174" s="32">
        <v>710</v>
      </c>
      <c r="J174" s="33">
        <v>84.7</v>
      </c>
    </row>
    <row r="175" spans="1:10" ht="15.75" customHeight="1">
      <c r="A175" s="14" t="s">
        <v>6</v>
      </c>
      <c r="B175" s="15">
        <v>46038</v>
      </c>
      <c r="C175" s="16" t="s">
        <v>47</v>
      </c>
      <c r="D175" s="17" t="s">
        <v>46</v>
      </c>
      <c r="E175" s="18" t="s">
        <v>29</v>
      </c>
      <c r="F175" s="19">
        <v>656</v>
      </c>
      <c r="G175" s="20">
        <v>73</v>
      </c>
      <c r="H175" s="21">
        <v>62</v>
      </c>
      <c r="I175" s="22">
        <v>667</v>
      </c>
      <c r="J175" s="35">
        <v>84.9</v>
      </c>
    </row>
    <row r="176" spans="1:10" ht="15.75" customHeight="1">
      <c r="A176" s="24" t="s">
        <v>6</v>
      </c>
      <c r="B176" s="25">
        <v>46038</v>
      </c>
      <c r="C176" s="26" t="s">
        <v>47</v>
      </c>
      <c r="D176" s="27" t="s">
        <v>46</v>
      </c>
      <c r="E176" s="28" t="s">
        <v>31</v>
      </c>
      <c r="F176" s="29">
        <v>736</v>
      </c>
      <c r="G176" s="30">
        <v>145</v>
      </c>
      <c r="H176" s="31">
        <v>96</v>
      </c>
      <c r="I176" s="32">
        <v>785</v>
      </c>
      <c r="J176" s="34">
        <v>66.2</v>
      </c>
    </row>
    <row r="177" spans="1:10" ht="15.75" customHeight="1">
      <c r="A177" s="14" t="s">
        <v>6</v>
      </c>
      <c r="B177" s="15">
        <v>46038</v>
      </c>
      <c r="C177" s="16" t="s">
        <v>47</v>
      </c>
      <c r="D177" s="17" t="s">
        <v>46</v>
      </c>
      <c r="E177" s="18" t="s">
        <v>33</v>
      </c>
      <c r="F177" s="19">
        <v>392</v>
      </c>
      <c r="G177" s="20">
        <v>55</v>
      </c>
      <c r="H177" s="21">
        <v>44</v>
      </c>
      <c r="I177" s="22">
        <v>403</v>
      </c>
      <c r="J177" s="35">
        <v>80</v>
      </c>
    </row>
    <row r="178" spans="1:10" ht="15.75" customHeight="1">
      <c r="A178" s="24" t="s">
        <v>6</v>
      </c>
      <c r="B178" s="25">
        <v>46038</v>
      </c>
      <c r="C178" s="26" t="s">
        <v>47</v>
      </c>
      <c r="D178" s="27" t="s">
        <v>46</v>
      </c>
      <c r="E178" s="28" t="s">
        <v>36</v>
      </c>
      <c r="F178" s="29">
        <v>1000</v>
      </c>
      <c r="G178" s="30">
        <v>106</v>
      </c>
      <c r="H178" s="31">
        <v>74</v>
      </c>
      <c r="I178" s="32">
        <v>1032</v>
      </c>
      <c r="J178" s="34">
        <v>69.8</v>
      </c>
    </row>
    <row r="179" spans="1:10" ht="15.75" customHeight="1">
      <c r="A179" s="36" t="s">
        <v>6</v>
      </c>
      <c r="B179" s="37">
        <v>46039</v>
      </c>
      <c r="C179" s="38" t="s">
        <v>48</v>
      </c>
      <c r="D179" s="39" t="s">
        <v>49</v>
      </c>
      <c r="E179" s="40" t="s">
        <v>26</v>
      </c>
      <c r="F179" s="41">
        <v>883</v>
      </c>
      <c r="G179" s="42">
        <v>57</v>
      </c>
      <c r="H179" s="43">
        <v>37</v>
      </c>
      <c r="I179" s="44">
        <v>903</v>
      </c>
      <c r="J179" s="46">
        <v>64.900000000000006</v>
      </c>
    </row>
    <row r="180" spans="1:10" ht="15.75" customHeight="1">
      <c r="A180" s="36" t="s">
        <v>6</v>
      </c>
      <c r="B180" s="37">
        <v>46039</v>
      </c>
      <c r="C180" s="38" t="s">
        <v>48</v>
      </c>
      <c r="D180" s="39" t="s">
        <v>49</v>
      </c>
      <c r="E180" s="40" t="s">
        <v>27</v>
      </c>
      <c r="F180" s="41">
        <v>661</v>
      </c>
      <c r="G180" s="42">
        <v>31</v>
      </c>
      <c r="H180" s="43">
        <v>22</v>
      </c>
      <c r="I180" s="44">
        <v>670</v>
      </c>
      <c r="J180" s="46">
        <v>71</v>
      </c>
    </row>
    <row r="181" spans="1:10" ht="15.75" customHeight="1">
      <c r="A181" s="36" t="s">
        <v>6</v>
      </c>
      <c r="B181" s="37">
        <v>46039</v>
      </c>
      <c r="C181" s="38" t="s">
        <v>48</v>
      </c>
      <c r="D181" s="39" t="s">
        <v>49</v>
      </c>
      <c r="E181" s="40" t="s">
        <v>30</v>
      </c>
      <c r="F181" s="41">
        <v>857</v>
      </c>
      <c r="G181" s="42">
        <v>43</v>
      </c>
      <c r="H181" s="43">
        <v>32</v>
      </c>
      <c r="I181" s="44">
        <v>868</v>
      </c>
      <c r="J181" s="46">
        <v>74.400000000000006</v>
      </c>
    </row>
    <row r="182" spans="1:10" ht="15.75" customHeight="1">
      <c r="A182" s="36" t="s">
        <v>6</v>
      </c>
      <c r="B182" s="37">
        <v>46039</v>
      </c>
      <c r="C182" s="38" t="s">
        <v>48</v>
      </c>
      <c r="D182" s="39" t="s">
        <v>49</v>
      </c>
      <c r="E182" s="40" t="s">
        <v>32</v>
      </c>
      <c r="F182" s="41">
        <v>622</v>
      </c>
      <c r="G182" s="42">
        <v>29</v>
      </c>
      <c r="H182" s="43">
        <v>22</v>
      </c>
      <c r="I182" s="44">
        <v>629</v>
      </c>
      <c r="J182" s="45">
        <v>75.900000000000006</v>
      </c>
    </row>
    <row r="183" spans="1:10" ht="15.75" customHeight="1">
      <c r="A183" s="36" t="s">
        <v>6</v>
      </c>
      <c r="B183" s="37">
        <v>46039</v>
      </c>
      <c r="C183" s="38" t="s">
        <v>48</v>
      </c>
      <c r="D183" s="39" t="s">
        <v>49</v>
      </c>
      <c r="E183" s="40" t="s">
        <v>34</v>
      </c>
      <c r="F183" s="41">
        <v>763</v>
      </c>
      <c r="G183" s="42">
        <v>82</v>
      </c>
      <c r="H183" s="43">
        <v>51</v>
      </c>
      <c r="I183" s="44">
        <v>794</v>
      </c>
      <c r="J183" s="46">
        <v>62.2</v>
      </c>
    </row>
    <row r="184" spans="1:10" ht="15.75" customHeight="1">
      <c r="A184" s="36" t="s">
        <v>6</v>
      </c>
      <c r="B184" s="37">
        <v>46039</v>
      </c>
      <c r="C184" s="38" t="s">
        <v>48</v>
      </c>
      <c r="D184" s="39" t="s">
        <v>49</v>
      </c>
      <c r="E184" s="40" t="s">
        <v>25</v>
      </c>
      <c r="F184" s="41">
        <v>632</v>
      </c>
      <c r="G184" s="42">
        <v>42</v>
      </c>
      <c r="H184" s="43">
        <v>35</v>
      </c>
      <c r="I184" s="44">
        <v>639</v>
      </c>
      <c r="J184" s="45">
        <v>83.3</v>
      </c>
    </row>
    <row r="185" spans="1:10" ht="15.75" customHeight="1">
      <c r="A185" s="36" t="s">
        <v>6</v>
      </c>
      <c r="B185" s="37">
        <v>46039</v>
      </c>
      <c r="C185" s="38" t="s">
        <v>48</v>
      </c>
      <c r="D185" s="39" t="s">
        <v>49</v>
      </c>
      <c r="E185" s="40" t="s">
        <v>35</v>
      </c>
      <c r="F185" s="41">
        <v>710</v>
      </c>
      <c r="G185" s="42">
        <v>43</v>
      </c>
      <c r="H185" s="43">
        <v>33</v>
      </c>
      <c r="I185" s="44">
        <v>720</v>
      </c>
      <c r="J185" s="45">
        <v>76.7</v>
      </c>
    </row>
    <row r="186" spans="1:10" ht="15.75" customHeight="1">
      <c r="A186" s="36" t="s">
        <v>6</v>
      </c>
      <c r="B186" s="37">
        <v>46039</v>
      </c>
      <c r="C186" s="38" t="s">
        <v>48</v>
      </c>
      <c r="D186" s="39" t="s">
        <v>49</v>
      </c>
      <c r="E186" s="40" t="s">
        <v>29</v>
      </c>
      <c r="F186" s="41">
        <v>667</v>
      </c>
      <c r="G186" s="42">
        <v>41</v>
      </c>
      <c r="H186" s="43">
        <v>33</v>
      </c>
      <c r="I186" s="44">
        <v>675</v>
      </c>
      <c r="J186" s="45">
        <v>80.5</v>
      </c>
    </row>
    <row r="187" spans="1:10" ht="15.75" customHeight="1">
      <c r="A187" s="36" t="s">
        <v>6</v>
      </c>
      <c r="B187" s="37">
        <v>46039</v>
      </c>
      <c r="C187" s="38" t="s">
        <v>48</v>
      </c>
      <c r="D187" s="39" t="s">
        <v>49</v>
      </c>
      <c r="E187" s="40" t="s">
        <v>31</v>
      </c>
      <c r="F187" s="41">
        <v>785</v>
      </c>
      <c r="G187" s="42">
        <v>55</v>
      </c>
      <c r="H187" s="43">
        <v>45</v>
      </c>
      <c r="I187" s="44">
        <v>795</v>
      </c>
      <c r="J187" s="45">
        <v>81.8</v>
      </c>
    </row>
    <row r="188" spans="1:10" ht="15.75" customHeight="1">
      <c r="A188" s="36" t="s">
        <v>6</v>
      </c>
      <c r="B188" s="37">
        <v>46039</v>
      </c>
      <c r="C188" s="38" t="s">
        <v>48</v>
      </c>
      <c r="D188" s="39" t="s">
        <v>49</v>
      </c>
      <c r="E188" s="40" t="s">
        <v>33</v>
      </c>
      <c r="F188" s="41">
        <v>403</v>
      </c>
      <c r="G188" s="42">
        <v>26</v>
      </c>
      <c r="H188" s="43">
        <v>20</v>
      </c>
      <c r="I188" s="44">
        <v>409</v>
      </c>
      <c r="J188" s="45">
        <v>76.900000000000006</v>
      </c>
    </row>
    <row r="189" spans="1:10" ht="15.75" customHeight="1">
      <c r="A189" s="36" t="s">
        <v>6</v>
      </c>
      <c r="B189" s="37">
        <v>46039</v>
      </c>
      <c r="C189" s="38" t="s">
        <v>48</v>
      </c>
      <c r="D189" s="39" t="s">
        <v>49</v>
      </c>
      <c r="E189" s="40" t="s">
        <v>36</v>
      </c>
      <c r="F189" s="41">
        <v>1032</v>
      </c>
      <c r="G189" s="42">
        <v>81</v>
      </c>
      <c r="H189" s="43">
        <v>49</v>
      </c>
      <c r="I189" s="44">
        <v>1064</v>
      </c>
      <c r="J189" s="46">
        <v>60.5</v>
      </c>
    </row>
    <row r="190" spans="1:10" ht="15.75" customHeight="1">
      <c r="A190" s="36" t="s">
        <v>6</v>
      </c>
      <c r="B190" s="37">
        <v>46040</v>
      </c>
      <c r="C190" s="38" t="s">
        <v>50</v>
      </c>
      <c r="D190" s="39" t="s">
        <v>49</v>
      </c>
      <c r="E190" s="40" t="s">
        <v>26</v>
      </c>
      <c r="F190" s="41">
        <v>903</v>
      </c>
      <c r="G190" s="42">
        <v>36</v>
      </c>
      <c r="H190" s="43">
        <v>24</v>
      </c>
      <c r="I190" s="44">
        <v>915</v>
      </c>
      <c r="J190" s="46">
        <v>66.7</v>
      </c>
    </row>
    <row r="191" spans="1:10" ht="15.75" customHeight="1">
      <c r="A191" s="36" t="s">
        <v>6</v>
      </c>
      <c r="B191" s="37">
        <v>46040</v>
      </c>
      <c r="C191" s="38" t="s">
        <v>50</v>
      </c>
      <c r="D191" s="39" t="s">
        <v>49</v>
      </c>
      <c r="E191" s="40" t="s">
        <v>27</v>
      </c>
      <c r="F191" s="41">
        <v>670</v>
      </c>
      <c r="G191" s="42">
        <v>43</v>
      </c>
      <c r="H191" s="43">
        <v>34</v>
      </c>
      <c r="I191" s="44">
        <v>679</v>
      </c>
      <c r="J191" s="45">
        <v>79.099999999999994</v>
      </c>
    </row>
    <row r="192" spans="1:10" ht="15.75" customHeight="1">
      <c r="A192" s="36" t="s">
        <v>6</v>
      </c>
      <c r="B192" s="37">
        <v>46040</v>
      </c>
      <c r="C192" s="38" t="s">
        <v>50</v>
      </c>
      <c r="D192" s="39" t="s">
        <v>49</v>
      </c>
      <c r="E192" s="40" t="s">
        <v>30</v>
      </c>
      <c r="F192" s="41">
        <v>868</v>
      </c>
      <c r="G192" s="42">
        <v>51</v>
      </c>
      <c r="H192" s="43">
        <v>32</v>
      </c>
      <c r="I192" s="44">
        <v>887</v>
      </c>
      <c r="J192" s="46">
        <v>62.7</v>
      </c>
    </row>
    <row r="193" spans="1:10" ht="15.75" customHeight="1">
      <c r="A193" s="36" t="s">
        <v>6</v>
      </c>
      <c r="B193" s="37">
        <v>46040</v>
      </c>
      <c r="C193" s="38" t="s">
        <v>50</v>
      </c>
      <c r="D193" s="39" t="s">
        <v>49</v>
      </c>
      <c r="E193" s="40" t="s">
        <v>32</v>
      </c>
      <c r="F193" s="41">
        <v>629</v>
      </c>
      <c r="G193" s="42">
        <v>59</v>
      </c>
      <c r="H193" s="43">
        <v>56</v>
      </c>
      <c r="I193" s="44">
        <v>632</v>
      </c>
      <c r="J193" s="45">
        <v>94.9</v>
      </c>
    </row>
    <row r="194" spans="1:10" ht="15.75" customHeight="1">
      <c r="A194" s="36" t="s">
        <v>6</v>
      </c>
      <c r="B194" s="37">
        <v>46040</v>
      </c>
      <c r="C194" s="38" t="s">
        <v>50</v>
      </c>
      <c r="D194" s="39" t="s">
        <v>49</v>
      </c>
      <c r="E194" s="40" t="s">
        <v>34</v>
      </c>
      <c r="F194" s="41">
        <v>794</v>
      </c>
      <c r="G194" s="42">
        <v>40</v>
      </c>
      <c r="H194" s="43">
        <v>32</v>
      </c>
      <c r="I194" s="44">
        <v>802</v>
      </c>
      <c r="J194" s="45">
        <v>80</v>
      </c>
    </row>
    <row r="195" spans="1:10" ht="15.75" customHeight="1">
      <c r="A195" s="36" t="s">
        <v>6</v>
      </c>
      <c r="B195" s="37">
        <v>46040</v>
      </c>
      <c r="C195" s="38" t="s">
        <v>50</v>
      </c>
      <c r="D195" s="39" t="s">
        <v>49</v>
      </c>
      <c r="E195" s="40" t="s">
        <v>25</v>
      </c>
      <c r="F195" s="41">
        <v>639</v>
      </c>
      <c r="G195" s="42">
        <v>36</v>
      </c>
      <c r="H195" s="43">
        <v>30</v>
      </c>
      <c r="I195" s="44">
        <v>645</v>
      </c>
      <c r="J195" s="45">
        <v>83.3</v>
      </c>
    </row>
    <row r="196" spans="1:10" ht="15.75" customHeight="1">
      <c r="A196" s="36" t="s">
        <v>6</v>
      </c>
      <c r="B196" s="37">
        <v>46040</v>
      </c>
      <c r="C196" s="38" t="s">
        <v>50</v>
      </c>
      <c r="D196" s="39" t="s">
        <v>49</v>
      </c>
      <c r="E196" s="40" t="s">
        <v>35</v>
      </c>
      <c r="F196" s="41">
        <v>720</v>
      </c>
      <c r="G196" s="42">
        <v>65</v>
      </c>
      <c r="H196" s="43">
        <v>51</v>
      </c>
      <c r="I196" s="44">
        <v>734</v>
      </c>
      <c r="J196" s="45">
        <v>78.5</v>
      </c>
    </row>
    <row r="197" spans="1:10" ht="15.75" customHeight="1">
      <c r="A197" s="36" t="s">
        <v>6</v>
      </c>
      <c r="B197" s="37">
        <v>46040</v>
      </c>
      <c r="C197" s="38" t="s">
        <v>50</v>
      </c>
      <c r="D197" s="39" t="s">
        <v>49</v>
      </c>
      <c r="E197" s="40" t="s">
        <v>29</v>
      </c>
      <c r="F197" s="41">
        <v>675</v>
      </c>
      <c r="G197" s="42">
        <v>49</v>
      </c>
      <c r="H197" s="43">
        <v>42</v>
      </c>
      <c r="I197" s="44">
        <v>682</v>
      </c>
      <c r="J197" s="45">
        <v>85.7</v>
      </c>
    </row>
    <row r="198" spans="1:10" ht="15.75" customHeight="1">
      <c r="A198" s="36" t="s">
        <v>6</v>
      </c>
      <c r="B198" s="37">
        <v>46040</v>
      </c>
      <c r="C198" s="38" t="s">
        <v>50</v>
      </c>
      <c r="D198" s="39" t="s">
        <v>49</v>
      </c>
      <c r="E198" s="40" t="s">
        <v>31</v>
      </c>
      <c r="F198" s="41">
        <v>795</v>
      </c>
      <c r="G198" s="42">
        <v>42</v>
      </c>
      <c r="H198" s="43">
        <v>32</v>
      </c>
      <c r="I198" s="44">
        <v>805</v>
      </c>
      <c r="J198" s="45">
        <v>76.2</v>
      </c>
    </row>
    <row r="199" spans="1:10" ht="15.75" customHeight="1">
      <c r="A199" s="36" t="s">
        <v>6</v>
      </c>
      <c r="B199" s="37">
        <v>46040</v>
      </c>
      <c r="C199" s="38" t="s">
        <v>50</v>
      </c>
      <c r="D199" s="39" t="s">
        <v>49</v>
      </c>
      <c r="E199" s="40" t="s">
        <v>33</v>
      </c>
      <c r="F199" s="41">
        <v>409</v>
      </c>
      <c r="G199" s="42">
        <v>50</v>
      </c>
      <c r="H199" s="43">
        <v>39</v>
      </c>
      <c r="I199" s="44">
        <v>420</v>
      </c>
      <c r="J199" s="45">
        <v>78</v>
      </c>
    </row>
    <row r="200" spans="1:10" ht="15.75" customHeight="1">
      <c r="A200" s="36" t="s">
        <v>6</v>
      </c>
      <c r="B200" s="37">
        <v>46040</v>
      </c>
      <c r="C200" s="38" t="s">
        <v>50</v>
      </c>
      <c r="D200" s="39" t="s">
        <v>49</v>
      </c>
      <c r="E200" s="40" t="s">
        <v>36</v>
      </c>
      <c r="F200" s="41">
        <v>1064</v>
      </c>
      <c r="G200" s="42">
        <v>76</v>
      </c>
      <c r="H200" s="43">
        <v>55</v>
      </c>
      <c r="I200" s="44">
        <v>1085</v>
      </c>
      <c r="J200" s="46">
        <v>72.400000000000006</v>
      </c>
    </row>
    <row r="201" spans="1:10" ht="15.75" customHeight="1">
      <c r="A201" s="14" t="s">
        <v>6</v>
      </c>
      <c r="B201" s="15">
        <v>46041</v>
      </c>
      <c r="C201" s="16" t="s">
        <v>51</v>
      </c>
      <c r="D201" s="17" t="s">
        <v>46</v>
      </c>
      <c r="E201" s="18" t="s">
        <v>26</v>
      </c>
      <c r="F201" s="19">
        <v>915</v>
      </c>
      <c r="G201" s="20">
        <v>90</v>
      </c>
      <c r="H201" s="21">
        <v>70</v>
      </c>
      <c r="I201" s="22">
        <v>935</v>
      </c>
      <c r="J201" s="35">
        <v>77.8</v>
      </c>
    </row>
    <row r="202" spans="1:10" ht="15.75" customHeight="1">
      <c r="A202" s="24" t="s">
        <v>6</v>
      </c>
      <c r="B202" s="25">
        <v>46041</v>
      </c>
      <c r="C202" s="26" t="s">
        <v>51</v>
      </c>
      <c r="D202" s="27" t="s">
        <v>46</v>
      </c>
      <c r="E202" s="28" t="s">
        <v>27</v>
      </c>
      <c r="F202" s="29">
        <v>679</v>
      </c>
      <c r="G202" s="30">
        <v>116</v>
      </c>
      <c r="H202" s="31">
        <v>86</v>
      </c>
      <c r="I202" s="32">
        <v>709</v>
      </c>
      <c r="J202" s="34">
        <v>74.099999999999994</v>
      </c>
    </row>
    <row r="203" spans="1:10" ht="15.75" customHeight="1">
      <c r="A203" s="14" t="s">
        <v>6</v>
      </c>
      <c r="B203" s="15">
        <v>46041</v>
      </c>
      <c r="C203" s="16" t="s">
        <v>51</v>
      </c>
      <c r="D203" s="17" t="s">
        <v>46</v>
      </c>
      <c r="E203" s="18" t="s">
        <v>30</v>
      </c>
      <c r="F203" s="19">
        <v>887</v>
      </c>
      <c r="G203" s="20">
        <v>131</v>
      </c>
      <c r="H203" s="21">
        <v>92</v>
      </c>
      <c r="I203" s="22">
        <v>926</v>
      </c>
      <c r="J203" s="23">
        <v>70.2</v>
      </c>
    </row>
    <row r="204" spans="1:10" ht="15.75" customHeight="1">
      <c r="A204" s="24" t="s">
        <v>6</v>
      </c>
      <c r="B204" s="25">
        <v>46041</v>
      </c>
      <c r="C204" s="26" t="s">
        <v>51</v>
      </c>
      <c r="D204" s="27" t="s">
        <v>46</v>
      </c>
      <c r="E204" s="28" t="s">
        <v>32</v>
      </c>
      <c r="F204" s="29">
        <v>632</v>
      </c>
      <c r="G204" s="30">
        <v>115</v>
      </c>
      <c r="H204" s="31">
        <v>89</v>
      </c>
      <c r="I204" s="32">
        <v>658</v>
      </c>
      <c r="J204" s="33">
        <v>77.400000000000006</v>
      </c>
    </row>
    <row r="205" spans="1:10" ht="15.75" customHeight="1">
      <c r="A205" s="14" t="s">
        <v>6</v>
      </c>
      <c r="B205" s="15">
        <v>46041</v>
      </c>
      <c r="C205" s="16" t="s">
        <v>51</v>
      </c>
      <c r="D205" s="17" t="s">
        <v>46</v>
      </c>
      <c r="E205" s="18" t="s">
        <v>34</v>
      </c>
      <c r="F205" s="19">
        <v>802</v>
      </c>
      <c r="G205" s="20">
        <v>176</v>
      </c>
      <c r="H205" s="21">
        <v>143</v>
      </c>
      <c r="I205" s="22">
        <v>835</v>
      </c>
      <c r="J205" s="35">
        <v>81.2</v>
      </c>
    </row>
    <row r="206" spans="1:10" ht="15.75" customHeight="1">
      <c r="A206" s="24" t="s">
        <v>6</v>
      </c>
      <c r="B206" s="25">
        <v>46041</v>
      </c>
      <c r="C206" s="26" t="s">
        <v>51</v>
      </c>
      <c r="D206" s="27" t="s">
        <v>46</v>
      </c>
      <c r="E206" s="28" t="s">
        <v>25</v>
      </c>
      <c r="F206" s="29">
        <v>645</v>
      </c>
      <c r="G206" s="30">
        <v>62</v>
      </c>
      <c r="H206" s="31">
        <v>48</v>
      </c>
      <c r="I206" s="32">
        <v>659</v>
      </c>
      <c r="J206" s="33">
        <v>77.400000000000006</v>
      </c>
    </row>
    <row r="207" spans="1:10" ht="15.75" customHeight="1">
      <c r="A207" s="14" t="s">
        <v>6</v>
      </c>
      <c r="B207" s="15">
        <v>46041</v>
      </c>
      <c r="C207" s="16" t="s">
        <v>51</v>
      </c>
      <c r="D207" s="17" t="s">
        <v>46</v>
      </c>
      <c r="E207" s="18" t="s">
        <v>35</v>
      </c>
      <c r="F207" s="19">
        <v>734</v>
      </c>
      <c r="G207" s="20">
        <v>84</v>
      </c>
      <c r="H207" s="21">
        <v>66</v>
      </c>
      <c r="I207" s="22">
        <v>752</v>
      </c>
      <c r="J207" s="35">
        <v>78.599999999999994</v>
      </c>
    </row>
    <row r="208" spans="1:10" ht="15.75" customHeight="1">
      <c r="A208" s="24" t="s">
        <v>6</v>
      </c>
      <c r="B208" s="25">
        <v>46041</v>
      </c>
      <c r="C208" s="26" t="s">
        <v>51</v>
      </c>
      <c r="D208" s="27" t="s">
        <v>46</v>
      </c>
      <c r="E208" s="28" t="s">
        <v>29</v>
      </c>
      <c r="F208" s="29">
        <v>682</v>
      </c>
      <c r="G208" s="30">
        <v>78</v>
      </c>
      <c r="H208" s="31">
        <v>62</v>
      </c>
      <c r="I208" s="32">
        <v>698</v>
      </c>
      <c r="J208" s="33">
        <v>79.5</v>
      </c>
    </row>
    <row r="209" spans="1:10" ht="15.75" customHeight="1">
      <c r="A209" s="14" t="s">
        <v>6</v>
      </c>
      <c r="B209" s="15">
        <v>46041</v>
      </c>
      <c r="C209" s="16" t="s">
        <v>51</v>
      </c>
      <c r="D209" s="17" t="s">
        <v>46</v>
      </c>
      <c r="E209" s="18" t="s">
        <v>31</v>
      </c>
      <c r="F209" s="19">
        <v>805</v>
      </c>
      <c r="G209" s="20">
        <v>139</v>
      </c>
      <c r="H209" s="21">
        <v>112</v>
      </c>
      <c r="I209" s="22">
        <v>832</v>
      </c>
      <c r="J209" s="35">
        <v>80.599999999999994</v>
      </c>
    </row>
    <row r="210" spans="1:10" ht="15.75" customHeight="1">
      <c r="A210" s="24" t="s">
        <v>6</v>
      </c>
      <c r="B210" s="25">
        <v>46041</v>
      </c>
      <c r="C210" s="26" t="s">
        <v>51</v>
      </c>
      <c r="D210" s="27" t="s">
        <v>46</v>
      </c>
      <c r="E210" s="28" t="s">
        <v>33</v>
      </c>
      <c r="F210" s="29">
        <v>420</v>
      </c>
      <c r="G210" s="30">
        <v>85</v>
      </c>
      <c r="H210" s="31">
        <v>75</v>
      </c>
      <c r="I210" s="32">
        <v>430</v>
      </c>
      <c r="J210" s="33">
        <v>88.2</v>
      </c>
    </row>
    <row r="211" spans="1:10" ht="15.75" customHeight="1">
      <c r="A211" s="14" t="s">
        <v>6</v>
      </c>
      <c r="B211" s="15">
        <v>46041</v>
      </c>
      <c r="C211" s="16" t="s">
        <v>51</v>
      </c>
      <c r="D211" s="17" t="s">
        <v>46</v>
      </c>
      <c r="E211" s="18" t="s">
        <v>36</v>
      </c>
      <c r="F211" s="19">
        <v>1085</v>
      </c>
      <c r="G211" s="20">
        <v>165</v>
      </c>
      <c r="H211" s="21">
        <v>110</v>
      </c>
      <c r="I211" s="22">
        <v>1140</v>
      </c>
      <c r="J211" s="23">
        <v>66.7</v>
      </c>
    </row>
    <row r="212" spans="1:10" ht="15.75" customHeight="1">
      <c r="A212" s="24" t="s">
        <v>6</v>
      </c>
      <c r="B212" s="25">
        <v>46042</v>
      </c>
      <c r="C212" s="26" t="s">
        <v>52</v>
      </c>
      <c r="D212" s="27" t="s">
        <v>46</v>
      </c>
      <c r="E212" s="28" t="s">
        <v>26</v>
      </c>
      <c r="F212" s="29">
        <v>935</v>
      </c>
      <c r="G212" s="30">
        <v>126</v>
      </c>
      <c r="H212" s="31">
        <v>86</v>
      </c>
      <c r="I212" s="32">
        <v>975</v>
      </c>
      <c r="J212" s="34">
        <v>68.3</v>
      </c>
    </row>
    <row r="213" spans="1:10" ht="15.75" customHeight="1">
      <c r="A213" s="14" t="s">
        <v>6</v>
      </c>
      <c r="B213" s="15">
        <v>46042</v>
      </c>
      <c r="C213" s="16" t="s">
        <v>52</v>
      </c>
      <c r="D213" s="17" t="s">
        <v>46</v>
      </c>
      <c r="E213" s="18" t="s">
        <v>27</v>
      </c>
      <c r="F213" s="19">
        <v>709</v>
      </c>
      <c r="G213" s="20">
        <v>76</v>
      </c>
      <c r="H213" s="21">
        <v>57</v>
      </c>
      <c r="I213" s="22">
        <v>728</v>
      </c>
      <c r="J213" s="35">
        <v>75</v>
      </c>
    </row>
    <row r="214" spans="1:10" ht="15.75" customHeight="1">
      <c r="A214" s="24" t="s">
        <v>6</v>
      </c>
      <c r="B214" s="25">
        <v>46042</v>
      </c>
      <c r="C214" s="26" t="s">
        <v>52</v>
      </c>
      <c r="D214" s="27" t="s">
        <v>46</v>
      </c>
      <c r="E214" s="28" t="s">
        <v>30</v>
      </c>
      <c r="F214" s="29">
        <v>926</v>
      </c>
      <c r="G214" s="30">
        <v>102</v>
      </c>
      <c r="H214" s="31">
        <v>69</v>
      </c>
      <c r="I214" s="32">
        <v>959</v>
      </c>
      <c r="J214" s="34">
        <v>67.599999999999994</v>
      </c>
    </row>
    <row r="215" spans="1:10" ht="15.75" customHeight="1">
      <c r="A215" s="14" t="s">
        <v>6</v>
      </c>
      <c r="B215" s="15">
        <v>46042</v>
      </c>
      <c r="C215" s="16" t="s">
        <v>52</v>
      </c>
      <c r="D215" s="17" t="s">
        <v>46</v>
      </c>
      <c r="E215" s="18" t="s">
        <v>32</v>
      </c>
      <c r="F215" s="19">
        <v>658</v>
      </c>
      <c r="G215" s="20">
        <v>67</v>
      </c>
      <c r="H215" s="21">
        <v>51</v>
      </c>
      <c r="I215" s="22">
        <v>674</v>
      </c>
      <c r="J215" s="35">
        <v>76.099999999999994</v>
      </c>
    </row>
    <row r="216" spans="1:10" ht="15.75" customHeight="1">
      <c r="A216" s="24" t="s">
        <v>6</v>
      </c>
      <c r="B216" s="25">
        <v>46042</v>
      </c>
      <c r="C216" s="26" t="s">
        <v>52</v>
      </c>
      <c r="D216" s="27" t="s">
        <v>46</v>
      </c>
      <c r="E216" s="28" t="s">
        <v>34</v>
      </c>
      <c r="F216" s="29">
        <v>835</v>
      </c>
      <c r="G216" s="30">
        <v>146</v>
      </c>
      <c r="H216" s="31">
        <v>91</v>
      </c>
      <c r="I216" s="32">
        <v>890</v>
      </c>
      <c r="J216" s="34">
        <v>62.3</v>
      </c>
    </row>
    <row r="217" spans="1:10" ht="15.75" customHeight="1">
      <c r="A217" s="14" t="s">
        <v>6</v>
      </c>
      <c r="B217" s="15">
        <v>46042</v>
      </c>
      <c r="C217" s="16" t="s">
        <v>52</v>
      </c>
      <c r="D217" s="17" t="s">
        <v>46</v>
      </c>
      <c r="E217" s="18" t="s">
        <v>25</v>
      </c>
      <c r="F217" s="19">
        <v>659</v>
      </c>
      <c r="G217" s="20">
        <v>108</v>
      </c>
      <c r="H217" s="21">
        <v>81</v>
      </c>
      <c r="I217" s="22">
        <v>686</v>
      </c>
      <c r="J217" s="35">
        <v>75</v>
      </c>
    </row>
    <row r="218" spans="1:10" ht="15.75" customHeight="1">
      <c r="A218" s="24" t="s">
        <v>6</v>
      </c>
      <c r="B218" s="25">
        <v>46042</v>
      </c>
      <c r="C218" s="26" t="s">
        <v>52</v>
      </c>
      <c r="D218" s="27" t="s">
        <v>46</v>
      </c>
      <c r="E218" s="28" t="s">
        <v>35</v>
      </c>
      <c r="F218" s="29">
        <v>752</v>
      </c>
      <c r="G218" s="30">
        <v>121</v>
      </c>
      <c r="H218" s="31">
        <v>91</v>
      </c>
      <c r="I218" s="32">
        <v>782</v>
      </c>
      <c r="J218" s="33">
        <v>75.2</v>
      </c>
    </row>
    <row r="219" spans="1:10" ht="15.75" customHeight="1">
      <c r="A219" s="14" t="s">
        <v>6</v>
      </c>
      <c r="B219" s="15">
        <v>46042</v>
      </c>
      <c r="C219" s="16" t="s">
        <v>52</v>
      </c>
      <c r="D219" s="17" t="s">
        <v>46</v>
      </c>
      <c r="E219" s="18" t="s">
        <v>29</v>
      </c>
      <c r="F219" s="19">
        <v>698</v>
      </c>
      <c r="G219" s="20">
        <v>81</v>
      </c>
      <c r="H219" s="21">
        <v>66</v>
      </c>
      <c r="I219" s="22">
        <v>713</v>
      </c>
      <c r="J219" s="35">
        <v>81.5</v>
      </c>
    </row>
    <row r="220" spans="1:10" ht="15.75" customHeight="1">
      <c r="A220" s="24" t="s">
        <v>6</v>
      </c>
      <c r="B220" s="25">
        <v>46042</v>
      </c>
      <c r="C220" s="26" t="s">
        <v>52</v>
      </c>
      <c r="D220" s="27" t="s">
        <v>46</v>
      </c>
      <c r="E220" s="28" t="s">
        <v>31</v>
      </c>
      <c r="F220" s="29">
        <v>832</v>
      </c>
      <c r="G220" s="30">
        <v>96</v>
      </c>
      <c r="H220" s="31">
        <v>80</v>
      </c>
      <c r="I220" s="32">
        <v>848</v>
      </c>
      <c r="J220" s="33">
        <v>83.3</v>
      </c>
    </row>
    <row r="221" spans="1:10" ht="15.75" customHeight="1">
      <c r="A221" s="14" t="s">
        <v>6</v>
      </c>
      <c r="B221" s="15">
        <v>46042</v>
      </c>
      <c r="C221" s="16" t="s">
        <v>52</v>
      </c>
      <c r="D221" s="17" t="s">
        <v>46</v>
      </c>
      <c r="E221" s="18" t="s">
        <v>33</v>
      </c>
      <c r="F221" s="19">
        <v>430</v>
      </c>
      <c r="G221" s="20">
        <v>71</v>
      </c>
      <c r="H221" s="21">
        <v>63</v>
      </c>
      <c r="I221" s="22">
        <v>438</v>
      </c>
      <c r="J221" s="35">
        <v>88.7</v>
      </c>
    </row>
    <row r="222" spans="1:10" ht="15.75" customHeight="1">
      <c r="A222" s="24" t="s">
        <v>6</v>
      </c>
      <c r="B222" s="25">
        <v>46042</v>
      </c>
      <c r="C222" s="26" t="s">
        <v>52</v>
      </c>
      <c r="D222" s="27" t="s">
        <v>46</v>
      </c>
      <c r="E222" s="28" t="s">
        <v>36</v>
      </c>
      <c r="F222" s="29">
        <v>1140</v>
      </c>
      <c r="G222" s="30">
        <v>165</v>
      </c>
      <c r="H222" s="31">
        <v>107</v>
      </c>
      <c r="I222" s="32">
        <v>1198</v>
      </c>
      <c r="J222" s="34">
        <v>64.8</v>
      </c>
    </row>
    <row r="223" spans="1:10" ht="15.75" customHeight="1">
      <c r="A223" s="14" t="s">
        <v>6</v>
      </c>
      <c r="B223" s="15">
        <v>46043</v>
      </c>
      <c r="C223" s="16" t="s">
        <v>53</v>
      </c>
      <c r="D223" s="17" t="s">
        <v>46</v>
      </c>
      <c r="E223" s="18" t="s">
        <v>26</v>
      </c>
      <c r="F223" s="19">
        <v>975</v>
      </c>
      <c r="G223" s="20">
        <v>110</v>
      </c>
      <c r="H223" s="21">
        <v>71</v>
      </c>
      <c r="I223" s="22">
        <v>1014</v>
      </c>
      <c r="J223" s="23">
        <v>64.5</v>
      </c>
    </row>
    <row r="224" spans="1:10" ht="15.75" customHeight="1">
      <c r="A224" s="24" t="s">
        <v>6</v>
      </c>
      <c r="B224" s="25">
        <v>46043</v>
      </c>
      <c r="C224" s="26" t="s">
        <v>53</v>
      </c>
      <c r="D224" s="27" t="s">
        <v>46</v>
      </c>
      <c r="E224" s="28" t="s">
        <v>27</v>
      </c>
      <c r="F224" s="29">
        <v>728</v>
      </c>
      <c r="G224" s="30">
        <v>75</v>
      </c>
      <c r="H224" s="31">
        <v>55</v>
      </c>
      <c r="I224" s="32">
        <v>748</v>
      </c>
      <c r="J224" s="34">
        <v>73.3</v>
      </c>
    </row>
    <row r="225" spans="1:10" ht="15.75" customHeight="1">
      <c r="A225" s="14" t="s">
        <v>6</v>
      </c>
      <c r="B225" s="15">
        <v>46043</v>
      </c>
      <c r="C225" s="16" t="s">
        <v>53</v>
      </c>
      <c r="D225" s="17" t="s">
        <v>46</v>
      </c>
      <c r="E225" s="18" t="s">
        <v>30</v>
      </c>
      <c r="F225" s="19">
        <v>959</v>
      </c>
      <c r="G225" s="20">
        <v>102</v>
      </c>
      <c r="H225" s="21">
        <v>75</v>
      </c>
      <c r="I225" s="22">
        <v>986</v>
      </c>
      <c r="J225" s="23">
        <v>73.5</v>
      </c>
    </row>
    <row r="226" spans="1:10" ht="15.75" customHeight="1">
      <c r="A226" s="24" t="s">
        <v>6</v>
      </c>
      <c r="B226" s="25">
        <v>46043</v>
      </c>
      <c r="C226" s="26" t="s">
        <v>53</v>
      </c>
      <c r="D226" s="27" t="s">
        <v>46</v>
      </c>
      <c r="E226" s="28" t="s">
        <v>32</v>
      </c>
      <c r="F226" s="29">
        <v>674</v>
      </c>
      <c r="G226" s="30">
        <v>113</v>
      </c>
      <c r="H226" s="31">
        <v>96</v>
      </c>
      <c r="I226" s="32">
        <v>691</v>
      </c>
      <c r="J226" s="33">
        <v>85</v>
      </c>
    </row>
    <row r="227" spans="1:10" ht="15.75" customHeight="1">
      <c r="A227" s="14" t="s">
        <v>6</v>
      </c>
      <c r="B227" s="15">
        <v>46043</v>
      </c>
      <c r="C227" s="16" t="s">
        <v>53</v>
      </c>
      <c r="D227" s="17" t="s">
        <v>46</v>
      </c>
      <c r="E227" s="18" t="s">
        <v>34</v>
      </c>
      <c r="F227" s="19">
        <v>890</v>
      </c>
      <c r="G227" s="20">
        <v>145</v>
      </c>
      <c r="H227" s="21">
        <v>110</v>
      </c>
      <c r="I227" s="22">
        <v>925</v>
      </c>
      <c r="J227" s="35">
        <v>75.900000000000006</v>
      </c>
    </row>
    <row r="228" spans="1:10" ht="15.75" customHeight="1">
      <c r="A228" s="24" t="s">
        <v>6</v>
      </c>
      <c r="B228" s="25">
        <v>46043</v>
      </c>
      <c r="C228" s="26" t="s">
        <v>53</v>
      </c>
      <c r="D228" s="27" t="s">
        <v>46</v>
      </c>
      <c r="E228" s="28" t="s">
        <v>25</v>
      </c>
      <c r="F228" s="29">
        <v>686</v>
      </c>
      <c r="G228" s="30">
        <v>61</v>
      </c>
      <c r="H228" s="31">
        <v>43</v>
      </c>
      <c r="I228" s="32">
        <v>704</v>
      </c>
      <c r="J228" s="34">
        <v>70.5</v>
      </c>
    </row>
    <row r="229" spans="1:10" ht="15.75" customHeight="1">
      <c r="A229" s="14" t="s">
        <v>6</v>
      </c>
      <c r="B229" s="15">
        <v>46043</v>
      </c>
      <c r="C229" s="16" t="s">
        <v>53</v>
      </c>
      <c r="D229" s="17" t="s">
        <v>46</v>
      </c>
      <c r="E229" s="18" t="s">
        <v>35</v>
      </c>
      <c r="F229" s="19">
        <v>782</v>
      </c>
      <c r="G229" s="20">
        <v>124</v>
      </c>
      <c r="H229" s="21">
        <v>89</v>
      </c>
      <c r="I229" s="22">
        <v>817</v>
      </c>
      <c r="J229" s="23">
        <v>71.8</v>
      </c>
    </row>
    <row r="230" spans="1:10" ht="15.75" customHeight="1">
      <c r="A230" s="24" t="s">
        <v>6</v>
      </c>
      <c r="B230" s="25">
        <v>46043</v>
      </c>
      <c r="C230" s="26" t="s">
        <v>53</v>
      </c>
      <c r="D230" s="27" t="s">
        <v>46</v>
      </c>
      <c r="E230" s="28" t="s">
        <v>29</v>
      </c>
      <c r="F230" s="29">
        <v>713</v>
      </c>
      <c r="G230" s="30">
        <v>91</v>
      </c>
      <c r="H230" s="31">
        <v>66</v>
      </c>
      <c r="I230" s="32">
        <v>738</v>
      </c>
      <c r="J230" s="34">
        <v>72.5</v>
      </c>
    </row>
    <row r="231" spans="1:10" ht="15.75" customHeight="1">
      <c r="A231" s="14" t="s">
        <v>6</v>
      </c>
      <c r="B231" s="15">
        <v>46043</v>
      </c>
      <c r="C231" s="16" t="s">
        <v>53</v>
      </c>
      <c r="D231" s="17" t="s">
        <v>46</v>
      </c>
      <c r="E231" s="18" t="s">
        <v>31</v>
      </c>
      <c r="F231" s="19">
        <v>848</v>
      </c>
      <c r="G231" s="20">
        <v>115</v>
      </c>
      <c r="H231" s="21">
        <v>73</v>
      </c>
      <c r="I231" s="22">
        <v>890</v>
      </c>
      <c r="J231" s="23">
        <v>63.5</v>
      </c>
    </row>
    <row r="232" spans="1:10" ht="15.75" customHeight="1">
      <c r="A232" s="24" t="s">
        <v>6</v>
      </c>
      <c r="B232" s="25">
        <v>46043</v>
      </c>
      <c r="C232" s="26" t="s">
        <v>53</v>
      </c>
      <c r="D232" s="27" t="s">
        <v>46</v>
      </c>
      <c r="E232" s="28" t="s">
        <v>33</v>
      </c>
      <c r="F232" s="29">
        <v>438</v>
      </c>
      <c r="G232" s="30">
        <v>81</v>
      </c>
      <c r="H232" s="31">
        <v>67</v>
      </c>
      <c r="I232" s="32">
        <v>452</v>
      </c>
      <c r="J232" s="33">
        <v>82.7</v>
      </c>
    </row>
    <row r="233" spans="1:10" ht="15.75" customHeight="1">
      <c r="A233" s="14" t="s">
        <v>6</v>
      </c>
      <c r="B233" s="15">
        <v>46043</v>
      </c>
      <c r="C233" s="16" t="s">
        <v>53</v>
      </c>
      <c r="D233" s="17" t="s">
        <v>46</v>
      </c>
      <c r="E233" s="18" t="s">
        <v>36</v>
      </c>
      <c r="F233" s="19">
        <v>1198</v>
      </c>
      <c r="G233" s="20">
        <v>105</v>
      </c>
      <c r="H233" s="21">
        <v>69</v>
      </c>
      <c r="I233" s="22">
        <v>1234</v>
      </c>
      <c r="J233" s="23">
        <v>65.7</v>
      </c>
    </row>
    <row r="234" spans="1:10" ht="15.75" customHeight="1">
      <c r="A234" s="24" t="s">
        <v>6</v>
      </c>
      <c r="B234" s="25">
        <v>46044</v>
      </c>
      <c r="C234" s="26" t="s">
        <v>45</v>
      </c>
      <c r="D234" s="27" t="s">
        <v>46</v>
      </c>
      <c r="E234" s="28" t="s">
        <v>26</v>
      </c>
      <c r="F234" s="29">
        <v>1014</v>
      </c>
      <c r="G234" s="30">
        <v>95</v>
      </c>
      <c r="H234" s="31">
        <v>79</v>
      </c>
      <c r="I234" s="32">
        <v>1030</v>
      </c>
      <c r="J234" s="33">
        <v>83.2</v>
      </c>
    </row>
    <row r="235" spans="1:10" ht="15.75" customHeight="1">
      <c r="A235" s="14" t="s">
        <v>6</v>
      </c>
      <c r="B235" s="15">
        <v>46044</v>
      </c>
      <c r="C235" s="16" t="s">
        <v>45</v>
      </c>
      <c r="D235" s="17" t="s">
        <v>46</v>
      </c>
      <c r="E235" s="18" t="s">
        <v>27</v>
      </c>
      <c r="F235" s="19">
        <v>748</v>
      </c>
      <c r="G235" s="20">
        <v>95</v>
      </c>
      <c r="H235" s="21">
        <v>74</v>
      </c>
      <c r="I235" s="22">
        <v>769</v>
      </c>
      <c r="J235" s="35">
        <v>77.900000000000006</v>
      </c>
    </row>
    <row r="236" spans="1:10" ht="15.75" customHeight="1">
      <c r="A236" s="24" t="s">
        <v>6</v>
      </c>
      <c r="B236" s="25">
        <v>46044</v>
      </c>
      <c r="C236" s="26" t="s">
        <v>45</v>
      </c>
      <c r="D236" s="27" t="s">
        <v>46</v>
      </c>
      <c r="E236" s="28" t="s">
        <v>30</v>
      </c>
      <c r="F236" s="29">
        <v>986</v>
      </c>
      <c r="G236" s="30">
        <v>96</v>
      </c>
      <c r="H236" s="31">
        <v>74</v>
      </c>
      <c r="I236" s="32">
        <v>1008</v>
      </c>
      <c r="J236" s="33">
        <v>77.099999999999994</v>
      </c>
    </row>
    <row r="237" spans="1:10" ht="15.75" customHeight="1">
      <c r="A237" s="14" t="s">
        <v>6</v>
      </c>
      <c r="B237" s="15">
        <v>46044</v>
      </c>
      <c r="C237" s="16" t="s">
        <v>45</v>
      </c>
      <c r="D237" s="17" t="s">
        <v>46</v>
      </c>
      <c r="E237" s="18" t="s">
        <v>32</v>
      </c>
      <c r="F237" s="19">
        <v>691</v>
      </c>
      <c r="G237" s="20">
        <v>105</v>
      </c>
      <c r="H237" s="21">
        <v>84</v>
      </c>
      <c r="I237" s="22">
        <v>712</v>
      </c>
      <c r="J237" s="35">
        <v>80</v>
      </c>
    </row>
    <row r="238" spans="1:10" ht="15.75" customHeight="1">
      <c r="A238" s="24" t="s">
        <v>6</v>
      </c>
      <c r="B238" s="25">
        <v>46044</v>
      </c>
      <c r="C238" s="26" t="s">
        <v>45</v>
      </c>
      <c r="D238" s="27" t="s">
        <v>46</v>
      </c>
      <c r="E238" s="28" t="s">
        <v>34</v>
      </c>
      <c r="F238" s="29">
        <v>925</v>
      </c>
      <c r="G238" s="30">
        <v>139</v>
      </c>
      <c r="H238" s="31">
        <v>95</v>
      </c>
      <c r="I238" s="32">
        <v>969</v>
      </c>
      <c r="J238" s="34">
        <v>68.3</v>
      </c>
    </row>
    <row r="239" spans="1:10" ht="15.75" customHeight="1">
      <c r="A239" s="14" t="s">
        <v>6</v>
      </c>
      <c r="B239" s="15">
        <v>46044</v>
      </c>
      <c r="C239" s="16" t="s">
        <v>45</v>
      </c>
      <c r="D239" s="17" t="s">
        <v>46</v>
      </c>
      <c r="E239" s="18" t="s">
        <v>25</v>
      </c>
      <c r="F239" s="19">
        <v>704</v>
      </c>
      <c r="G239" s="20">
        <v>88</v>
      </c>
      <c r="H239" s="21">
        <v>76</v>
      </c>
      <c r="I239" s="22">
        <v>716</v>
      </c>
      <c r="J239" s="35">
        <v>86.4</v>
      </c>
    </row>
    <row r="240" spans="1:10" ht="15.75" customHeight="1">
      <c r="A240" s="24" t="s">
        <v>6</v>
      </c>
      <c r="B240" s="25">
        <v>46044</v>
      </c>
      <c r="C240" s="26" t="s">
        <v>45</v>
      </c>
      <c r="D240" s="27" t="s">
        <v>46</v>
      </c>
      <c r="E240" s="28" t="s">
        <v>35</v>
      </c>
      <c r="F240" s="29">
        <v>817</v>
      </c>
      <c r="G240" s="30">
        <v>118</v>
      </c>
      <c r="H240" s="31">
        <v>84</v>
      </c>
      <c r="I240" s="32">
        <v>851</v>
      </c>
      <c r="J240" s="34">
        <v>71.2</v>
      </c>
    </row>
    <row r="241" spans="1:10" ht="15.75" customHeight="1">
      <c r="A241" s="14" t="s">
        <v>6</v>
      </c>
      <c r="B241" s="15">
        <v>46044</v>
      </c>
      <c r="C241" s="16" t="s">
        <v>45</v>
      </c>
      <c r="D241" s="17" t="s">
        <v>46</v>
      </c>
      <c r="E241" s="18" t="s">
        <v>29</v>
      </c>
      <c r="F241" s="19">
        <v>738</v>
      </c>
      <c r="G241" s="20">
        <v>107</v>
      </c>
      <c r="H241" s="21">
        <v>74</v>
      </c>
      <c r="I241" s="22">
        <v>771</v>
      </c>
      <c r="J241" s="23">
        <v>69.2</v>
      </c>
    </row>
    <row r="242" spans="1:10" ht="15.75" customHeight="1">
      <c r="A242" s="24" t="s">
        <v>6</v>
      </c>
      <c r="B242" s="25">
        <v>46044</v>
      </c>
      <c r="C242" s="26" t="s">
        <v>45</v>
      </c>
      <c r="D242" s="27" t="s">
        <v>46</v>
      </c>
      <c r="E242" s="28" t="s">
        <v>31</v>
      </c>
      <c r="F242" s="29">
        <v>890</v>
      </c>
      <c r="G242" s="30">
        <v>124</v>
      </c>
      <c r="H242" s="31">
        <v>88</v>
      </c>
      <c r="I242" s="32">
        <v>926</v>
      </c>
      <c r="J242" s="34">
        <v>71</v>
      </c>
    </row>
    <row r="243" spans="1:10" ht="15.75" customHeight="1">
      <c r="A243" s="14" t="s">
        <v>6</v>
      </c>
      <c r="B243" s="15">
        <v>46044</v>
      </c>
      <c r="C243" s="16" t="s">
        <v>45</v>
      </c>
      <c r="D243" s="17" t="s">
        <v>46</v>
      </c>
      <c r="E243" s="18" t="s">
        <v>33</v>
      </c>
      <c r="F243" s="19">
        <v>452</v>
      </c>
      <c r="G243" s="20">
        <v>67</v>
      </c>
      <c r="H243" s="21">
        <v>58</v>
      </c>
      <c r="I243" s="22">
        <v>461</v>
      </c>
      <c r="J243" s="35">
        <v>86.6</v>
      </c>
    </row>
    <row r="244" spans="1:10" ht="15.75" customHeight="1">
      <c r="A244" s="24" t="s">
        <v>6</v>
      </c>
      <c r="B244" s="25">
        <v>46044</v>
      </c>
      <c r="C244" s="26" t="s">
        <v>45</v>
      </c>
      <c r="D244" s="27" t="s">
        <v>46</v>
      </c>
      <c r="E244" s="28" t="s">
        <v>36</v>
      </c>
      <c r="F244" s="29">
        <v>1234</v>
      </c>
      <c r="G244" s="30">
        <v>122</v>
      </c>
      <c r="H244" s="31">
        <v>89</v>
      </c>
      <c r="I244" s="32">
        <v>1267</v>
      </c>
      <c r="J244" s="34">
        <v>73</v>
      </c>
    </row>
    <row r="245" spans="1:10" ht="15.75" customHeight="1">
      <c r="A245" s="14" t="s">
        <v>6</v>
      </c>
      <c r="B245" s="15">
        <v>46045</v>
      </c>
      <c r="C245" s="16" t="s">
        <v>47</v>
      </c>
      <c r="D245" s="17" t="s">
        <v>46</v>
      </c>
      <c r="E245" s="18" t="s">
        <v>26</v>
      </c>
      <c r="F245" s="19">
        <v>1030</v>
      </c>
      <c r="G245" s="20">
        <v>108</v>
      </c>
      <c r="H245" s="21">
        <v>72</v>
      </c>
      <c r="I245" s="22">
        <v>1066</v>
      </c>
      <c r="J245" s="23">
        <v>66.7</v>
      </c>
    </row>
    <row r="246" spans="1:10" ht="15.75" customHeight="1">
      <c r="A246" s="24" t="s">
        <v>6</v>
      </c>
      <c r="B246" s="25">
        <v>46045</v>
      </c>
      <c r="C246" s="26" t="s">
        <v>47</v>
      </c>
      <c r="D246" s="27" t="s">
        <v>46</v>
      </c>
      <c r="E246" s="28" t="s">
        <v>27</v>
      </c>
      <c r="F246" s="29">
        <v>769</v>
      </c>
      <c r="G246" s="30">
        <v>98</v>
      </c>
      <c r="H246" s="31">
        <v>86</v>
      </c>
      <c r="I246" s="32">
        <v>781</v>
      </c>
      <c r="J246" s="33">
        <v>87.8</v>
      </c>
    </row>
    <row r="247" spans="1:10" ht="15.75" customHeight="1">
      <c r="A247" s="14" t="s">
        <v>6</v>
      </c>
      <c r="B247" s="15">
        <v>46045</v>
      </c>
      <c r="C247" s="16" t="s">
        <v>47</v>
      </c>
      <c r="D247" s="17" t="s">
        <v>46</v>
      </c>
      <c r="E247" s="18" t="s">
        <v>30</v>
      </c>
      <c r="F247" s="19">
        <v>1008</v>
      </c>
      <c r="G247" s="20">
        <v>114</v>
      </c>
      <c r="H247" s="21">
        <v>80</v>
      </c>
      <c r="I247" s="22">
        <v>1042</v>
      </c>
      <c r="J247" s="23">
        <v>70.2</v>
      </c>
    </row>
    <row r="248" spans="1:10" ht="15.75" customHeight="1">
      <c r="A248" s="24" t="s">
        <v>6</v>
      </c>
      <c r="B248" s="25">
        <v>46045</v>
      </c>
      <c r="C248" s="26" t="s">
        <v>47</v>
      </c>
      <c r="D248" s="27" t="s">
        <v>46</v>
      </c>
      <c r="E248" s="28" t="s">
        <v>32</v>
      </c>
      <c r="F248" s="29">
        <v>712</v>
      </c>
      <c r="G248" s="30">
        <v>96</v>
      </c>
      <c r="H248" s="31">
        <v>85</v>
      </c>
      <c r="I248" s="32">
        <v>723</v>
      </c>
      <c r="J248" s="33">
        <v>88.5</v>
      </c>
    </row>
    <row r="249" spans="1:10" ht="15.75" customHeight="1">
      <c r="A249" s="14" t="s">
        <v>6</v>
      </c>
      <c r="B249" s="15">
        <v>46045</v>
      </c>
      <c r="C249" s="16" t="s">
        <v>47</v>
      </c>
      <c r="D249" s="17" t="s">
        <v>46</v>
      </c>
      <c r="E249" s="18" t="s">
        <v>34</v>
      </c>
      <c r="F249" s="19">
        <v>969</v>
      </c>
      <c r="G249" s="20">
        <v>168</v>
      </c>
      <c r="H249" s="21">
        <v>127</v>
      </c>
      <c r="I249" s="22">
        <v>1010</v>
      </c>
      <c r="J249" s="35">
        <v>75.599999999999994</v>
      </c>
    </row>
    <row r="250" spans="1:10" ht="15.75" customHeight="1">
      <c r="A250" s="24" t="s">
        <v>6</v>
      </c>
      <c r="B250" s="25">
        <v>46045</v>
      </c>
      <c r="C250" s="26" t="s">
        <v>47</v>
      </c>
      <c r="D250" s="27" t="s">
        <v>46</v>
      </c>
      <c r="E250" s="28" t="s">
        <v>25</v>
      </c>
      <c r="F250" s="29">
        <v>716</v>
      </c>
      <c r="G250" s="30">
        <v>54</v>
      </c>
      <c r="H250" s="31">
        <v>39</v>
      </c>
      <c r="I250" s="32">
        <v>731</v>
      </c>
      <c r="J250" s="34">
        <v>72.2</v>
      </c>
    </row>
    <row r="251" spans="1:10" ht="15.75" customHeight="1">
      <c r="A251" s="14" t="s">
        <v>6</v>
      </c>
      <c r="B251" s="15">
        <v>46045</v>
      </c>
      <c r="C251" s="16" t="s">
        <v>47</v>
      </c>
      <c r="D251" s="17" t="s">
        <v>46</v>
      </c>
      <c r="E251" s="18" t="s">
        <v>35</v>
      </c>
      <c r="F251" s="19">
        <v>851</v>
      </c>
      <c r="G251" s="20">
        <v>86</v>
      </c>
      <c r="H251" s="21">
        <v>75</v>
      </c>
      <c r="I251" s="22">
        <v>862</v>
      </c>
      <c r="J251" s="35">
        <v>87.2</v>
      </c>
    </row>
    <row r="252" spans="1:10" ht="15.75" customHeight="1">
      <c r="A252" s="24" t="s">
        <v>6</v>
      </c>
      <c r="B252" s="25">
        <v>46045</v>
      </c>
      <c r="C252" s="26" t="s">
        <v>47</v>
      </c>
      <c r="D252" s="27" t="s">
        <v>46</v>
      </c>
      <c r="E252" s="28" t="s">
        <v>29</v>
      </c>
      <c r="F252" s="29">
        <v>771</v>
      </c>
      <c r="G252" s="30">
        <v>67</v>
      </c>
      <c r="H252" s="31">
        <v>52</v>
      </c>
      <c r="I252" s="32">
        <v>786</v>
      </c>
      <c r="J252" s="33">
        <v>77.599999999999994</v>
      </c>
    </row>
    <row r="253" spans="1:10" ht="15.75" customHeight="1">
      <c r="A253" s="14" t="s">
        <v>6</v>
      </c>
      <c r="B253" s="15">
        <v>46045</v>
      </c>
      <c r="C253" s="16" t="s">
        <v>47</v>
      </c>
      <c r="D253" s="17" t="s">
        <v>46</v>
      </c>
      <c r="E253" s="18" t="s">
        <v>31</v>
      </c>
      <c r="F253" s="19">
        <v>926</v>
      </c>
      <c r="G253" s="20">
        <v>124</v>
      </c>
      <c r="H253" s="21">
        <v>101</v>
      </c>
      <c r="I253" s="22">
        <v>949</v>
      </c>
      <c r="J253" s="35">
        <v>81.5</v>
      </c>
    </row>
    <row r="254" spans="1:10" ht="15.75" customHeight="1">
      <c r="A254" s="24" t="s">
        <v>6</v>
      </c>
      <c r="B254" s="25">
        <v>46045</v>
      </c>
      <c r="C254" s="26" t="s">
        <v>47</v>
      </c>
      <c r="D254" s="27" t="s">
        <v>46</v>
      </c>
      <c r="E254" s="28" t="s">
        <v>33</v>
      </c>
      <c r="F254" s="29">
        <v>461</v>
      </c>
      <c r="G254" s="30">
        <v>56</v>
      </c>
      <c r="H254" s="31">
        <v>46</v>
      </c>
      <c r="I254" s="32">
        <v>471</v>
      </c>
      <c r="J254" s="33">
        <v>82.1</v>
      </c>
    </row>
    <row r="255" spans="1:10" ht="15.75" customHeight="1">
      <c r="A255" s="14" t="s">
        <v>6</v>
      </c>
      <c r="B255" s="15">
        <v>46045</v>
      </c>
      <c r="C255" s="16" t="s">
        <v>47</v>
      </c>
      <c r="D255" s="17" t="s">
        <v>46</v>
      </c>
      <c r="E255" s="18" t="s">
        <v>36</v>
      </c>
      <c r="F255" s="19">
        <v>1267</v>
      </c>
      <c r="G255" s="20">
        <v>99</v>
      </c>
      <c r="H255" s="21">
        <v>64</v>
      </c>
      <c r="I255" s="22">
        <v>1302</v>
      </c>
      <c r="J255" s="23">
        <v>64.599999999999994</v>
      </c>
    </row>
    <row r="256" spans="1:10" ht="15.75" customHeight="1">
      <c r="A256" s="36" t="s">
        <v>6</v>
      </c>
      <c r="B256" s="37">
        <v>46046</v>
      </c>
      <c r="C256" s="38" t="s">
        <v>48</v>
      </c>
      <c r="D256" s="39" t="s">
        <v>49</v>
      </c>
      <c r="E256" s="40" t="s">
        <v>26</v>
      </c>
      <c r="F256" s="41">
        <v>1066</v>
      </c>
      <c r="G256" s="42">
        <v>74</v>
      </c>
      <c r="H256" s="43">
        <v>50</v>
      </c>
      <c r="I256" s="44">
        <v>1090</v>
      </c>
      <c r="J256" s="46">
        <v>67.599999999999994</v>
      </c>
    </row>
    <row r="257" spans="1:10" ht="15.75" customHeight="1">
      <c r="A257" s="36" t="s">
        <v>6</v>
      </c>
      <c r="B257" s="37">
        <v>46046</v>
      </c>
      <c r="C257" s="38" t="s">
        <v>48</v>
      </c>
      <c r="D257" s="39" t="s">
        <v>49</v>
      </c>
      <c r="E257" s="40" t="s">
        <v>27</v>
      </c>
      <c r="F257" s="41">
        <v>781</v>
      </c>
      <c r="G257" s="42">
        <v>53</v>
      </c>
      <c r="H257" s="43">
        <v>43</v>
      </c>
      <c r="I257" s="44">
        <v>791</v>
      </c>
      <c r="J257" s="45">
        <v>81.099999999999994</v>
      </c>
    </row>
    <row r="258" spans="1:10" ht="15.75" customHeight="1">
      <c r="A258" s="36" t="s">
        <v>6</v>
      </c>
      <c r="B258" s="37">
        <v>46046</v>
      </c>
      <c r="C258" s="38" t="s">
        <v>48</v>
      </c>
      <c r="D258" s="39" t="s">
        <v>49</v>
      </c>
      <c r="E258" s="40" t="s">
        <v>30</v>
      </c>
      <c r="F258" s="41">
        <v>1042</v>
      </c>
      <c r="G258" s="42">
        <v>78</v>
      </c>
      <c r="H258" s="43">
        <v>49</v>
      </c>
      <c r="I258" s="44">
        <v>1071</v>
      </c>
      <c r="J258" s="46">
        <v>62.8</v>
      </c>
    </row>
    <row r="259" spans="1:10" ht="15.75" customHeight="1">
      <c r="A259" s="36" t="s">
        <v>6</v>
      </c>
      <c r="B259" s="37">
        <v>46046</v>
      </c>
      <c r="C259" s="38" t="s">
        <v>48</v>
      </c>
      <c r="D259" s="39" t="s">
        <v>49</v>
      </c>
      <c r="E259" s="40" t="s">
        <v>32</v>
      </c>
      <c r="F259" s="41">
        <v>723</v>
      </c>
      <c r="G259" s="42">
        <v>29</v>
      </c>
      <c r="H259" s="43">
        <v>21</v>
      </c>
      <c r="I259" s="44">
        <v>731</v>
      </c>
      <c r="J259" s="46">
        <v>72.400000000000006</v>
      </c>
    </row>
    <row r="260" spans="1:10" ht="15.75" customHeight="1">
      <c r="A260" s="36" t="s">
        <v>6</v>
      </c>
      <c r="B260" s="37">
        <v>46046</v>
      </c>
      <c r="C260" s="38" t="s">
        <v>48</v>
      </c>
      <c r="D260" s="39" t="s">
        <v>49</v>
      </c>
      <c r="E260" s="40" t="s">
        <v>34</v>
      </c>
      <c r="F260" s="41">
        <v>1010</v>
      </c>
      <c r="G260" s="42">
        <v>53</v>
      </c>
      <c r="H260" s="43">
        <v>34</v>
      </c>
      <c r="I260" s="44">
        <v>1029</v>
      </c>
      <c r="J260" s="46">
        <v>64.2</v>
      </c>
    </row>
    <row r="261" spans="1:10" ht="15.75" customHeight="1">
      <c r="A261" s="36" t="s">
        <v>6</v>
      </c>
      <c r="B261" s="37">
        <v>46046</v>
      </c>
      <c r="C261" s="38" t="s">
        <v>48</v>
      </c>
      <c r="D261" s="39" t="s">
        <v>49</v>
      </c>
      <c r="E261" s="40" t="s">
        <v>25</v>
      </c>
      <c r="F261" s="41">
        <v>731</v>
      </c>
      <c r="G261" s="42">
        <v>28</v>
      </c>
      <c r="H261" s="43">
        <v>24</v>
      </c>
      <c r="I261" s="44">
        <v>735</v>
      </c>
      <c r="J261" s="45">
        <v>85.7</v>
      </c>
    </row>
    <row r="262" spans="1:10" ht="15.75" customHeight="1">
      <c r="A262" s="36" t="s">
        <v>6</v>
      </c>
      <c r="B262" s="37">
        <v>46046</v>
      </c>
      <c r="C262" s="38" t="s">
        <v>48</v>
      </c>
      <c r="D262" s="39" t="s">
        <v>49</v>
      </c>
      <c r="E262" s="40" t="s">
        <v>35</v>
      </c>
      <c r="F262" s="41">
        <v>862</v>
      </c>
      <c r="G262" s="42">
        <v>67</v>
      </c>
      <c r="H262" s="43">
        <v>52</v>
      </c>
      <c r="I262" s="44">
        <v>877</v>
      </c>
      <c r="J262" s="45">
        <v>77.599999999999994</v>
      </c>
    </row>
    <row r="263" spans="1:10" ht="15.75" customHeight="1">
      <c r="A263" s="36" t="s">
        <v>6</v>
      </c>
      <c r="B263" s="37">
        <v>46046</v>
      </c>
      <c r="C263" s="38" t="s">
        <v>48</v>
      </c>
      <c r="D263" s="39" t="s">
        <v>49</v>
      </c>
      <c r="E263" s="40" t="s">
        <v>29</v>
      </c>
      <c r="F263" s="41">
        <v>786</v>
      </c>
      <c r="G263" s="42">
        <v>49</v>
      </c>
      <c r="H263" s="43">
        <v>40</v>
      </c>
      <c r="I263" s="44">
        <v>795</v>
      </c>
      <c r="J263" s="45">
        <v>81.599999999999994</v>
      </c>
    </row>
    <row r="264" spans="1:10" ht="15.75" customHeight="1">
      <c r="A264" s="36" t="s">
        <v>6</v>
      </c>
      <c r="B264" s="37">
        <v>46046</v>
      </c>
      <c r="C264" s="38" t="s">
        <v>48</v>
      </c>
      <c r="D264" s="39" t="s">
        <v>49</v>
      </c>
      <c r="E264" s="40" t="s">
        <v>31</v>
      </c>
      <c r="F264" s="41">
        <v>949</v>
      </c>
      <c r="G264" s="42">
        <v>60</v>
      </c>
      <c r="H264" s="43">
        <v>49</v>
      </c>
      <c r="I264" s="44">
        <v>960</v>
      </c>
      <c r="J264" s="45">
        <v>81.7</v>
      </c>
    </row>
    <row r="265" spans="1:10" ht="15.75" customHeight="1">
      <c r="A265" s="36" t="s">
        <v>6</v>
      </c>
      <c r="B265" s="37">
        <v>46046</v>
      </c>
      <c r="C265" s="38" t="s">
        <v>48</v>
      </c>
      <c r="D265" s="39" t="s">
        <v>49</v>
      </c>
      <c r="E265" s="40" t="s">
        <v>33</v>
      </c>
      <c r="F265" s="41">
        <v>471</v>
      </c>
      <c r="G265" s="42">
        <v>30</v>
      </c>
      <c r="H265" s="43">
        <v>25</v>
      </c>
      <c r="I265" s="44">
        <v>476</v>
      </c>
      <c r="J265" s="45">
        <v>83.3</v>
      </c>
    </row>
    <row r="266" spans="1:10" ht="15.75" customHeight="1">
      <c r="A266" s="36" t="s">
        <v>6</v>
      </c>
      <c r="B266" s="37">
        <v>46046</v>
      </c>
      <c r="C266" s="38" t="s">
        <v>48</v>
      </c>
      <c r="D266" s="39" t="s">
        <v>49</v>
      </c>
      <c r="E266" s="40" t="s">
        <v>36</v>
      </c>
      <c r="F266" s="41">
        <v>1302</v>
      </c>
      <c r="G266" s="42">
        <v>64</v>
      </c>
      <c r="H266" s="43">
        <v>41</v>
      </c>
      <c r="I266" s="44">
        <v>1325</v>
      </c>
      <c r="J266" s="46">
        <v>64.099999999999994</v>
      </c>
    </row>
    <row r="267" spans="1:10" ht="15.75" customHeight="1">
      <c r="A267" s="36" t="s">
        <v>6</v>
      </c>
      <c r="B267" s="37">
        <v>46047</v>
      </c>
      <c r="C267" s="38" t="s">
        <v>50</v>
      </c>
      <c r="D267" s="39" t="s">
        <v>49</v>
      </c>
      <c r="E267" s="40" t="s">
        <v>26</v>
      </c>
      <c r="F267" s="41">
        <v>1090</v>
      </c>
      <c r="G267" s="42">
        <v>65</v>
      </c>
      <c r="H267" s="43">
        <v>54</v>
      </c>
      <c r="I267" s="44">
        <v>1101</v>
      </c>
      <c r="J267" s="45">
        <v>83.1</v>
      </c>
    </row>
    <row r="268" spans="1:10" ht="15.75" customHeight="1">
      <c r="A268" s="36" t="s">
        <v>6</v>
      </c>
      <c r="B268" s="37">
        <v>46047</v>
      </c>
      <c r="C268" s="38" t="s">
        <v>50</v>
      </c>
      <c r="D268" s="39" t="s">
        <v>49</v>
      </c>
      <c r="E268" s="40" t="s">
        <v>27</v>
      </c>
      <c r="F268" s="41">
        <v>791</v>
      </c>
      <c r="G268" s="42">
        <v>34</v>
      </c>
      <c r="H268" s="43">
        <v>30</v>
      </c>
      <c r="I268" s="44">
        <v>795</v>
      </c>
      <c r="J268" s="45">
        <v>88.2</v>
      </c>
    </row>
    <row r="269" spans="1:10" ht="15.75" customHeight="1">
      <c r="A269" s="36" t="s">
        <v>6</v>
      </c>
      <c r="B269" s="37">
        <v>46047</v>
      </c>
      <c r="C269" s="38" t="s">
        <v>50</v>
      </c>
      <c r="D269" s="39" t="s">
        <v>49</v>
      </c>
      <c r="E269" s="40" t="s">
        <v>30</v>
      </c>
      <c r="F269" s="41">
        <v>1071</v>
      </c>
      <c r="G269" s="42">
        <v>77</v>
      </c>
      <c r="H269" s="43">
        <v>53</v>
      </c>
      <c r="I269" s="44">
        <v>1095</v>
      </c>
      <c r="J269" s="46">
        <v>68.8</v>
      </c>
    </row>
    <row r="270" spans="1:10" ht="15.75" customHeight="1">
      <c r="A270" s="36" t="s">
        <v>6</v>
      </c>
      <c r="B270" s="37">
        <v>46047</v>
      </c>
      <c r="C270" s="38" t="s">
        <v>50</v>
      </c>
      <c r="D270" s="39" t="s">
        <v>49</v>
      </c>
      <c r="E270" s="40" t="s">
        <v>32</v>
      </c>
      <c r="F270" s="41">
        <v>731</v>
      </c>
      <c r="G270" s="42">
        <v>59</v>
      </c>
      <c r="H270" s="43">
        <v>51</v>
      </c>
      <c r="I270" s="44">
        <v>739</v>
      </c>
      <c r="J270" s="45">
        <v>86.4</v>
      </c>
    </row>
    <row r="271" spans="1:10" ht="15.75" customHeight="1">
      <c r="A271" s="36" t="s">
        <v>6</v>
      </c>
      <c r="B271" s="37">
        <v>46047</v>
      </c>
      <c r="C271" s="38" t="s">
        <v>50</v>
      </c>
      <c r="D271" s="39" t="s">
        <v>49</v>
      </c>
      <c r="E271" s="40" t="s">
        <v>34</v>
      </c>
      <c r="F271" s="41">
        <v>1029</v>
      </c>
      <c r="G271" s="42">
        <v>41</v>
      </c>
      <c r="H271" s="43">
        <v>30</v>
      </c>
      <c r="I271" s="44">
        <v>1040</v>
      </c>
      <c r="J271" s="46">
        <v>73.2</v>
      </c>
    </row>
    <row r="272" spans="1:10" ht="15.75" customHeight="1">
      <c r="A272" s="36" t="s">
        <v>6</v>
      </c>
      <c r="B272" s="37">
        <v>46047</v>
      </c>
      <c r="C272" s="38" t="s">
        <v>50</v>
      </c>
      <c r="D272" s="39" t="s">
        <v>49</v>
      </c>
      <c r="E272" s="40" t="s">
        <v>25</v>
      </c>
      <c r="F272" s="41">
        <v>735</v>
      </c>
      <c r="G272" s="42">
        <v>38</v>
      </c>
      <c r="H272" s="43">
        <v>32</v>
      </c>
      <c r="I272" s="44">
        <v>741</v>
      </c>
      <c r="J272" s="45">
        <v>84.2</v>
      </c>
    </row>
    <row r="273" spans="1:10" ht="15.75" customHeight="1">
      <c r="A273" s="36" t="s">
        <v>6</v>
      </c>
      <c r="B273" s="37">
        <v>46047</v>
      </c>
      <c r="C273" s="38" t="s">
        <v>50</v>
      </c>
      <c r="D273" s="39" t="s">
        <v>49</v>
      </c>
      <c r="E273" s="40" t="s">
        <v>35</v>
      </c>
      <c r="F273" s="41">
        <v>877</v>
      </c>
      <c r="G273" s="42">
        <v>53</v>
      </c>
      <c r="H273" s="43">
        <v>48</v>
      </c>
      <c r="I273" s="44">
        <v>882</v>
      </c>
      <c r="J273" s="45">
        <v>90.6</v>
      </c>
    </row>
    <row r="274" spans="1:10" ht="15.75" customHeight="1">
      <c r="A274" s="36" t="s">
        <v>6</v>
      </c>
      <c r="B274" s="37">
        <v>46047</v>
      </c>
      <c r="C274" s="38" t="s">
        <v>50</v>
      </c>
      <c r="D274" s="39" t="s">
        <v>49</v>
      </c>
      <c r="E274" s="40" t="s">
        <v>29</v>
      </c>
      <c r="F274" s="41">
        <v>795</v>
      </c>
      <c r="G274" s="42">
        <v>44</v>
      </c>
      <c r="H274" s="43">
        <v>37</v>
      </c>
      <c r="I274" s="44">
        <v>802</v>
      </c>
      <c r="J274" s="45">
        <v>84.1</v>
      </c>
    </row>
    <row r="275" spans="1:10" ht="15.75" customHeight="1">
      <c r="A275" s="36" t="s">
        <v>6</v>
      </c>
      <c r="B275" s="37">
        <v>46047</v>
      </c>
      <c r="C275" s="38" t="s">
        <v>50</v>
      </c>
      <c r="D275" s="39" t="s">
        <v>49</v>
      </c>
      <c r="E275" s="40" t="s">
        <v>31</v>
      </c>
      <c r="F275" s="41">
        <v>960</v>
      </c>
      <c r="G275" s="42">
        <v>70</v>
      </c>
      <c r="H275" s="43">
        <v>53</v>
      </c>
      <c r="I275" s="44">
        <v>977</v>
      </c>
      <c r="J275" s="45">
        <v>75.7</v>
      </c>
    </row>
    <row r="276" spans="1:10" ht="15.75" customHeight="1">
      <c r="A276" s="36" t="s">
        <v>6</v>
      </c>
      <c r="B276" s="37">
        <v>46047</v>
      </c>
      <c r="C276" s="38" t="s">
        <v>50</v>
      </c>
      <c r="D276" s="39" t="s">
        <v>49</v>
      </c>
      <c r="E276" s="40" t="s">
        <v>33</v>
      </c>
      <c r="F276" s="41">
        <v>476</v>
      </c>
      <c r="G276" s="42">
        <v>42</v>
      </c>
      <c r="H276" s="43">
        <v>37</v>
      </c>
      <c r="I276" s="44">
        <v>481</v>
      </c>
      <c r="J276" s="45">
        <v>88.1</v>
      </c>
    </row>
    <row r="277" spans="1:10" ht="15.75" customHeight="1">
      <c r="A277" s="36" t="s">
        <v>6</v>
      </c>
      <c r="B277" s="37">
        <v>46047</v>
      </c>
      <c r="C277" s="38" t="s">
        <v>50</v>
      </c>
      <c r="D277" s="39" t="s">
        <v>49</v>
      </c>
      <c r="E277" s="40" t="s">
        <v>36</v>
      </c>
      <c r="F277" s="41">
        <v>1325</v>
      </c>
      <c r="G277" s="42">
        <v>50</v>
      </c>
      <c r="H277" s="43">
        <v>32</v>
      </c>
      <c r="I277" s="44">
        <v>1343</v>
      </c>
      <c r="J277" s="46">
        <v>64</v>
      </c>
    </row>
    <row r="278" spans="1:10" ht="15.75" customHeight="1">
      <c r="A278" s="24" t="s">
        <v>6</v>
      </c>
      <c r="B278" s="25">
        <v>46048</v>
      </c>
      <c r="C278" s="26" t="s">
        <v>51</v>
      </c>
      <c r="D278" s="27" t="s">
        <v>46</v>
      </c>
      <c r="E278" s="28" t="s">
        <v>26</v>
      </c>
      <c r="F278" s="29">
        <v>1101</v>
      </c>
      <c r="G278" s="30">
        <v>102</v>
      </c>
      <c r="H278" s="31">
        <v>69</v>
      </c>
      <c r="I278" s="32">
        <v>1134</v>
      </c>
      <c r="J278" s="34">
        <v>67.599999999999994</v>
      </c>
    </row>
    <row r="279" spans="1:10" ht="15.75" customHeight="1">
      <c r="A279" s="14" t="s">
        <v>6</v>
      </c>
      <c r="B279" s="15">
        <v>46048</v>
      </c>
      <c r="C279" s="16" t="s">
        <v>51</v>
      </c>
      <c r="D279" s="17" t="s">
        <v>46</v>
      </c>
      <c r="E279" s="18" t="s">
        <v>27</v>
      </c>
      <c r="F279" s="19">
        <v>795</v>
      </c>
      <c r="G279" s="20">
        <v>112</v>
      </c>
      <c r="H279" s="21">
        <v>97</v>
      </c>
      <c r="I279" s="22">
        <v>810</v>
      </c>
      <c r="J279" s="35">
        <v>86.6</v>
      </c>
    </row>
    <row r="280" spans="1:10" ht="15.75" customHeight="1">
      <c r="A280" s="24" t="s">
        <v>6</v>
      </c>
      <c r="B280" s="25">
        <v>46048</v>
      </c>
      <c r="C280" s="26" t="s">
        <v>51</v>
      </c>
      <c r="D280" s="27" t="s">
        <v>46</v>
      </c>
      <c r="E280" s="28" t="s">
        <v>30</v>
      </c>
      <c r="F280" s="29">
        <v>1095</v>
      </c>
      <c r="G280" s="30">
        <v>99</v>
      </c>
      <c r="H280" s="31">
        <v>66</v>
      </c>
      <c r="I280" s="32">
        <v>1128</v>
      </c>
      <c r="J280" s="34">
        <v>66.7</v>
      </c>
    </row>
    <row r="281" spans="1:10" ht="15.75" customHeight="1">
      <c r="A281" s="14" t="s">
        <v>6</v>
      </c>
      <c r="B281" s="15">
        <v>46048</v>
      </c>
      <c r="C281" s="16" t="s">
        <v>51</v>
      </c>
      <c r="D281" s="17" t="s">
        <v>46</v>
      </c>
      <c r="E281" s="18" t="s">
        <v>32</v>
      </c>
      <c r="F281" s="19">
        <v>739</v>
      </c>
      <c r="G281" s="20">
        <v>96</v>
      </c>
      <c r="H281" s="21">
        <v>84</v>
      </c>
      <c r="I281" s="22">
        <v>751</v>
      </c>
      <c r="J281" s="35">
        <v>87.5</v>
      </c>
    </row>
    <row r="282" spans="1:10" ht="15.75" customHeight="1">
      <c r="A282" s="24" t="s">
        <v>6</v>
      </c>
      <c r="B282" s="25">
        <v>46048</v>
      </c>
      <c r="C282" s="26" t="s">
        <v>51</v>
      </c>
      <c r="D282" s="27" t="s">
        <v>46</v>
      </c>
      <c r="E282" s="28" t="s">
        <v>34</v>
      </c>
      <c r="F282" s="29">
        <v>1040</v>
      </c>
      <c r="G282" s="30">
        <v>117</v>
      </c>
      <c r="H282" s="31">
        <v>88</v>
      </c>
      <c r="I282" s="32">
        <v>1069</v>
      </c>
      <c r="J282" s="33">
        <v>75.2</v>
      </c>
    </row>
    <row r="283" spans="1:10" ht="15.75" customHeight="1">
      <c r="A283" s="14" t="s">
        <v>6</v>
      </c>
      <c r="B283" s="15">
        <v>46048</v>
      </c>
      <c r="C283" s="16" t="s">
        <v>51</v>
      </c>
      <c r="D283" s="17" t="s">
        <v>46</v>
      </c>
      <c r="E283" s="18" t="s">
        <v>25</v>
      </c>
      <c r="F283" s="19">
        <v>741</v>
      </c>
      <c r="G283" s="20">
        <v>93</v>
      </c>
      <c r="H283" s="21">
        <v>66</v>
      </c>
      <c r="I283" s="22">
        <v>768</v>
      </c>
      <c r="J283" s="23">
        <v>71</v>
      </c>
    </row>
    <row r="284" spans="1:10" ht="15.75" customHeight="1">
      <c r="A284" s="24" t="s">
        <v>6</v>
      </c>
      <c r="B284" s="25">
        <v>46048</v>
      </c>
      <c r="C284" s="26" t="s">
        <v>51</v>
      </c>
      <c r="D284" s="27" t="s">
        <v>46</v>
      </c>
      <c r="E284" s="28" t="s">
        <v>35</v>
      </c>
      <c r="F284" s="29">
        <v>882</v>
      </c>
      <c r="G284" s="30">
        <v>137</v>
      </c>
      <c r="H284" s="31">
        <v>114</v>
      </c>
      <c r="I284" s="32">
        <v>905</v>
      </c>
      <c r="J284" s="33">
        <v>83.2</v>
      </c>
    </row>
    <row r="285" spans="1:10" ht="15.75" customHeight="1">
      <c r="A285" s="14" t="s">
        <v>6</v>
      </c>
      <c r="B285" s="15">
        <v>46048</v>
      </c>
      <c r="C285" s="16" t="s">
        <v>51</v>
      </c>
      <c r="D285" s="17" t="s">
        <v>46</v>
      </c>
      <c r="E285" s="18" t="s">
        <v>29</v>
      </c>
      <c r="F285" s="19">
        <v>802</v>
      </c>
      <c r="G285" s="20">
        <v>113</v>
      </c>
      <c r="H285" s="21">
        <v>81</v>
      </c>
      <c r="I285" s="22">
        <v>834</v>
      </c>
      <c r="J285" s="23">
        <v>71.7</v>
      </c>
    </row>
    <row r="286" spans="1:10" ht="15.75" customHeight="1">
      <c r="A286" s="24" t="s">
        <v>6</v>
      </c>
      <c r="B286" s="25">
        <v>46048</v>
      </c>
      <c r="C286" s="26" t="s">
        <v>51</v>
      </c>
      <c r="D286" s="27" t="s">
        <v>46</v>
      </c>
      <c r="E286" s="28" t="s">
        <v>31</v>
      </c>
      <c r="F286" s="29">
        <v>977</v>
      </c>
      <c r="G286" s="30">
        <v>152</v>
      </c>
      <c r="H286" s="31">
        <v>112</v>
      </c>
      <c r="I286" s="32">
        <v>1017</v>
      </c>
      <c r="J286" s="34">
        <v>73.7</v>
      </c>
    </row>
    <row r="287" spans="1:10" ht="15.75" customHeight="1">
      <c r="A287" s="14" t="s">
        <v>6</v>
      </c>
      <c r="B287" s="15">
        <v>46048</v>
      </c>
      <c r="C287" s="16" t="s">
        <v>51</v>
      </c>
      <c r="D287" s="17" t="s">
        <v>46</v>
      </c>
      <c r="E287" s="18" t="s">
        <v>33</v>
      </c>
      <c r="F287" s="19">
        <v>481</v>
      </c>
      <c r="G287" s="20">
        <v>76</v>
      </c>
      <c r="H287" s="21">
        <v>69</v>
      </c>
      <c r="I287" s="22">
        <v>488</v>
      </c>
      <c r="J287" s="35">
        <v>90.8</v>
      </c>
    </row>
    <row r="288" spans="1:10" ht="15.75" customHeight="1">
      <c r="A288" s="24" t="s">
        <v>6</v>
      </c>
      <c r="B288" s="25">
        <v>46048</v>
      </c>
      <c r="C288" s="26" t="s">
        <v>51</v>
      </c>
      <c r="D288" s="27" t="s">
        <v>46</v>
      </c>
      <c r="E288" s="28" t="s">
        <v>36</v>
      </c>
      <c r="F288" s="29">
        <v>1343</v>
      </c>
      <c r="G288" s="30">
        <v>148</v>
      </c>
      <c r="H288" s="31">
        <v>115</v>
      </c>
      <c r="I288" s="32">
        <v>1376</v>
      </c>
      <c r="J288" s="33">
        <v>77.7</v>
      </c>
    </row>
    <row r="289" spans="1:10" ht="15.75" customHeight="1">
      <c r="A289" s="14" t="s">
        <v>6</v>
      </c>
      <c r="B289" s="15">
        <v>46049</v>
      </c>
      <c r="C289" s="16" t="s">
        <v>52</v>
      </c>
      <c r="D289" s="17" t="s">
        <v>46</v>
      </c>
      <c r="E289" s="18" t="s">
        <v>26</v>
      </c>
      <c r="F289" s="19">
        <v>1134</v>
      </c>
      <c r="G289" s="20">
        <v>98</v>
      </c>
      <c r="H289" s="21">
        <v>74</v>
      </c>
      <c r="I289" s="22">
        <v>1158</v>
      </c>
      <c r="J289" s="35">
        <v>75.5</v>
      </c>
    </row>
    <row r="290" spans="1:10" ht="15.75" customHeight="1">
      <c r="A290" s="24" t="s">
        <v>6</v>
      </c>
      <c r="B290" s="25">
        <v>46049</v>
      </c>
      <c r="C290" s="26" t="s">
        <v>52</v>
      </c>
      <c r="D290" s="27" t="s">
        <v>46</v>
      </c>
      <c r="E290" s="28" t="s">
        <v>27</v>
      </c>
      <c r="F290" s="29">
        <v>810</v>
      </c>
      <c r="G290" s="30">
        <v>129</v>
      </c>
      <c r="H290" s="31">
        <v>91</v>
      </c>
      <c r="I290" s="32">
        <v>848</v>
      </c>
      <c r="J290" s="34">
        <v>70.5</v>
      </c>
    </row>
    <row r="291" spans="1:10" ht="15.75" customHeight="1">
      <c r="A291" s="14" t="s">
        <v>6</v>
      </c>
      <c r="B291" s="15">
        <v>46049</v>
      </c>
      <c r="C291" s="16" t="s">
        <v>52</v>
      </c>
      <c r="D291" s="17" t="s">
        <v>46</v>
      </c>
      <c r="E291" s="18" t="s">
        <v>30</v>
      </c>
      <c r="F291" s="19">
        <v>1128</v>
      </c>
      <c r="G291" s="20">
        <v>107</v>
      </c>
      <c r="H291" s="21">
        <v>68</v>
      </c>
      <c r="I291" s="22">
        <v>1167</v>
      </c>
      <c r="J291" s="23">
        <v>63.6</v>
      </c>
    </row>
    <row r="292" spans="1:10" ht="15.75" customHeight="1">
      <c r="A292" s="24" t="s">
        <v>6</v>
      </c>
      <c r="B292" s="25">
        <v>46049</v>
      </c>
      <c r="C292" s="26" t="s">
        <v>52</v>
      </c>
      <c r="D292" s="27" t="s">
        <v>46</v>
      </c>
      <c r="E292" s="28" t="s">
        <v>32</v>
      </c>
      <c r="F292" s="29">
        <v>751</v>
      </c>
      <c r="G292" s="30">
        <v>111</v>
      </c>
      <c r="H292" s="31">
        <v>103</v>
      </c>
      <c r="I292" s="32">
        <v>759</v>
      </c>
      <c r="J292" s="33">
        <v>92.8</v>
      </c>
    </row>
    <row r="293" spans="1:10" ht="15.75" customHeight="1">
      <c r="A293" s="14" t="s">
        <v>6</v>
      </c>
      <c r="B293" s="15">
        <v>46049</v>
      </c>
      <c r="C293" s="16" t="s">
        <v>52</v>
      </c>
      <c r="D293" s="17" t="s">
        <v>46</v>
      </c>
      <c r="E293" s="18" t="s">
        <v>34</v>
      </c>
      <c r="F293" s="19">
        <v>1069</v>
      </c>
      <c r="G293" s="20">
        <v>121</v>
      </c>
      <c r="H293" s="21">
        <v>96</v>
      </c>
      <c r="I293" s="22">
        <v>1094</v>
      </c>
      <c r="J293" s="35">
        <v>79.3</v>
      </c>
    </row>
    <row r="294" spans="1:10" ht="15.75" customHeight="1">
      <c r="A294" s="24" t="s">
        <v>6</v>
      </c>
      <c r="B294" s="25">
        <v>46049</v>
      </c>
      <c r="C294" s="26" t="s">
        <v>52</v>
      </c>
      <c r="D294" s="27" t="s">
        <v>46</v>
      </c>
      <c r="E294" s="28" t="s">
        <v>25</v>
      </c>
      <c r="F294" s="29">
        <v>768</v>
      </c>
      <c r="G294" s="30">
        <v>93</v>
      </c>
      <c r="H294" s="31">
        <v>75</v>
      </c>
      <c r="I294" s="32">
        <v>786</v>
      </c>
      <c r="J294" s="33">
        <v>80.599999999999994</v>
      </c>
    </row>
    <row r="295" spans="1:10" ht="15.75" customHeight="1">
      <c r="A295" s="14" t="s">
        <v>6</v>
      </c>
      <c r="B295" s="15">
        <v>46049</v>
      </c>
      <c r="C295" s="16" t="s">
        <v>52</v>
      </c>
      <c r="D295" s="17" t="s">
        <v>46</v>
      </c>
      <c r="E295" s="18" t="s">
        <v>35</v>
      </c>
      <c r="F295" s="19">
        <v>905</v>
      </c>
      <c r="G295" s="20">
        <v>97</v>
      </c>
      <c r="H295" s="21">
        <v>86</v>
      </c>
      <c r="I295" s="22">
        <v>916</v>
      </c>
      <c r="J295" s="35">
        <v>88.7</v>
      </c>
    </row>
    <row r="296" spans="1:10" ht="15.75" customHeight="1">
      <c r="A296" s="24" t="s">
        <v>6</v>
      </c>
      <c r="B296" s="25">
        <v>46049</v>
      </c>
      <c r="C296" s="26" t="s">
        <v>52</v>
      </c>
      <c r="D296" s="27" t="s">
        <v>46</v>
      </c>
      <c r="E296" s="28" t="s">
        <v>29</v>
      </c>
      <c r="F296" s="29">
        <v>834</v>
      </c>
      <c r="G296" s="30">
        <v>121</v>
      </c>
      <c r="H296" s="31">
        <v>86</v>
      </c>
      <c r="I296" s="32">
        <v>869</v>
      </c>
      <c r="J296" s="34">
        <v>71.099999999999994</v>
      </c>
    </row>
    <row r="297" spans="1:10" ht="15.75" customHeight="1">
      <c r="A297" s="14" t="s">
        <v>6</v>
      </c>
      <c r="B297" s="15">
        <v>46049</v>
      </c>
      <c r="C297" s="16" t="s">
        <v>52</v>
      </c>
      <c r="D297" s="17" t="s">
        <v>46</v>
      </c>
      <c r="E297" s="18" t="s">
        <v>31</v>
      </c>
      <c r="F297" s="19">
        <v>1017</v>
      </c>
      <c r="G297" s="20">
        <v>150</v>
      </c>
      <c r="H297" s="21">
        <v>126</v>
      </c>
      <c r="I297" s="22">
        <v>1041</v>
      </c>
      <c r="J297" s="35">
        <v>84</v>
      </c>
    </row>
    <row r="298" spans="1:10" ht="15.75" customHeight="1">
      <c r="A298" s="24" t="s">
        <v>6</v>
      </c>
      <c r="B298" s="25">
        <v>46049</v>
      </c>
      <c r="C298" s="26" t="s">
        <v>52</v>
      </c>
      <c r="D298" s="27" t="s">
        <v>46</v>
      </c>
      <c r="E298" s="28" t="s">
        <v>33</v>
      </c>
      <c r="F298" s="29">
        <v>488</v>
      </c>
      <c r="G298" s="30">
        <v>96</v>
      </c>
      <c r="H298" s="31">
        <v>79</v>
      </c>
      <c r="I298" s="32">
        <v>505</v>
      </c>
      <c r="J298" s="33">
        <v>82.3</v>
      </c>
    </row>
    <row r="299" spans="1:10" ht="15.75" customHeight="1">
      <c r="A299" s="14" t="s">
        <v>6</v>
      </c>
      <c r="B299" s="15">
        <v>46049</v>
      </c>
      <c r="C299" s="16" t="s">
        <v>52</v>
      </c>
      <c r="D299" s="17" t="s">
        <v>46</v>
      </c>
      <c r="E299" s="18" t="s">
        <v>36</v>
      </c>
      <c r="F299" s="19">
        <v>1376</v>
      </c>
      <c r="G299" s="20">
        <v>157</v>
      </c>
      <c r="H299" s="21">
        <v>127</v>
      </c>
      <c r="I299" s="22">
        <v>1406</v>
      </c>
      <c r="J299" s="35">
        <v>80.900000000000006</v>
      </c>
    </row>
    <row r="300" spans="1:10" ht="15.75" customHeight="1">
      <c r="A300" s="24" t="s">
        <v>6</v>
      </c>
      <c r="B300" s="25">
        <v>46050</v>
      </c>
      <c r="C300" s="26" t="s">
        <v>53</v>
      </c>
      <c r="D300" s="27" t="s">
        <v>46</v>
      </c>
      <c r="E300" s="28" t="s">
        <v>26</v>
      </c>
      <c r="F300" s="29">
        <v>1158</v>
      </c>
      <c r="G300" s="30">
        <v>88</v>
      </c>
      <c r="H300" s="31">
        <v>70</v>
      </c>
      <c r="I300" s="32">
        <v>1176</v>
      </c>
      <c r="J300" s="33">
        <v>79.5</v>
      </c>
    </row>
    <row r="301" spans="1:10" ht="15.75" customHeight="1">
      <c r="A301" s="14" t="s">
        <v>6</v>
      </c>
      <c r="B301" s="15">
        <v>46050</v>
      </c>
      <c r="C301" s="16" t="s">
        <v>53</v>
      </c>
      <c r="D301" s="17" t="s">
        <v>46</v>
      </c>
      <c r="E301" s="18" t="s">
        <v>27</v>
      </c>
      <c r="F301" s="19">
        <v>848</v>
      </c>
      <c r="G301" s="20">
        <v>117</v>
      </c>
      <c r="H301" s="21">
        <v>96</v>
      </c>
      <c r="I301" s="22">
        <v>869</v>
      </c>
      <c r="J301" s="35">
        <v>82.1</v>
      </c>
    </row>
    <row r="302" spans="1:10" ht="15.75" customHeight="1">
      <c r="A302" s="24" t="s">
        <v>6</v>
      </c>
      <c r="B302" s="25">
        <v>46050</v>
      </c>
      <c r="C302" s="26" t="s">
        <v>53</v>
      </c>
      <c r="D302" s="27" t="s">
        <v>46</v>
      </c>
      <c r="E302" s="28" t="s">
        <v>30</v>
      </c>
      <c r="F302" s="29">
        <v>1167</v>
      </c>
      <c r="G302" s="30">
        <v>140</v>
      </c>
      <c r="H302" s="31">
        <v>94</v>
      </c>
      <c r="I302" s="32">
        <v>1213</v>
      </c>
      <c r="J302" s="34">
        <v>67.099999999999994</v>
      </c>
    </row>
    <row r="303" spans="1:10" ht="15.75" customHeight="1">
      <c r="A303" s="14" t="s">
        <v>6</v>
      </c>
      <c r="B303" s="15">
        <v>46050</v>
      </c>
      <c r="C303" s="16" t="s">
        <v>53</v>
      </c>
      <c r="D303" s="17" t="s">
        <v>46</v>
      </c>
      <c r="E303" s="18" t="s">
        <v>32</v>
      </c>
      <c r="F303" s="19">
        <v>759</v>
      </c>
      <c r="G303" s="20">
        <v>63</v>
      </c>
      <c r="H303" s="21">
        <v>57</v>
      </c>
      <c r="I303" s="22">
        <v>765</v>
      </c>
      <c r="J303" s="35">
        <v>90.5</v>
      </c>
    </row>
    <row r="304" spans="1:10" ht="15.75" customHeight="1">
      <c r="A304" s="24" t="s">
        <v>6</v>
      </c>
      <c r="B304" s="25">
        <v>46050</v>
      </c>
      <c r="C304" s="26" t="s">
        <v>53</v>
      </c>
      <c r="D304" s="27" t="s">
        <v>46</v>
      </c>
      <c r="E304" s="28" t="s">
        <v>34</v>
      </c>
      <c r="F304" s="29">
        <v>1094</v>
      </c>
      <c r="G304" s="30">
        <v>154</v>
      </c>
      <c r="H304" s="31">
        <v>121</v>
      </c>
      <c r="I304" s="32">
        <v>1127</v>
      </c>
      <c r="J304" s="33">
        <v>78.599999999999994</v>
      </c>
    </row>
    <row r="305" spans="1:10" ht="15.75" customHeight="1">
      <c r="A305" s="14" t="s">
        <v>6</v>
      </c>
      <c r="B305" s="15">
        <v>46050</v>
      </c>
      <c r="C305" s="16" t="s">
        <v>53</v>
      </c>
      <c r="D305" s="17" t="s">
        <v>46</v>
      </c>
      <c r="E305" s="18" t="s">
        <v>25</v>
      </c>
      <c r="F305" s="19">
        <v>786</v>
      </c>
      <c r="G305" s="20">
        <v>94</v>
      </c>
      <c r="H305" s="21">
        <v>65</v>
      </c>
      <c r="I305" s="22">
        <v>815</v>
      </c>
      <c r="J305" s="23">
        <v>69.099999999999994</v>
      </c>
    </row>
    <row r="306" spans="1:10" ht="15.75" customHeight="1">
      <c r="A306" s="24" t="s">
        <v>6</v>
      </c>
      <c r="B306" s="25">
        <v>46050</v>
      </c>
      <c r="C306" s="26" t="s">
        <v>53</v>
      </c>
      <c r="D306" s="27" t="s">
        <v>46</v>
      </c>
      <c r="E306" s="28" t="s">
        <v>35</v>
      </c>
      <c r="F306" s="29">
        <v>916</v>
      </c>
      <c r="G306" s="30">
        <v>116</v>
      </c>
      <c r="H306" s="31">
        <v>97</v>
      </c>
      <c r="I306" s="32">
        <v>935</v>
      </c>
      <c r="J306" s="33">
        <v>83.6</v>
      </c>
    </row>
    <row r="307" spans="1:10" ht="15.75" customHeight="1">
      <c r="A307" s="14" t="s">
        <v>6</v>
      </c>
      <c r="B307" s="15">
        <v>46050</v>
      </c>
      <c r="C307" s="16" t="s">
        <v>53</v>
      </c>
      <c r="D307" s="17" t="s">
        <v>46</v>
      </c>
      <c r="E307" s="18" t="s">
        <v>29</v>
      </c>
      <c r="F307" s="19">
        <v>869</v>
      </c>
      <c r="G307" s="20">
        <v>94</v>
      </c>
      <c r="H307" s="21">
        <v>62</v>
      </c>
      <c r="I307" s="22">
        <v>901</v>
      </c>
      <c r="J307" s="23">
        <v>66</v>
      </c>
    </row>
    <row r="308" spans="1:10" ht="15.75" customHeight="1">
      <c r="A308" s="24" t="s">
        <v>6</v>
      </c>
      <c r="B308" s="25">
        <v>46050</v>
      </c>
      <c r="C308" s="26" t="s">
        <v>53</v>
      </c>
      <c r="D308" s="27" t="s">
        <v>46</v>
      </c>
      <c r="E308" s="28" t="s">
        <v>31</v>
      </c>
      <c r="F308" s="29">
        <v>1041</v>
      </c>
      <c r="G308" s="30">
        <v>99</v>
      </c>
      <c r="H308" s="31">
        <v>64</v>
      </c>
      <c r="I308" s="32">
        <v>1076</v>
      </c>
      <c r="J308" s="34">
        <v>64.599999999999994</v>
      </c>
    </row>
    <row r="309" spans="1:10" ht="15.75" customHeight="1">
      <c r="A309" s="14" t="s">
        <v>6</v>
      </c>
      <c r="B309" s="15">
        <v>46050</v>
      </c>
      <c r="C309" s="16" t="s">
        <v>53</v>
      </c>
      <c r="D309" s="17" t="s">
        <v>46</v>
      </c>
      <c r="E309" s="18" t="s">
        <v>33</v>
      </c>
      <c r="F309" s="19">
        <v>505</v>
      </c>
      <c r="G309" s="20">
        <v>100</v>
      </c>
      <c r="H309" s="21">
        <v>89</v>
      </c>
      <c r="I309" s="22">
        <v>516</v>
      </c>
      <c r="J309" s="35">
        <v>89</v>
      </c>
    </row>
    <row r="310" spans="1:10" ht="15.75" customHeight="1">
      <c r="A310" s="24" t="s">
        <v>6</v>
      </c>
      <c r="B310" s="25">
        <v>46050</v>
      </c>
      <c r="C310" s="26" t="s">
        <v>53</v>
      </c>
      <c r="D310" s="27" t="s">
        <v>46</v>
      </c>
      <c r="E310" s="28" t="s">
        <v>36</v>
      </c>
      <c r="F310" s="29">
        <v>1406</v>
      </c>
      <c r="G310" s="30">
        <v>141</v>
      </c>
      <c r="H310" s="31">
        <v>96</v>
      </c>
      <c r="I310" s="32">
        <v>1451</v>
      </c>
      <c r="J310" s="34">
        <v>68.099999999999994</v>
      </c>
    </row>
    <row r="311" spans="1:10" ht="15.75" customHeight="1">
      <c r="A311" s="14" t="s">
        <v>6</v>
      </c>
      <c r="B311" s="15">
        <v>46051</v>
      </c>
      <c r="C311" s="16" t="s">
        <v>45</v>
      </c>
      <c r="D311" s="17" t="s">
        <v>46</v>
      </c>
      <c r="E311" s="18" t="s">
        <v>26</v>
      </c>
      <c r="F311" s="19">
        <v>1176</v>
      </c>
      <c r="G311" s="20">
        <v>109</v>
      </c>
      <c r="H311" s="21">
        <v>71</v>
      </c>
      <c r="I311" s="22">
        <v>1214</v>
      </c>
      <c r="J311" s="23">
        <v>65.099999999999994</v>
      </c>
    </row>
    <row r="312" spans="1:10" ht="15.75" customHeight="1">
      <c r="A312" s="24" t="s">
        <v>6</v>
      </c>
      <c r="B312" s="25">
        <v>46051</v>
      </c>
      <c r="C312" s="26" t="s">
        <v>45</v>
      </c>
      <c r="D312" s="27" t="s">
        <v>46</v>
      </c>
      <c r="E312" s="28" t="s">
        <v>27</v>
      </c>
      <c r="F312" s="29">
        <v>869</v>
      </c>
      <c r="G312" s="30">
        <v>81</v>
      </c>
      <c r="H312" s="31">
        <v>60</v>
      </c>
      <c r="I312" s="32">
        <v>890</v>
      </c>
      <c r="J312" s="34">
        <v>74.099999999999994</v>
      </c>
    </row>
    <row r="313" spans="1:10" ht="15.75" customHeight="1">
      <c r="A313" s="14" t="s">
        <v>6</v>
      </c>
      <c r="B313" s="15">
        <v>46051</v>
      </c>
      <c r="C313" s="16" t="s">
        <v>45</v>
      </c>
      <c r="D313" s="17" t="s">
        <v>46</v>
      </c>
      <c r="E313" s="18" t="s">
        <v>30</v>
      </c>
      <c r="F313" s="19">
        <v>1213</v>
      </c>
      <c r="G313" s="20">
        <v>147</v>
      </c>
      <c r="H313" s="21">
        <v>94</v>
      </c>
      <c r="I313" s="22">
        <v>1266</v>
      </c>
      <c r="J313" s="23">
        <v>63.9</v>
      </c>
    </row>
    <row r="314" spans="1:10" ht="15.75" customHeight="1">
      <c r="A314" s="24" t="s">
        <v>6</v>
      </c>
      <c r="B314" s="25">
        <v>46051</v>
      </c>
      <c r="C314" s="26" t="s">
        <v>45</v>
      </c>
      <c r="D314" s="27" t="s">
        <v>46</v>
      </c>
      <c r="E314" s="28" t="s">
        <v>32</v>
      </c>
      <c r="F314" s="29">
        <v>765</v>
      </c>
      <c r="G314" s="30">
        <v>112</v>
      </c>
      <c r="H314" s="31">
        <v>105</v>
      </c>
      <c r="I314" s="32">
        <v>772</v>
      </c>
      <c r="J314" s="33">
        <v>93.8</v>
      </c>
    </row>
    <row r="315" spans="1:10" ht="15.75" customHeight="1">
      <c r="A315" s="14" t="s">
        <v>6</v>
      </c>
      <c r="B315" s="15">
        <v>46051</v>
      </c>
      <c r="C315" s="16" t="s">
        <v>45</v>
      </c>
      <c r="D315" s="17" t="s">
        <v>46</v>
      </c>
      <c r="E315" s="18" t="s">
        <v>34</v>
      </c>
      <c r="F315" s="19">
        <v>1127</v>
      </c>
      <c r="G315" s="20">
        <v>160</v>
      </c>
      <c r="H315" s="21">
        <v>126</v>
      </c>
      <c r="I315" s="22">
        <v>1161</v>
      </c>
      <c r="J315" s="35">
        <v>78.8</v>
      </c>
    </row>
    <row r="316" spans="1:10" ht="15.75" customHeight="1">
      <c r="A316" s="24" t="s">
        <v>6</v>
      </c>
      <c r="B316" s="25">
        <v>46051</v>
      </c>
      <c r="C316" s="26" t="s">
        <v>45</v>
      </c>
      <c r="D316" s="27" t="s">
        <v>46</v>
      </c>
      <c r="E316" s="28" t="s">
        <v>25</v>
      </c>
      <c r="F316" s="29">
        <v>815</v>
      </c>
      <c r="G316" s="30">
        <v>90</v>
      </c>
      <c r="H316" s="31">
        <v>61</v>
      </c>
      <c r="I316" s="32">
        <v>844</v>
      </c>
      <c r="J316" s="34">
        <v>67.8</v>
      </c>
    </row>
    <row r="317" spans="1:10" ht="15.75" customHeight="1">
      <c r="A317" s="14" t="s">
        <v>6</v>
      </c>
      <c r="B317" s="15">
        <v>46051</v>
      </c>
      <c r="C317" s="16" t="s">
        <v>45</v>
      </c>
      <c r="D317" s="17" t="s">
        <v>46</v>
      </c>
      <c r="E317" s="18" t="s">
        <v>35</v>
      </c>
      <c r="F317" s="19">
        <v>935</v>
      </c>
      <c r="G317" s="20">
        <v>119</v>
      </c>
      <c r="H317" s="21">
        <v>105</v>
      </c>
      <c r="I317" s="22">
        <v>949</v>
      </c>
      <c r="J317" s="35">
        <v>88.2</v>
      </c>
    </row>
    <row r="318" spans="1:10" ht="15.75" customHeight="1">
      <c r="A318" s="24" t="s">
        <v>6</v>
      </c>
      <c r="B318" s="25">
        <v>46051</v>
      </c>
      <c r="C318" s="26" t="s">
        <v>45</v>
      </c>
      <c r="D318" s="27" t="s">
        <v>46</v>
      </c>
      <c r="E318" s="28" t="s">
        <v>29</v>
      </c>
      <c r="F318" s="29">
        <v>901</v>
      </c>
      <c r="G318" s="30">
        <v>124</v>
      </c>
      <c r="H318" s="31">
        <v>85</v>
      </c>
      <c r="I318" s="32">
        <v>940</v>
      </c>
      <c r="J318" s="34">
        <v>68.5</v>
      </c>
    </row>
    <row r="319" spans="1:10" ht="15.75" customHeight="1">
      <c r="A319" s="14" t="s">
        <v>6</v>
      </c>
      <c r="B319" s="15">
        <v>46051</v>
      </c>
      <c r="C319" s="16" t="s">
        <v>45</v>
      </c>
      <c r="D319" s="17" t="s">
        <v>46</v>
      </c>
      <c r="E319" s="18" t="s">
        <v>31</v>
      </c>
      <c r="F319" s="19">
        <v>1076</v>
      </c>
      <c r="G319" s="20">
        <v>119</v>
      </c>
      <c r="H319" s="21">
        <v>87</v>
      </c>
      <c r="I319" s="22">
        <v>1108</v>
      </c>
      <c r="J319" s="23">
        <v>73.099999999999994</v>
      </c>
    </row>
    <row r="320" spans="1:10" ht="15.75" customHeight="1">
      <c r="A320" s="24" t="s">
        <v>6</v>
      </c>
      <c r="B320" s="25">
        <v>46051</v>
      </c>
      <c r="C320" s="26" t="s">
        <v>45</v>
      </c>
      <c r="D320" s="27" t="s">
        <v>46</v>
      </c>
      <c r="E320" s="28" t="s">
        <v>33</v>
      </c>
      <c r="F320" s="29">
        <v>516</v>
      </c>
      <c r="G320" s="30">
        <v>89</v>
      </c>
      <c r="H320" s="31">
        <v>78</v>
      </c>
      <c r="I320" s="32">
        <v>527</v>
      </c>
      <c r="J320" s="33">
        <v>87.6</v>
      </c>
    </row>
    <row r="321" spans="1:10" ht="15.75" customHeight="1">
      <c r="A321" s="14" t="s">
        <v>6</v>
      </c>
      <c r="B321" s="15">
        <v>46051</v>
      </c>
      <c r="C321" s="16" t="s">
        <v>45</v>
      </c>
      <c r="D321" s="17" t="s">
        <v>46</v>
      </c>
      <c r="E321" s="18" t="s">
        <v>36</v>
      </c>
      <c r="F321" s="19">
        <v>1451</v>
      </c>
      <c r="G321" s="20">
        <v>104</v>
      </c>
      <c r="H321" s="21">
        <v>74</v>
      </c>
      <c r="I321" s="22">
        <v>1481</v>
      </c>
      <c r="J321" s="23">
        <v>71.2</v>
      </c>
    </row>
    <row r="322" spans="1:10" ht="15.75" customHeight="1">
      <c r="A322" s="24" t="s">
        <v>6</v>
      </c>
      <c r="B322" s="25">
        <v>46052</v>
      </c>
      <c r="C322" s="26" t="s">
        <v>47</v>
      </c>
      <c r="D322" s="27" t="s">
        <v>46</v>
      </c>
      <c r="E322" s="28" t="s">
        <v>26</v>
      </c>
      <c r="F322" s="29">
        <v>1214</v>
      </c>
      <c r="G322" s="30">
        <v>145</v>
      </c>
      <c r="H322" s="31">
        <v>107</v>
      </c>
      <c r="I322" s="32">
        <v>1252</v>
      </c>
      <c r="J322" s="34">
        <v>73.8</v>
      </c>
    </row>
    <row r="323" spans="1:10" ht="15.75" customHeight="1">
      <c r="A323" s="14" t="s">
        <v>6</v>
      </c>
      <c r="B323" s="15">
        <v>46052</v>
      </c>
      <c r="C323" s="16" t="s">
        <v>47</v>
      </c>
      <c r="D323" s="17" t="s">
        <v>46</v>
      </c>
      <c r="E323" s="18" t="s">
        <v>27</v>
      </c>
      <c r="F323" s="19">
        <v>890</v>
      </c>
      <c r="G323" s="20">
        <v>95</v>
      </c>
      <c r="H323" s="21">
        <v>81</v>
      </c>
      <c r="I323" s="22">
        <v>904</v>
      </c>
      <c r="J323" s="35">
        <v>85.3</v>
      </c>
    </row>
    <row r="324" spans="1:10" ht="15.75" customHeight="1">
      <c r="A324" s="24" t="s">
        <v>6</v>
      </c>
      <c r="B324" s="25">
        <v>46052</v>
      </c>
      <c r="C324" s="26" t="s">
        <v>47</v>
      </c>
      <c r="D324" s="27" t="s">
        <v>46</v>
      </c>
      <c r="E324" s="28" t="s">
        <v>30</v>
      </c>
      <c r="F324" s="29">
        <v>1266</v>
      </c>
      <c r="G324" s="30">
        <v>98</v>
      </c>
      <c r="H324" s="31">
        <v>64</v>
      </c>
      <c r="I324" s="32">
        <v>1300</v>
      </c>
      <c r="J324" s="34">
        <v>65.3</v>
      </c>
    </row>
    <row r="325" spans="1:10" ht="15.75" customHeight="1">
      <c r="A325" s="14" t="s">
        <v>6</v>
      </c>
      <c r="B325" s="15">
        <v>46052</v>
      </c>
      <c r="C325" s="16" t="s">
        <v>47</v>
      </c>
      <c r="D325" s="17" t="s">
        <v>46</v>
      </c>
      <c r="E325" s="18" t="s">
        <v>32</v>
      </c>
      <c r="F325" s="19">
        <v>772</v>
      </c>
      <c r="G325" s="20">
        <v>71</v>
      </c>
      <c r="H325" s="21">
        <v>58</v>
      </c>
      <c r="I325" s="22">
        <v>785</v>
      </c>
      <c r="J325" s="35">
        <v>81.7</v>
      </c>
    </row>
    <row r="326" spans="1:10" ht="15.75" customHeight="1">
      <c r="A326" s="24" t="s">
        <v>6</v>
      </c>
      <c r="B326" s="25">
        <v>46052</v>
      </c>
      <c r="C326" s="26" t="s">
        <v>47</v>
      </c>
      <c r="D326" s="27" t="s">
        <v>46</v>
      </c>
      <c r="E326" s="28" t="s">
        <v>34</v>
      </c>
      <c r="F326" s="29">
        <v>1161</v>
      </c>
      <c r="G326" s="30">
        <v>129</v>
      </c>
      <c r="H326" s="31">
        <v>89</v>
      </c>
      <c r="I326" s="32">
        <v>1201</v>
      </c>
      <c r="J326" s="34">
        <v>69</v>
      </c>
    </row>
    <row r="327" spans="1:10" ht="15.75" customHeight="1">
      <c r="A327" s="14" t="s">
        <v>6</v>
      </c>
      <c r="B327" s="15">
        <v>46052</v>
      </c>
      <c r="C327" s="16" t="s">
        <v>47</v>
      </c>
      <c r="D327" s="17" t="s">
        <v>46</v>
      </c>
      <c r="E327" s="18" t="s">
        <v>25</v>
      </c>
      <c r="F327" s="19">
        <v>844</v>
      </c>
      <c r="G327" s="20">
        <v>94</v>
      </c>
      <c r="H327" s="21">
        <v>76</v>
      </c>
      <c r="I327" s="22">
        <v>862</v>
      </c>
      <c r="J327" s="35">
        <v>80.900000000000006</v>
      </c>
    </row>
    <row r="328" spans="1:10" ht="15.75" customHeight="1">
      <c r="A328" s="24" t="s">
        <v>6</v>
      </c>
      <c r="B328" s="25">
        <v>46052</v>
      </c>
      <c r="C328" s="26" t="s">
        <v>47</v>
      </c>
      <c r="D328" s="27" t="s">
        <v>46</v>
      </c>
      <c r="E328" s="28" t="s">
        <v>35</v>
      </c>
      <c r="F328" s="29">
        <v>949</v>
      </c>
      <c r="G328" s="30">
        <v>137</v>
      </c>
      <c r="H328" s="31">
        <v>101</v>
      </c>
      <c r="I328" s="32">
        <v>985</v>
      </c>
      <c r="J328" s="34">
        <v>73.7</v>
      </c>
    </row>
    <row r="329" spans="1:10" ht="15.75" customHeight="1">
      <c r="A329" s="14" t="s">
        <v>6</v>
      </c>
      <c r="B329" s="15">
        <v>46052</v>
      </c>
      <c r="C329" s="16" t="s">
        <v>47</v>
      </c>
      <c r="D329" s="17" t="s">
        <v>46</v>
      </c>
      <c r="E329" s="18" t="s">
        <v>29</v>
      </c>
      <c r="F329" s="19">
        <v>940</v>
      </c>
      <c r="G329" s="20">
        <v>90</v>
      </c>
      <c r="H329" s="21">
        <v>61</v>
      </c>
      <c r="I329" s="22">
        <v>969</v>
      </c>
      <c r="J329" s="23">
        <v>67.8</v>
      </c>
    </row>
    <row r="330" spans="1:10" ht="15.75" customHeight="1">
      <c r="A330" s="24" t="s">
        <v>6</v>
      </c>
      <c r="B330" s="25">
        <v>46052</v>
      </c>
      <c r="C330" s="26" t="s">
        <v>47</v>
      </c>
      <c r="D330" s="27" t="s">
        <v>46</v>
      </c>
      <c r="E330" s="28" t="s">
        <v>31</v>
      </c>
      <c r="F330" s="29">
        <v>1108</v>
      </c>
      <c r="G330" s="30">
        <v>130</v>
      </c>
      <c r="H330" s="31">
        <v>99</v>
      </c>
      <c r="I330" s="32">
        <v>1139</v>
      </c>
      <c r="J330" s="33">
        <v>76.2</v>
      </c>
    </row>
    <row r="331" spans="1:10" ht="15.75" customHeight="1">
      <c r="A331" s="14" t="s">
        <v>6</v>
      </c>
      <c r="B331" s="15">
        <v>46052</v>
      </c>
      <c r="C331" s="16" t="s">
        <v>47</v>
      </c>
      <c r="D331" s="17" t="s">
        <v>46</v>
      </c>
      <c r="E331" s="18" t="s">
        <v>33</v>
      </c>
      <c r="F331" s="19">
        <v>527</v>
      </c>
      <c r="G331" s="20">
        <v>79</v>
      </c>
      <c r="H331" s="21">
        <v>64</v>
      </c>
      <c r="I331" s="22">
        <v>542</v>
      </c>
      <c r="J331" s="35">
        <v>81</v>
      </c>
    </row>
    <row r="332" spans="1:10" ht="15.75" customHeight="1">
      <c r="A332" s="24" t="s">
        <v>6</v>
      </c>
      <c r="B332" s="25">
        <v>46052</v>
      </c>
      <c r="C332" s="26" t="s">
        <v>47</v>
      </c>
      <c r="D332" s="27" t="s">
        <v>46</v>
      </c>
      <c r="E332" s="28" t="s">
        <v>36</v>
      </c>
      <c r="F332" s="29">
        <v>1481</v>
      </c>
      <c r="G332" s="30">
        <v>120</v>
      </c>
      <c r="H332" s="31">
        <v>81</v>
      </c>
      <c r="I332" s="32">
        <v>1520</v>
      </c>
      <c r="J332" s="34">
        <v>67.5</v>
      </c>
    </row>
    <row r="333" spans="1:10" ht="15.75" customHeight="1">
      <c r="A333" s="36" t="s">
        <v>6</v>
      </c>
      <c r="B333" s="37">
        <v>46053</v>
      </c>
      <c r="C333" s="38" t="s">
        <v>48</v>
      </c>
      <c r="D333" s="39" t="s">
        <v>49</v>
      </c>
      <c r="E333" s="40" t="s">
        <v>26</v>
      </c>
      <c r="F333" s="41">
        <v>1252</v>
      </c>
      <c r="G333" s="42">
        <v>73</v>
      </c>
      <c r="H333" s="43">
        <v>61</v>
      </c>
      <c r="I333" s="44">
        <v>1264</v>
      </c>
      <c r="J333" s="45">
        <v>83.6</v>
      </c>
    </row>
    <row r="334" spans="1:10" ht="15.75" customHeight="1">
      <c r="A334" s="36" t="s">
        <v>6</v>
      </c>
      <c r="B334" s="37">
        <v>46053</v>
      </c>
      <c r="C334" s="38" t="s">
        <v>48</v>
      </c>
      <c r="D334" s="39" t="s">
        <v>49</v>
      </c>
      <c r="E334" s="40" t="s">
        <v>27</v>
      </c>
      <c r="F334" s="41">
        <v>904</v>
      </c>
      <c r="G334" s="42">
        <v>55</v>
      </c>
      <c r="H334" s="43">
        <v>45</v>
      </c>
      <c r="I334" s="44">
        <v>914</v>
      </c>
      <c r="J334" s="45">
        <v>81.8</v>
      </c>
    </row>
    <row r="335" spans="1:10" ht="15.75" customHeight="1">
      <c r="A335" s="36" t="s">
        <v>6</v>
      </c>
      <c r="B335" s="37">
        <v>46053</v>
      </c>
      <c r="C335" s="38" t="s">
        <v>48</v>
      </c>
      <c r="D335" s="39" t="s">
        <v>49</v>
      </c>
      <c r="E335" s="40" t="s">
        <v>30</v>
      </c>
      <c r="F335" s="41">
        <v>1300</v>
      </c>
      <c r="G335" s="42">
        <v>38</v>
      </c>
      <c r="H335" s="43">
        <v>28</v>
      </c>
      <c r="I335" s="44">
        <v>1310</v>
      </c>
      <c r="J335" s="46">
        <v>73.7</v>
      </c>
    </row>
    <row r="336" spans="1:10" ht="15.75" customHeight="1">
      <c r="A336" s="36" t="s">
        <v>6</v>
      </c>
      <c r="B336" s="37">
        <v>46053</v>
      </c>
      <c r="C336" s="38" t="s">
        <v>48</v>
      </c>
      <c r="D336" s="39" t="s">
        <v>49</v>
      </c>
      <c r="E336" s="40" t="s">
        <v>32</v>
      </c>
      <c r="F336" s="41">
        <v>785</v>
      </c>
      <c r="G336" s="42">
        <v>27</v>
      </c>
      <c r="H336" s="43">
        <v>20</v>
      </c>
      <c r="I336" s="44">
        <v>792</v>
      </c>
      <c r="J336" s="46">
        <v>74.099999999999994</v>
      </c>
    </row>
    <row r="337" spans="1:10" ht="15.75" customHeight="1">
      <c r="A337" s="36" t="s">
        <v>6</v>
      </c>
      <c r="B337" s="37">
        <v>46053</v>
      </c>
      <c r="C337" s="38" t="s">
        <v>48</v>
      </c>
      <c r="D337" s="39" t="s">
        <v>49</v>
      </c>
      <c r="E337" s="40" t="s">
        <v>34</v>
      </c>
      <c r="F337" s="41">
        <v>1201</v>
      </c>
      <c r="G337" s="42">
        <v>59</v>
      </c>
      <c r="H337" s="43">
        <v>44</v>
      </c>
      <c r="I337" s="44">
        <v>1216</v>
      </c>
      <c r="J337" s="46">
        <v>74.599999999999994</v>
      </c>
    </row>
    <row r="338" spans="1:10" ht="15.75" customHeight="1">
      <c r="A338" s="36" t="s">
        <v>6</v>
      </c>
      <c r="B338" s="37">
        <v>46053</v>
      </c>
      <c r="C338" s="38" t="s">
        <v>48</v>
      </c>
      <c r="D338" s="39" t="s">
        <v>49</v>
      </c>
      <c r="E338" s="40" t="s">
        <v>25</v>
      </c>
      <c r="F338" s="41">
        <v>862</v>
      </c>
      <c r="G338" s="42">
        <v>45</v>
      </c>
      <c r="H338" s="43">
        <v>36</v>
      </c>
      <c r="I338" s="44">
        <v>871</v>
      </c>
      <c r="J338" s="45">
        <v>80</v>
      </c>
    </row>
    <row r="339" spans="1:10" ht="15.75" customHeight="1">
      <c r="A339" s="36" t="s">
        <v>6</v>
      </c>
      <c r="B339" s="37">
        <v>46053</v>
      </c>
      <c r="C339" s="38" t="s">
        <v>48</v>
      </c>
      <c r="D339" s="39" t="s">
        <v>49</v>
      </c>
      <c r="E339" s="40" t="s">
        <v>35</v>
      </c>
      <c r="F339" s="41">
        <v>985</v>
      </c>
      <c r="G339" s="42">
        <v>51</v>
      </c>
      <c r="H339" s="43">
        <v>41</v>
      </c>
      <c r="I339" s="44">
        <v>995</v>
      </c>
      <c r="J339" s="45">
        <v>80.400000000000006</v>
      </c>
    </row>
    <row r="340" spans="1:10" ht="15.75" customHeight="1">
      <c r="A340" s="36" t="s">
        <v>6</v>
      </c>
      <c r="B340" s="37">
        <v>46053</v>
      </c>
      <c r="C340" s="38" t="s">
        <v>48</v>
      </c>
      <c r="D340" s="39" t="s">
        <v>49</v>
      </c>
      <c r="E340" s="40" t="s">
        <v>29</v>
      </c>
      <c r="F340" s="41">
        <v>969</v>
      </c>
      <c r="G340" s="42">
        <v>48</v>
      </c>
      <c r="H340" s="43">
        <v>32</v>
      </c>
      <c r="I340" s="44">
        <v>985</v>
      </c>
      <c r="J340" s="46">
        <v>66.7</v>
      </c>
    </row>
    <row r="341" spans="1:10" ht="15.75" customHeight="1">
      <c r="A341" s="36" t="s">
        <v>6</v>
      </c>
      <c r="B341" s="37">
        <v>46053</v>
      </c>
      <c r="C341" s="38" t="s">
        <v>48</v>
      </c>
      <c r="D341" s="39" t="s">
        <v>49</v>
      </c>
      <c r="E341" s="40" t="s">
        <v>31</v>
      </c>
      <c r="F341" s="41">
        <v>1139</v>
      </c>
      <c r="G341" s="42">
        <v>55</v>
      </c>
      <c r="H341" s="43">
        <v>44</v>
      </c>
      <c r="I341" s="44">
        <v>1150</v>
      </c>
      <c r="J341" s="45">
        <v>80</v>
      </c>
    </row>
    <row r="342" spans="1:10" ht="15.75" customHeight="1">
      <c r="A342" s="36" t="s">
        <v>6</v>
      </c>
      <c r="B342" s="37">
        <v>46053</v>
      </c>
      <c r="C342" s="38" t="s">
        <v>48</v>
      </c>
      <c r="D342" s="39" t="s">
        <v>49</v>
      </c>
      <c r="E342" s="40" t="s">
        <v>33</v>
      </c>
      <c r="F342" s="41">
        <v>542</v>
      </c>
      <c r="G342" s="42">
        <v>27</v>
      </c>
      <c r="H342" s="43">
        <v>21</v>
      </c>
      <c r="I342" s="44">
        <v>548</v>
      </c>
      <c r="J342" s="45">
        <v>77.8</v>
      </c>
    </row>
    <row r="343" spans="1:10" ht="15.75" customHeight="1">
      <c r="A343" s="36" t="s">
        <v>6</v>
      </c>
      <c r="B343" s="37">
        <v>46053</v>
      </c>
      <c r="C343" s="38" t="s">
        <v>48</v>
      </c>
      <c r="D343" s="39" t="s">
        <v>49</v>
      </c>
      <c r="E343" s="40" t="s">
        <v>36</v>
      </c>
      <c r="F343" s="41">
        <v>1520</v>
      </c>
      <c r="G343" s="42">
        <v>39</v>
      </c>
      <c r="H343" s="43">
        <v>30</v>
      </c>
      <c r="I343" s="44">
        <v>1529</v>
      </c>
      <c r="J343" s="45">
        <v>76.900000000000006</v>
      </c>
    </row>
    <row r="344" spans="1:10" ht="15.75" customHeight="1">
      <c r="A344" s="36" t="s">
        <v>7</v>
      </c>
      <c r="B344" s="37">
        <v>46054</v>
      </c>
      <c r="C344" s="38" t="s">
        <v>50</v>
      </c>
      <c r="D344" s="39" t="s">
        <v>49</v>
      </c>
      <c r="E344" s="40" t="s">
        <v>26</v>
      </c>
      <c r="F344" s="41">
        <v>1264</v>
      </c>
      <c r="G344" s="42">
        <v>50</v>
      </c>
      <c r="H344" s="43">
        <v>34</v>
      </c>
      <c r="I344" s="44">
        <v>1280</v>
      </c>
      <c r="J344" s="46">
        <v>68</v>
      </c>
    </row>
    <row r="345" spans="1:10" ht="15.75" customHeight="1">
      <c r="A345" s="36" t="s">
        <v>7</v>
      </c>
      <c r="B345" s="37">
        <v>46054</v>
      </c>
      <c r="C345" s="38" t="s">
        <v>50</v>
      </c>
      <c r="D345" s="39" t="s">
        <v>49</v>
      </c>
      <c r="E345" s="40" t="s">
        <v>27</v>
      </c>
      <c r="F345" s="41">
        <v>914</v>
      </c>
      <c r="G345" s="42">
        <v>48</v>
      </c>
      <c r="H345" s="43">
        <v>42</v>
      </c>
      <c r="I345" s="44">
        <v>920</v>
      </c>
      <c r="J345" s="45">
        <v>87.5</v>
      </c>
    </row>
    <row r="346" spans="1:10" ht="15.75" customHeight="1">
      <c r="A346" s="36" t="s">
        <v>7</v>
      </c>
      <c r="B346" s="37">
        <v>46054</v>
      </c>
      <c r="C346" s="38" t="s">
        <v>50</v>
      </c>
      <c r="D346" s="39" t="s">
        <v>49</v>
      </c>
      <c r="E346" s="40" t="s">
        <v>30</v>
      </c>
      <c r="F346" s="41">
        <v>1310</v>
      </c>
      <c r="G346" s="42">
        <v>66</v>
      </c>
      <c r="H346" s="43">
        <v>44</v>
      </c>
      <c r="I346" s="44">
        <v>1332</v>
      </c>
      <c r="J346" s="46">
        <v>66.7</v>
      </c>
    </row>
    <row r="347" spans="1:10" ht="15.75" customHeight="1">
      <c r="A347" s="36" t="s">
        <v>7</v>
      </c>
      <c r="B347" s="37">
        <v>46054</v>
      </c>
      <c r="C347" s="38" t="s">
        <v>50</v>
      </c>
      <c r="D347" s="39" t="s">
        <v>49</v>
      </c>
      <c r="E347" s="40" t="s">
        <v>32</v>
      </c>
      <c r="F347" s="41">
        <v>792</v>
      </c>
      <c r="G347" s="42">
        <v>38</v>
      </c>
      <c r="H347" s="43">
        <v>36</v>
      </c>
      <c r="I347" s="44">
        <v>794</v>
      </c>
      <c r="J347" s="45">
        <v>94.7</v>
      </c>
    </row>
    <row r="348" spans="1:10" ht="15.75" customHeight="1">
      <c r="A348" s="36" t="s">
        <v>7</v>
      </c>
      <c r="B348" s="37">
        <v>46054</v>
      </c>
      <c r="C348" s="38" t="s">
        <v>50</v>
      </c>
      <c r="D348" s="39" t="s">
        <v>49</v>
      </c>
      <c r="E348" s="40" t="s">
        <v>34</v>
      </c>
      <c r="F348" s="41">
        <v>1216</v>
      </c>
      <c r="G348" s="42">
        <v>88</v>
      </c>
      <c r="H348" s="43">
        <v>55</v>
      </c>
      <c r="I348" s="44">
        <v>1249</v>
      </c>
      <c r="J348" s="46">
        <v>62.5</v>
      </c>
    </row>
    <row r="349" spans="1:10" ht="15.75" customHeight="1">
      <c r="A349" s="36" t="s">
        <v>7</v>
      </c>
      <c r="B349" s="37">
        <v>46054</v>
      </c>
      <c r="C349" s="38" t="s">
        <v>50</v>
      </c>
      <c r="D349" s="39" t="s">
        <v>49</v>
      </c>
      <c r="E349" s="40" t="s">
        <v>25</v>
      </c>
      <c r="F349" s="41">
        <v>871</v>
      </c>
      <c r="G349" s="42">
        <v>50</v>
      </c>
      <c r="H349" s="43">
        <v>36</v>
      </c>
      <c r="I349" s="44">
        <v>885</v>
      </c>
      <c r="J349" s="46">
        <v>72</v>
      </c>
    </row>
    <row r="350" spans="1:10" ht="15.75" customHeight="1">
      <c r="A350" s="36" t="s">
        <v>7</v>
      </c>
      <c r="B350" s="37">
        <v>46054</v>
      </c>
      <c r="C350" s="38" t="s">
        <v>50</v>
      </c>
      <c r="D350" s="39" t="s">
        <v>49</v>
      </c>
      <c r="E350" s="40" t="s">
        <v>35</v>
      </c>
      <c r="F350" s="41">
        <v>995</v>
      </c>
      <c r="G350" s="42">
        <v>43</v>
      </c>
      <c r="H350" s="43">
        <v>35</v>
      </c>
      <c r="I350" s="44">
        <v>1003</v>
      </c>
      <c r="J350" s="45">
        <v>81.400000000000006</v>
      </c>
    </row>
    <row r="351" spans="1:10" ht="15.75" customHeight="1">
      <c r="A351" s="36" t="s">
        <v>7</v>
      </c>
      <c r="B351" s="37">
        <v>46054</v>
      </c>
      <c r="C351" s="38" t="s">
        <v>50</v>
      </c>
      <c r="D351" s="39" t="s">
        <v>49</v>
      </c>
      <c r="E351" s="40" t="s">
        <v>29</v>
      </c>
      <c r="F351" s="41">
        <v>985</v>
      </c>
      <c r="G351" s="42">
        <v>41</v>
      </c>
      <c r="H351" s="43">
        <v>34</v>
      </c>
      <c r="I351" s="44">
        <v>992</v>
      </c>
      <c r="J351" s="45">
        <v>82.9</v>
      </c>
    </row>
    <row r="352" spans="1:10" ht="15.75" customHeight="1">
      <c r="A352" s="36" t="s">
        <v>7</v>
      </c>
      <c r="B352" s="37">
        <v>46054</v>
      </c>
      <c r="C352" s="38" t="s">
        <v>50</v>
      </c>
      <c r="D352" s="39" t="s">
        <v>49</v>
      </c>
      <c r="E352" s="40" t="s">
        <v>31</v>
      </c>
      <c r="F352" s="41">
        <v>1150</v>
      </c>
      <c r="G352" s="42">
        <v>69</v>
      </c>
      <c r="H352" s="43">
        <v>47</v>
      </c>
      <c r="I352" s="44">
        <v>1172</v>
      </c>
      <c r="J352" s="46">
        <v>68.099999999999994</v>
      </c>
    </row>
    <row r="353" spans="1:10" ht="15.75" customHeight="1">
      <c r="A353" s="36" t="s">
        <v>7</v>
      </c>
      <c r="B353" s="37">
        <v>46054</v>
      </c>
      <c r="C353" s="38" t="s">
        <v>50</v>
      </c>
      <c r="D353" s="39" t="s">
        <v>49</v>
      </c>
      <c r="E353" s="40" t="s">
        <v>33</v>
      </c>
      <c r="F353" s="41">
        <v>548</v>
      </c>
      <c r="G353" s="42">
        <v>49</v>
      </c>
      <c r="H353" s="43">
        <v>42</v>
      </c>
      <c r="I353" s="44">
        <v>555</v>
      </c>
      <c r="J353" s="45">
        <v>85.7</v>
      </c>
    </row>
    <row r="354" spans="1:10" ht="15.75" customHeight="1">
      <c r="A354" s="36" t="s">
        <v>7</v>
      </c>
      <c r="B354" s="37">
        <v>46054</v>
      </c>
      <c r="C354" s="38" t="s">
        <v>50</v>
      </c>
      <c r="D354" s="39" t="s">
        <v>49</v>
      </c>
      <c r="E354" s="40" t="s">
        <v>36</v>
      </c>
      <c r="F354" s="41">
        <v>1529</v>
      </c>
      <c r="G354" s="42">
        <v>48</v>
      </c>
      <c r="H354" s="43">
        <v>32</v>
      </c>
      <c r="I354" s="44">
        <v>1545</v>
      </c>
      <c r="J354" s="46">
        <v>66.7</v>
      </c>
    </row>
    <row r="355" spans="1:10" ht="15.75" customHeight="1">
      <c r="A355" s="14" t="s">
        <v>7</v>
      </c>
      <c r="B355" s="15">
        <v>46055</v>
      </c>
      <c r="C355" s="16" t="s">
        <v>51</v>
      </c>
      <c r="D355" s="17" t="s">
        <v>46</v>
      </c>
      <c r="E355" s="18" t="s">
        <v>26</v>
      </c>
      <c r="F355" s="19">
        <v>1280</v>
      </c>
      <c r="G355" s="20">
        <v>117</v>
      </c>
      <c r="H355" s="21">
        <v>78</v>
      </c>
      <c r="I355" s="22">
        <v>1319</v>
      </c>
      <c r="J355" s="23">
        <v>66.7</v>
      </c>
    </row>
    <row r="356" spans="1:10" ht="15.75" customHeight="1">
      <c r="A356" s="24" t="s">
        <v>7</v>
      </c>
      <c r="B356" s="25">
        <v>46055</v>
      </c>
      <c r="C356" s="26" t="s">
        <v>51</v>
      </c>
      <c r="D356" s="27" t="s">
        <v>46</v>
      </c>
      <c r="E356" s="28" t="s">
        <v>27</v>
      </c>
      <c r="F356" s="29">
        <v>920</v>
      </c>
      <c r="G356" s="30">
        <v>111</v>
      </c>
      <c r="H356" s="31">
        <v>89</v>
      </c>
      <c r="I356" s="32">
        <v>942</v>
      </c>
      <c r="J356" s="33">
        <v>80.2</v>
      </c>
    </row>
    <row r="357" spans="1:10" ht="15.75" customHeight="1">
      <c r="A357" s="14" t="s">
        <v>7</v>
      </c>
      <c r="B357" s="15">
        <v>46055</v>
      </c>
      <c r="C357" s="16" t="s">
        <v>51</v>
      </c>
      <c r="D357" s="17" t="s">
        <v>46</v>
      </c>
      <c r="E357" s="18" t="s">
        <v>30</v>
      </c>
      <c r="F357" s="19">
        <v>1332</v>
      </c>
      <c r="G357" s="20">
        <v>149</v>
      </c>
      <c r="H357" s="21">
        <v>92</v>
      </c>
      <c r="I357" s="22">
        <v>1389</v>
      </c>
      <c r="J357" s="23">
        <v>61.7</v>
      </c>
    </row>
    <row r="358" spans="1:10" ht="15.75" customHeight="1">
      <c r="A358" s="24" t="s">
        <v>7</v>
      </c>
      <c r="B358" s="25">
        <v>46055</v>
      </c>
      <c r="C358" s="26" t="s">
        <v>51</v>
      </c>
      <c r="D358" s="27" t="s">
        <v>46</v>
      </c>
      <c r="E358" s="28" t="s">
        <v>32</v>
      </c>
      <c r="F358" s="29">
        <v>794</v>
      </c>
      <c r="G358" s="30">
        <v>118</v>
      </c>
      <c r="H358" s="31">
        <v>107</v>
      </c>
      <c r="I358" s="32">
        <v>805</v>
      </c>
      <c r="J358" s="33">
        <v>90.7</v>
      </c>
    </row>
    <row r="359" spans="1:10" ht="15.75" customHeight="1">
      <c r="A359" s="14" t="s">
        <v>7</v>
      </c>
      <c r="B359" s="15">
        <v>46055</v>
      </c>
      <c r="C359" s="16" t="s">
        <v>51</v>
      </c>
      <c r="D359" s="17" t="s">
        <v>46</v>
      </c>
      <c r="E359" s="18" t="s">
        <v>34</v>
      </c>
      <c r="F359" s="19">
        <v>1249</v>
      </c>
      <c r="G359" s="20">
        <v>141</v>
      </c>
      <c r="H359" s="21">
        <v>99</v>
      </c>
      <c r="I359" s="22">
        <v>1291</v>
      </c>
      <c r="J359" s="23">
        <v>70.2</v>
      </c>
    </row>
    <row r="360" spans="1:10" ht="15.75" customHeight="1">
      <c r="A360" s="24" t="s">
        <v>7</v>
      </c>
      <c r="B360" s="25">
        <v>46055</v>
      </c>
      <c r="C360" s="26" t="s">
        <v>51</v>
      </c>
      <c r="D360" s="27" t="s">
        <v>46</v>
      </c>
      <c r="E360" s="28" t="s">
        <v>25</v>
      </c>
      <c r="F360" s="29">
        <v>885</v>
      </c>
      <c r="G360" s="30">
        <v>86</v>
      </c>
      <c r="H360" s="31">
        <v>74</v>
      </c>
      <c r="I360" s="32">
        <v>897</v>
      </c>
      <c r="J360" s="33">
        <v>86</v>
      </c>
    </row>
    <row r="361" spans="1:10" ht="15.75" customHeight="1">
      <c r="A361" s="14" t="s">
        <v>7</v>
      </c>
      <c r="B361" s="15">
        <v>46055</v>
      </c>
      <c r="C361" s="16" t="s">
        <v>51</v>
      </c>
      <c r="D361" s="17" t="s">
        <v>46</v>
      </c>
      <c r="E361" s="18" t="s">
        <v>35</v>
      </c>
      <c r="F361" s="19">
        <v>1003</v>
      </c>
      <c r="G361" s="20">
        <v>91</v>
      </c>
      <c r="H361" s="21">
        <v>72</v>
      </c>
      <c r="I361" s="22">
        <v>1022</v>
      </c>
      <c r="J361" s="35">
        <v>79.099999999999994</v>
      </c>
    </row>
    <row r="362" spans="1:10" ht="15.75" customHeight="1">
      <c r="A362" s="24" t="s">
        <v>7</v>
      </c>
      <c r="B362" s="25">
        <v>46055</v>
      </c>
      <c r="C362" s="26" t="s">
        <v>51</v>
      </c>
      <c r="D362" s="27" t="s">
        <v>46</v>
      </c>
      <c r="E362" s="28" t="s">
        <v>29</v>
      </c>
      <c r="F362" s="29">
        <v>992</v>
      </c>
      <c r="G362" s="30">
        <v>114</v>
      </c>
      <c r="H362" s="31">
        <v>76</v>
      </c>
      <c r="I362" s="32">
        <v>1030</v>
      </c>
      <c r="J362" s="34">
        <v>66.7</v>
      </c>
    </row>
    <row r="363" spans="1:10" ht="15.75" customHeight="1">
      <c r="A363" s="14" t="s">
        <v>7</v>
      </c>
      <c r="B363" s="15">
        <v>46055</v>
      </c>
      <c r="C363" s="16" t="s">
        <v>51</v>
      </c>
      <c r="D363" s="17" t="s">
        <v>46</v>
      </c>
      <c r="E363" s="18" t="s">
        <v>31</v>
      </c>
      <c r="F363" s="19">
        <v>1172</v>
      </c>
      <c r="G363" s="20">
        <v>105</v>
      </c>
      <c r="H363" s="21">
        <v>80</v>
      </c>
      <c r="I363" s="22">
        <v>1197</v>
      </c>
      <c r="J363" s="35">
        <v>76.2</v>
      </c>
    </row>
    <row r="364" spans="1:10" ht="15.75" customHeight="1">
      <c r="A364" s="24" t="s">
        <v>7</v>
      </c>
      <c r="B364" s="25">
        <v>46055</v>
      </c>
      <c r="C364" s="26" t="s">
        <v>51</v>
      </c>
      <c r="D364" s="27" t="s">
        <v>46</v>
      </c>
      <c r="E364" s="28" t="s">
        <v>33</v>
      </c>
      <c r="F364" s="29">
        <v>555</v>
      </c>
      <c r="G364" s="30">
        <v>105</v>
      </c>
      <c r="H364" s="31">
        <v>97</v>
      </c>
      <c r="I364" s="32">
        <v>563</v>
      </c>
      <c r="J364" s="33">
        <v>92.4</v>
      </c>
    </row>
    <row r="365" spans="1:10" ht="15.75" customHeight="1">
      <c r="A365" s="14" t="s">
        <v>7</v>
      </c>
      <c r="B365" s="15">
        <v>46055</v>
      </c>
      <c r="C365" s="16" t="s">
        <v>51</v>
      </c>
      <c r="D365" s="17" t="s">
        <v>46</v>
      </c>
      <c r="E365" s="18" t="s">
        <v>36</v>
      </c>
      <c r="F365" s="19">
        <v>1545</v>
      </c>
      <c r="G365" s="20">
        <v>151</v>
      </c>
      <c r="H365" s="21">
        <v>113</v>
      </c>
      <c r="I365" s="22">
        <v>1583</v>
      </c>
      <c r="J365" s="23">
        <v>74.8</v>
      </c>
    </row>
    <row r="366" spans="1:10" ht="15.75" customHeight="1">
      <c r="A366" s="24" t="s">
        <v>7</v>
      </c>
      <c r="B366" s="25">
        <v>46056</v>
      </c>
      <c r="C366" s="26" t="s">
        <v>52</v>
      </c>
      <c r="D366" s="27" t="s">
        <v>46</v>
      </c>
      <c r="E366" s="28" t="s">
        <v>26</v>
      </c>
      <c r="F366" s="29">
        <v>1319</v>
      </c>
      <c r="G366" s="30">
        <v>90</v>
      </c>
      <c r="H366" s="31">
        <v>76</v>
      </c>
      <c r="I366" s="32">
        <v>1333</v>
      </c>
      <c r="J366" s="33">
        <v>84.4</v>
      </c>
    </row>
    <row r="367" spans="1:10" ht="15.75" customHeight="1">
      <c r="A367" s="14" t="s">
        <v>7</v>
      </c>
      <c r="B367" s="15">
        <v>46056</v>
      </c>
      <c r="C367" s="16" t="s">
        <v>52</v>
      </c>
      <c r="D367" s="17" t="s">
        <v>46</v>
      </c>
      <c r="E367" s="18" t="s">
        <v>27</v>
      </c>
      <c r="F367" s="19">
        <v>942</v>
      </c>
      <c r="G367" s="20">
        <v>94</v>
      </c>
      <c r="H367" s="21">
        <v>82</v>
      </c>
      <c r="I367" s="22">
        <v>954</v>
      </c>
      <c r="J367" s="35">
        <v>87.2</v>
      </c>
    </row>
    <row r="368" spans="1:10" ht="15.75" customHeight="1">
      <c r="A368" s="24" t="s">
        <v>7</v>
      </c>
      <c r="B368" s="25">
        <v>46056</v>
      </c>
      <c r="C368" s="26" t="s">
        <v>52</v>
      </c>
      <c r="D368" s="27" t="s">
        <v>46</v>
      </c>
      <c r="E368" s="28" t="s">
        <v>30</v>
      </c>
      <c r="F368" s="29">
        <v>1389</v>
      </c>
      <c r="G368" s="30">
        <v>98</v>
      </c>
      <c r="H368" s="31">
        <v>69</v>
      </c>
      <c r="I368" s="32">
        <v>1418</v>
      </c>
      <c r="J368" s="34">
        <v>70.400000000000006</v>
      </c>
    </row>
    <row r="369" spans="1:10" ht="15.75" customHeight="1">
      <c r="A369" s="14" t="s">
        <v>7</v>
      </c>
      <c r="B369" s="15">
        <v>46056</v>
      </c>
      <c r="C369" s="16" t="s">
        <v>52</v>
      </c>
      <c r="D369" s="17" t="s">
        <v>46</v>
      </c>
      <c r="E369" s="18" t="s">
        <v>32</v>
      </c>
      <c r="F369" s="19">
        <v>805</v>
      </c>
      <c r="G369" s="20">
        <v>89</v>
      </c>
      <c r="H369" s="21">
        <v>70</v>
      </c>
      <c r="I369" s="22">
        <v>824</v>
      </c>
      <c r="J369" s="35">
        <v>78.7</v>
      </c>
    </row>
    <row r="370" spans="1:10" ht="15.75" customHeight="1">
      <c r="A370" s="24" t="s">
        <v>7</v>
      </c>
      <c r="B370" s="25">
        <v>46056</v>
      </c>
      <c r="C370" s="26" t="s">
        <v>52</v>
      </c>
      <c r="D370" s="27" t="s">
        <v>46</v>
      </c>
      <c r="E370" s="28" t="s">
        <v>34</v>
      </c>
      <c r="F370" s="29">
        <v>1291</v>
      </c>
      <c r="G370" s="30">
        <v>121</v>
      </c>
      <c r="H370" s="31">
        <v>86</v>
      </c>
      <c r="I370" s="32">
        <v>1326</v>
      </c>
      <c r="J370" s="34">
        <v>71.099999999999994</v>
      </c>
    </row>
    <row r="371" spans="1:10" ht="15.75" customHeight="1">
      <c r="A371" s="14" t="s">
        <v>7</v>
      </c>
      <c r="B371" s="15">
        <v>46056</v>
      </c>
      <c r="C371" s="16" t="s">
        <v>52</v>
      </c>
      <c r="D371" s="17" t="s">
        <v>46</v>
      </c>
      <c r="E371" s="18" t="s">
        <v>25</v>
      </c>
      <c r="F371" s="19">
        <v>897</v>
      </c>
      <c r="G371" s="20">
        <v>94</v>
      </c>
      <c r="H371" s="21">
        <v>81</v>
      </c>
      <c r="I371" s="22">
        <v>910</v>
      </c>
      <c r="J371" s="35">
        <v>86.2</v>
      </c>
    </row>
    <row r="372" spans="1:10" ht="15.75" customHeight="1">
      <c r="A372" s="24" t="s">
        <v>7</v>
      </c>
      <c r="B372" s="25">
        <v>46056</v>
      </c>
      <c r="C372" s="26" t="s">
        <v>52</v>
      </c>
      <c r="D372" s="27" t="s">
        <v>46</v>
      </c>
      <c r="E372" s="28" t="s">
        <v>35</v>
      </c>
      <c r="F372" s="29">
        <v>1022</v>
      </c>
      <c r="G372" s="30">
        <v>91</v>
      </c>
      <c r="H372" s="31">
        <v>69</v>
      </c>
      <c r="I372" s="32">
        <v>1044</v>
      </c>
      <c r="J372" s="33">
        <v>75.8</v>
      </c>
    </row>
    <row r="373" spans="1:10" ht="15.75" customHeight="1">
      <c r="A373" s="14" t="s">
        <v>7</v>
      </c>
      <c r="B373" s="15">
        <v>46056</v>
      </c>
      <c r="C373" s="16" t="s">
        <v>52</v>
      </c>
      <c r="D373" s="17" t="s">
        <v>46</v>
      </c>
      <c r="E373" s="18" t="s">
        <v>29</v>
      </c>
      <c r="F373" s="19">
        <v>1030</v>
      </c>
      <c r="G373" s="20">
        <v>116</v>
      </c>
      <c r="H373" s="21">
        <v>85</v>
      </c>
      <c r="I373" s="22">
        <v>1061</v>
      </c>
      <c r="J373" s="23">
        <v>73.3</v>
      </c>
    </row>
    <row r="374" spans="1:10" ht="15.75" customHeight="1">
      <c r="A374" s="24" t="s">
        <v>7</v>
      </c>
      <c r="B374" s="25">
        <v>46056</v>
      </c>
      <c r="C374" s="26" t="s">
        <v>52</v>
      </c>
      <c r="D374" s="27" t="s">
        <v>46</v>
      </c>
      <c r="E374" s="28" t="s">
        <v>31</v>
      </c>
      <c r="F374" s="29">
        <v>1197</v>
      </c>
      <c r="G374" s="30">
        <v>138</v>
      </c>
      <c r="H374" s="31">
        <v>92</v>
      </c>
      <c r="I374" s="32">
        <v>1243</v>
      </c>
      <c r="J374" s="34">
        <v>66.7</v>
      </c>
    </row>
    <row r="375" spans="1:10" ht="15.75" customHeight="1">
      <c r="A375" s="14" t="s">
        <v>7</v>
      </c>
      <c r="B375" s="15">
        <v>46056</v>
      </c>
      <c r="C375" s="16" t="s">
        <v>52</v>
      </c>
      <c r="D375" s="17" t="s">
        <v>46</v>
      </c>
      <c r="E375" s="18" t="s">
        <v>33</v>
      </c>
      <c r="F375" s="19">
        <v>563</v>
      </c>
      <c r="G375" s="20">
        <v>65</v>
      </c>
      <c r="H375" s="21">
        <v>57</v>
      </c>
      <c r="I375" s="22">
        <v>571</v>
      </c>
      <c r="J375" s="35">
        <v>87.7</v>
      </c>
    </row>
    <row r="376" spans="1:10" ht="15.75" customHeight="1">
      <c r="A376" s="24" t="s">
        <v>7</v>
      </c>
      <c r="B376" s="25">
        <v>46056</v>
      </c>
      <c r="C376" s="26" t="s">
        <v>52</v>
      </c>
      <c r="D376" s="27" t="s">
        <v>46</v>
      </c>
      <c r="E376" s="28" t="s">
        <v>36</v>
      </c>
      <c r="F376" s="29">
        <v>1583</v>
      </c>
      <c r="G376" s="30">
        <v>129</v>
      </c>
      <c r="H376" s="31">
        <v>97</v>
      </c>
      <c r="I376" s="32">
        <v>1615</v>
      </c>
      <c r="J376" s="33">
        <v>75.2</v>
      </c>
    </row>
    <row r="377" spans="1:10" ht="15.75" customHeight="1">
      <c r="A377" s="14" t="s">
        <v>7</v>
      </c>
      <c r="B377" s="15">
        <v>46057</v>
      </c>
      <c r="C377" s="16" t="s">
        <v>53</v>
      </c>
      <c r="D377" s="17" t="s">
        <v>46</v>
      </c>
      <c r="E377" s="18" t="s">
        <v>26</v>
      </c>
      <c r="F377" s="19">
        <v>1333</v>
      </c>
      <c r="G377" s="20">
        <v>104</v>
      </c>
      <c r="H377" s="21">
        <v>86</v>
      </c>
      <c r="I377" s="22">
        <v>1351</v>
      </c>
      <c r="J377" s="35">
        <v>82.7</v>
      </c>
    </row>
    <row r="378" spans="1:10" ht="15.75" customHeight="1">
      <c r="A378" s="24" t="s">
        <v>7</v>
      </c>
      <c r="B378" s="25">
        <v>46057</v>
      </c>
      <c r="C378" s="26" t="s">
        <v>53</v>
      </c>
      <c r="D378" s="27" t="s">
        <v>46</v>
      </c>
      <c r="E378" s="28" t="s">
        <v>27</v>
      </c>
      <c r="F378" s="29">
        <v>954</v>
      </c>
      <c r="G378" s="30">
        <v>98</v>
      </c>
      <c r="H378" s="31">
        <v>68</v>
      </c>
      <c r="I378" s="32">
        <v>984</v>
      </c>
      <c r="J378" s="34">
        <v>69.400000000000006</v>
      </c>
    </row>
    <row r="379" spans="1:10" ht="15.75" customHeight="1">
      <c r="A379" s="14" t="s">
        <v>7</v>
      </c>
      <c r="B379" s="15">
        <v>46057</v>
      </c>
      <c r="C379" s="16" t="s">
        <v>53</v>
      </c>
      <c r="D379" s="17" t="s">
        <v>46</v>
      </c>
      <c r="E379" s="18" t="s">
        <v>30</v>
      </c>
      <c r="F379" s="19">
        <v>1418</v>
      </c>
      <c r="G379" s="20">
        <v>113</v>
      </c>
      <c r="H379" s="21">
        <v>72</v>
      </c>
      <c r="I379" s="22">
        <v>1459</v>
      </c>
      <c r="J379" s="23">
        <v>63.7</v>
      </c>
    </row>
    <row r="380" spans="1:10" ht="15.75" customHeight="1">
      <c r="A380" s="24" t="s">
        <v>7</v>
      </c>
      <c r="B380" s="25">
        <v>46057</v>
      </c>
      <c r="C380" s="26" t="s">
        <v>53</v>
      </c>
      <c r="D380" s="27" t="s">
        <v>46</v>
      </c>
      <c r="E380" s="28" t="s">
        <v>32</v>
      </c>
      <c r="F380" s="29">
        <v>824</v>
      </c>
      <c r="G380" s="30">
        <v>109</v>
      </c>
      <c r="H380" s="31">
        <v>91</v>
      </c>
      <c r="I380" s="32">
        <v>842</v>
      </c>
      <c r="J380" s="33">
        <v>83.5</v>
      </c>
    </row>
    <row r="381" spans="1:10" ht="15.75" customHeight="1">
      <c r="A381" s="14" t="s">
        <v>7</v>
      </c>
      <c r="B381" s="15">
        <v>46057</v>
      </c>
      <c r="C381" s="16" t="s">
        <v>53</v>
      </c>
      <c r="D381" s="17" t="s">
        <v>46</v>
      </c>
      <c r="E381" s="18" t="s">
        <v>34</v>
      </c>
      <c r="F381" s="19">
        <v>1326</v>
      </c>
      <c r="G381" s="20">
        <v>179</v>
      </c>
      <c r="H381" s="21">
        <v>120</v>
      </c>
      <c r="I381" s="22">
        <v>1385</v>
      </c>
      <c r="J381" s="23">
        <v>67</v>
      </c>
    </row>
    <row r="382" spans="1:10" ht="15.75" customHeight="1">
      <c r="A382" s="24" t="s">
        <v>7</v>
      </c>
      <c r="B382" s="25">
        <v>46057</v>
      </c>
      <c r="C382" s="26" t="s">
        <v>53</v>
      </c>
      <c r="D382" s="27" t="s">
        <v>46</v>
      </c>
      <c r="E382" s="28" t="s">
        <v>25</v>
      </c>
      <c r="F382" s="29">
        <v>910</v>
      </c>
      <c r="G382" s="30">
        <v>70</v>
      </c>
      <c r="H382" s="31">
        <v>47</v>
      </c>
      <c r="I382" s="32">
        <v>933</v>
      </c>
      <c r="J382" s="34">
        <v>67.099999999999994</v>
      </c>
    </row>
    <row r="383" spans="1:10" ht="15.75" customHeight="1">
      <c r="A383" s="14" t="s">
        <v>7</v>
      </c>
      <c r="B383" s="15">
        <v>46057</v>
      </c>
      <c r="C383" s="16" t="s">
        <v>53</v>
      </c>
      <c r="D383" s="17" t="s">
        <v>46</v>
      </c>
      <c r="E383" s="18" t="s">
        <v>35</v>
      </c>
      <c r="F383" s="19">
        <v>1044</v>
      </c>
      <c r="G383" s="20">
        <v>87</v>
      </c>
      <c r="H383" s="21">
        <v>69</v>
      </c>
      <c r="I383" s="22">
        <v>1062</v>
      </c>
      <c r="J383" s="35">
        <v>79.3</v>
      </c>
    </row>
    <row r="384" spans="1:10" ht="15.75" customHeight="1">
      <c r="A384" s="24" t="s">
        <v>7</v>
      </c>
      <c r="B384" s="25">
        <v>46057</v>
      </c>
      <c r="C384" s="26" t="s">
        <v>53</v>
      </c>
      <c r="D384" s="27" t="s">
        <v>46</v>
      </c>
      <c r="E384" s="28" t="s">
        <v>29</v>
      </c>
      <c r="F384" s="29">
        <v>1061</v>
      </c>
      <c r="G384" s="30">
        <v>67</v>
      </c>
      <c r="H384" s="31">
        <v>49</v>
      </c>
      <c r="I384" s="32">
        <v>1079</v>
      </c>
      <c r="J384" s="34">
        <v>73.099999999999994</v>
      </c>
    </row>
    <row r="385" spans="1:10" ht="15.75" customHeight="1">
      <c r="A385" s="14" t="s">
        <v>7</v>
      </c>
      <c r="B385" s="15">
        <v>46057</v>
      </c>
      <c r="C385" s="16" t="s">
        <v>53</v>
      </c>
      <c r="D385" s="17" t="s">
        <v>46</v>
      </c>
      <c r="E385" s="18" t="s">
        <v>31</v>
      </c>
      <c r="F385" s="19">
        <v>1243</v>
      </c>
      <c r="G385" s="20">
        <v>112</v>
      </c>
      <c r="H385" s="21">
        <v>73</v>
      </c>
      <c r="I385" s="22">
        <v>1282</v>
      </c>
      <c r="J385" s="23">
        <v>65.2</v>
      </c>
    </row>
    <row r="386" spans="1:10" ht="15.75" customHeight="1">
      <c r="A386" s="24" t="s">
        <v>7</v>
      </c>
      <c r="B386" s="25">
        <v>46057</v>
      </c>
      <c r="C386" s="26" t="s">
        <v>53</v>
      </c>
      <c r="D386" s="27" t="s">
        <v>46</v>
      </c>
      <c r="E386" s="28" t="s">
        <v>33</v>
      </c>
      <c r="F386" s="29">
        <v>571</v>
      </c>
      <c r="G386" s="30">
        <v>66</v>
      </c>
      <c r="H386" s="31">
        <v>58</v>
      </c>
      <c r="I386" s="32">
        <v>579</v>
      </c>
      <c r="J386" s="33">
        <v>87.9</v>
      </c>
    </row>
    <row r="387" spans="1:10" ht="15.75" customHeight="1">
      <c r="A387" s="14" t="s">
        <v>7</v>
      </c>
      <c r="B387" s="15">
        <v>46057</v>
      </c>
      <c r="C387" s="16" t="s">
        <v>53</v>
      </c>
      <c r="D387" s="17" t="s">
        <v>46</v>
      </c>
      <c r="E387" s="18" t="s">
        <v>36</v>
      </c>
      <c r="F387" s="19">
        <v>1615</v>
      </c>
      <c r="G387" s="20">
        <v>150</v>
      </c>
      <c r="H387" s="21">
        <v>96</v>
      </c>
      <c r="I387" s="22">
        <v>1669</v>
      </c>
      <c r="J387" s="23">
        <v>64</v>
      </c>
    </row>
    <row r="388" spans="1:10" ht="15.75" customHeight="1">
      <c r="A388" s="24" t="s">
        <v>7</v>
      </c>
      <c r="B388" s="25">
        <v>46058</v>
      </c>
      <c r="C388" s="26" t="s">
        <v>45</v>
      </c>
      <c r="D388" s="27" t="s">
        <v>46</v>
      </c>
      <c r="E388" s="28" t="s">
        <v>26</v>
      </c>
      <c r="F388" s="29">
        <v>1351</v>
      </c>
      <c r="G388" s="30">
        <v>99</v>
      </c>
      <c r="H388" s="31">
        <v>71</v>
      </c>
      <c r="I388" s="32">
        <v>1379</v>
      </c>
      <c r="J388" s="34">
        <v>71.7</v>
      </c>
    </row>
    <row r="389" spans="1:10" ht="15.75" customHeight="1">
      <c r="A389" s="14" t="s">
        <v>7</v>
      </c>
      <c r="B389" s="15">
        <v>46058</v>
      </c>
      <c r="C389" s="16" t="s">
        <v>45</v>
      </c>
      <c r="D389" s="17" t="s">
        <v>46</v>
      </c>
      <c r="E389" s="18" t="s">
        <v>27</v>
      </c>
      <c r="F389" s="19">
        <v>984</v>
      </c>
      <c r="G389" s="20">
        <v>113</v>
      </c>
      <c r="H389" s="21">
        <v>88</v>
      </c>
      <c r="I389" s="22">
        <v>1009</v>
      </c>
      <c r="J389" s="35">
        <v>77.900000000000006</v>
      </c>
    </row>
    <row r="390" spans="1:10" ht="15.75" customHeight="1">
      <c r="A390" s="24" t="s">
        <v>7</v>
      </c>
      <c r="B390" s="25">
        <v>46058</v>
      </c>
      <c r="C390" s="26" t="s">
        <v>45</v>
      </c>
      <c r="D390" s="27" t="s">
        <v>46</v>
      </c>
      <c r="E390" s="28" t="s">
        <v>30</v>
      </c>
      <c r="F390" s="29">
        <v>1459</v>
      </c>
      <c r="G390" s="30">
        <v>111</v>
      </c>
      <c r="H390" s="31">
        <v>80</v>
      </c>
      <c r="I390" s="32">
        <v>1490</v>
      </c>
      <c r="J390" s="34">
        <v>72.099999999999994</v>
      </c>
    </row>
    <row r="391" spans="1:10" ht="15.75" customHeight="1">
      <c r="A391" s="14" t="s">
        <v>7</v>
      </c>
      <c r="B391" s="15">
        <v>46058</v>
      </c>
      <c r="C391" s="16" t="s">
        <v>45</v>
      </c>
      <c r="D391" s="17" t="s">
        <v>46</v>
      </c>
      <c r="E391" s="18" t="s">
        <v>32</v>
      </c>
      <c r="F391" s="19">
        <v>842</v>
      </c>
      <c r="G391" s="20">
        <v>108</v>
      </c>
      <c r="H391" s="21">
        <v>85</v>
      </c>
      <c r="I391" s="22">
        <v>865</v>
      </c>
      <c r="J391" s="35">
        <v>78.7</v>
      </c>
    </row>
    <row r="392" spans="1:10" ht="15.75" customHeight="1">
      <c r="A392" s="24" t="s">
        <v>7</v>
      </c>
      <c r="B392" s="25">
        <v>46058</v>
      </c>
      <c r="C392" s="26" t="s">
        <v>45</v>
      </c>
      <c r="D392" s="27" t="s">
        <v>46</v>
      </c>
      <c r="E392" s="28" t="s">
        <v>34</v>
      </c>
      <c r="F392" s="29">
        <v>1385</v>
      </c>
      <c r="G392" s="30">
        <v>174</v>
      </c>
      <c r="H392" s="31">
        <v>130</v>
      </c>
      <c r="I392" s="32">
        <v>1429</v>
      </c>
      <c r="J392" s="34">
        <v>74.7</v>
      </c>
    </row>
    <row r="393" spans="1:10" ht="15.75" customHeight="1">
      <c r="A393" s="14" t="s">
        <v>7</v>
      </c>
      <c r="B393" s="15">
        <v>46058</v>
      </c>
      <c r="C393" s="16" t="s">
        <v>45</v>
      </c>
      <c r="D393" s="17" t="s">
        <v>46</v>
      </c>
      <c r="E393" s="18" t="s">
        <v>25</v>
      </c>
      <c r="F393" s="19">
        <v>933</v>
      </c>
      <c r="G393" s="20">
        <v>97</v>
      </c>
      <c r="H393" s="21">
        <v>77</v>
      </c>
      <c r="I393" s="22">
        <v>953</v>
      </c>
      <c r="J393" s="35">
        <v>79.400000000000006</v>
      </c>
    </row>
    <row r="394" spans="1:10" ht="15.75" customHeight="1">
      <c r="A394" s="24" t="s">
        <v>7</v>
      </c>
      <c r="B394" s="25">
        <v>46058</v>
      </c>
      <c r="C394" s="26" t="s">
        <v>45</v>
      </c>
      <c r="D394" s="27" t="s">
        <v>46</v>
      </c>
      <c r="E394" s="28" t="s">
        <v>35</v>
      </c>
      <c r="F394" s="29">
        <v>1062</v>
      </c>
      <c r="G394" s="30">
        <v>77</v>
      </c>
      <c r="H394" s="31">
        <v>70</v>
      </c>
      <c r="I394" s="32">
        <v>1069</v>
      </c>
      <c r="J394" s="33">
        <v>90.9</v>
      </c>
    </row>
    <row r="395" spans="1:10" ht="15.75" customHeight="1">
      <c r="A395" s="14" t="s">
        <v>7</v>
      </c>
      <c r="B395" s="15">
        <v>46058</v>
      </c>
      <c r="C395" s="16" t="s">
        <v>45</v>
      </c>
      <c r="D395" s="17" t="s">
        <v>46</v>
      </c>
      <c r="E395" s="18" t="s">
        <v>29</v>
      </c>
      <c r="F395" s="19">
        <v>1079</v>
      </c>
      <c r="G395" s="20">
        <v>84</v>
      </c>
      <c r="H395" s="21">
        <v>68</v>
      </c>
      <c r="I395" s="22">
        <v>1095</v>
      </c>
      <c r="J395" s="35">
        <v>81</v>
      </c>
    </row>
    <row r="396" spans="1:10" ht="15.75" customHeight="1">
      <c r="A396" s="24" t="s">
        <v>7</v>
      </c>
      <c r="B396" s="25">
        <v>46058</v>
      </c>
      <c r="C396" s="26" t="s">
        <v>45</v>
      </c>
      <c r="D396" s="27" t="s">
        <v>46</v>
      </c>
      <c r="E396" s="28" t="s">
        <v>31</v>
      </c>
      <c r="F396" s="29">
        <v>1282</v>
      </c>
      <c r="G396" s="30">
        <v>140</v>
      </c>
      <c r="H396" s="31">
        <v>112</v>
      </c>
      <c r="I396" s="32">
        <v>1310</v>
      </c>
      <c r="J396" s="33">
        <v>80</v>
      </c>
    </row>
    <row r="397" spans="1:10" ht="15.75" customHeight="1">
      <c r="A397" s="14" t="s">
        <v>7</v>
      </c>
      <c r="B397" s="15">
        <v>46058</v>
      </c>
      <c r="C397" s="16" t="s">
        <v>45</v>
      </c>
      <c r="D397" s="17" t="s">
        <v>46</v>
      </c>
      <c r="E397" s="18" t="s">
        <v>33</v>
      </c>
      <c r="F397" s="19">
        <v>579</v>
      </c>
      <c r="G397" s="20">
        <v>93</v>
      </c>
      <c r="H397" s="21">
        <v>77</v>
      </c>
      <c r="I397" s="22">
        <v>595</v>
      </c>
      <c r="J397" s="35">
        <v>82.8</v>
      </c>
    </row>
    <row r="398" spans="1:10" ht="15.75" customHeight="1">
      <c r="A398" s="24" t="s">
        <v>7</v>
      </c>
      <c r="B398" s="25">
        <v>46058</v>
      </c>
      <c r="C398" s="26" t="s">
        <v>45</v>
      </c>
      <c r="D398" s="27" t="s">
        <v>46</v>
      </c>
      <c r="E398" s="28" t="s">
        <v>36</v>
      </c>
      <c r="F398" s="29">
        <v>1669</v>
      </c>
      <c r="G398" s="30">
        <v>167</v>
      </c>
      <c r="H398" s="31">
        <v>110</v>
      </c>
      <c r="I398" s="32">
        <v>1726</v>
      </c>
      <c r="J398" s="34">
        <v>65.900000000000006</v>
      </c>
    </row>
    <row r="399" spans="1:10" ht="15.75" customHeight="1">
      <c r="A399" s="14" t="s">
        <v>7</v>
      </c>
      <c r="B399" s="15">
        <v>46059</v>
      </c>
      <c r="C399" s="16" t="s">
        <v>47</v>
      </c>
      <c r="D399" s="17" t="s">
        <v>46</v>
      </c>
      <c r="E399" s="18" t="s">
        <v>26</v>
      </c>
      <c r="F399" s="19">
        <v>1379</v>
      </c>
      <c r="G399" s="20">
        <v>105</v>
      </c>
      <c r="H399" s="21">
        <v>73</v>
      </c>
      <c r="I399" s="22">
        <v>1411</v>
      </c>
      <c r="J399" s="23">
        <v>69.5</v>
      </c>
    </row>
    <row r="400" spans="1:10" ht="15.75" customHeight="1">
      <c r="A400" s="24" t="s">
        <v>7</v>
      </c>
      <c r="B400" s="25">
        <v>46059</v>
      </c>
      <c r="C400" s="26" t="s">
        <v>47</v>
      </c>
      <c r="D400" s="27" t="s">
        <v>46</v>
      </c>
      <c r="E400" s="28" t="s">
        <v>27</v>
      </c>
      <c r="F400" s="29">
        <v>1009</v>
      </c>
      <c r="G400" s="30">
        <v>103</v>
      </c>
      <c r="H400" s="31">
        <v>77</v>
      </c>
      <c r="I400" s="32">
        <v>1035</v>
      </c>
      <c r="J400" s="34">
        <v>74.8</v>
      </c>
    </row>
    <row r="401" spans="1:10" ht="15.75" customHeight="1">
      <c r="A401" s="14" t="s">
        <v>7</v>
      </c>
      <c r="B401" s="15">
        <v>46059</v>
      </c>
      <c r="C401" s="16" t="s">
        <v>47</v>
      </c>
      <c r="D401" s="17" t="s">
        <v>46</v>
      </c>
      <c r="E401" s="18" t="s">
        <v>30</v>
      </c>
      <c r="F401" s="19">
        <v>1490</v>
      </c>
      <c r="G401" s="20">
        <v>119</v>
      </c>
      <c r="H401" s="21">
        <v>86</v>
      </c>
      <c r="I401" s="22">
        <v>1523</v>
      </c>
      <c r="J401" s="23">
        <v>72.3</v>
      </c>
    </row>
    <row r="402" spans="1:10" ht="15.75" customHeight="1">
      <c r="A402" s="24" t="s">
        <v>7</v>
      </c>
      <c r="B402" s="25">
        <v>46059</v>
      </c>
      <c r="C402" s="26" t="s">
        <v>47</v>
      </c>
      <c r="D402" s="27" t="s">
        <v>46</v>
      </c>
      <c r="E402" s="28" t="s">
        <v>32</v>
      </c>
      <c r="F402" s="29">
        <v>865</v>
      </c>
      <c r="G402" s="30">
        <v>117</v>
      </c>
      <c r="H402" s="31">
        <v>110</v>
      </c>
      <c r="I402" s="32">
        <v>872</v>
      </c>
      <c r="J402" s="33">
        <v>94</v>
      </c>
    </row>
    <row r="403" spans="1:10" ht="15.75" customHeight="1">
      <c r="A403" s="14" t="s">
        <v>7</v>
      </c>
      <c r="B403" s="15">
        <v>46059</v>
      </c>
      <c r="C403" s="16" t="s">
        <v>47</v>
      </c>
      <c r="D403" s="17" t="s">
        <v>46</v>
      </c>
      <c r="E403" s="18" t="s">
        <v>34</v>
      </c>
      <c r="F403" s="19">
        <v>1429</v>
      </c>
      <c r="G403" s="20">
        <v>115</v>
      </c>
      <c r="H403" s="21">
        <v>74</v>
      </c>
      <c r="I403" s="22">
        <v>1470</v>
      </c>
      <c r="J403" s="23">
        <v>64.3</v>
      </c>
    </row>
    <row r="404" spans="1:10" ht="15.75" customHeight="1">
      <c r="A404" s="24" t="s">
        <v>7</v>
      </c>
      <c r="B404" s="25">
        <v>46059</v>
      </c>
      <c r="C404" s="26" t="s">
        <v>47</v>
      </c>
      <c r="D404" s="27" t="s">
        <v>46</v>
      </c>
      <c r="E404" s="28" t="s">
        <v>25</v>
      </c>
      <c r="F404" s="29">
        <v>953</v>
      </c>
      <c r="G404" s="30">
        <v>69</v>
      </c>
      <c r="H404" s="31">
        <v>56</v>
      </c>
      <c r="I404" s="32">
        <v>966</v>
      </c>
      <c r="J404" s="33">
        <v>81.2</v>
      </c>
    </row>
    <row r="405" spans="1:10" ht="15.75" customHeight="1">
      <c r="A405" s="14" t="s">
        <v>7</v>
      </c>
      <c r="B405" s="15">
        <v>46059</v>
      </c>
      <c r="C405" s="16" t="s">
        <v>47</v>
      </c>
      <c r="D405" s="17" t="s">
        <v>46</v>
      </c>
      <c r="E405" s="18" t="s">
        <v>35</v>
      </c>
      <c r="F405" s="19">
        <v>1069</v>
      </c>
      <c r="G405" s="20">
        <v>97</v>
      </c>
      <c r="H405" s="21">
        <v>69</v>
      </c>
      <c r="I405" s="22">
        <v>1097</v>
      </c>
      <c r="J405" s="23">
        <v>71.099999999999994</v>
      </c>
    </row>
    <row r="406" spans="1:10" ht="15.75" customHeight="1">
      <c r="A406" s="24" t="s">
        <v>7</v>
      </c>
      <c r="B406" s="25">
        <v>46059</v>
      </c>
      <c r="C406" s="26" t="s">
        <v>47</v>
      </c>
      <c r="D406" s="27" t="s">
        <v>46</v>
      </c>
      <c r="E406" s="28" t="s">
        <v>29</v>
      </c>
      <c r="F406" s="29">
        <v>1095</v>
      </c>
      <c r="G406" s="30">
        <v>96</v>
      </c>
      <c r="H406" s="31">
        <v>75</v>
      </c>
      <c r="I406" s="32">
        <v>1116</v>
      </c>
      <c r="J406" s="33">
        <v>78.099999999999994</v>
      </c>
    </row>
    <row r="407" spans="1:10" ht="15.75" customHeight="1">
      <c r="A407" s="14" t="s">
        <v>7</v>
      </c>
      <c r="B407" s="15">
        <v>46059</v>
      </c>
      <c r="C407" s="16" t="s">
        <v>47</v>
      </c>
      <c r="D407" s="17" t="s">
        <v>46</v>
      </c>
      <c r="E407" s="18" t="s">
        <v>31</v>
      </c>
      <c r="F407" s="19">
        <v>1310</v>
      </c>
      <c r="G407" s="20">
        <v>114</v>
      </c>
      <c r="H407" s="21">
        <v>89</v>
      </c>
      <c r="I407" s="22">
        <v>1335</v>
      </c>
      <c r="J407" s="35">
        <v>78.099999999999994</v>
      </c>
    </row>
    <row r="408" spans="1:10" ht="15.75" customHeight="1">
      <c r="A408" s="24" t="s">
        <v>7</v>
      </c>
      <c r="B408" s="25">
        <v>46059</v>
      </c>
      <c r="C408" s="26" t="s">
        <v>47</v>
      </c>
      <c r="D408" s="27" t="s">
        <v>46</v>
      </c>
      <c r="E408" s="28" t="s">
        <v>33</v>
      </c>
      <c r="F408" s="29">
        <v>595</v>
      </c>
      <c r="G408" s="30">
        <v>95</v>
      </c>
      <c r="H408" s="31">
        <v>81</v>
      </c>
      <c r="I408" s="32">
        <v>609</v>
      </c>
      <c r="J408" s="33">
        <v>85.3</v>
      </c>
    </row>
    <row r="409" spans="1:10" ht="15.75" customHeight="1">
      <c r="A409" s="14" t="s">
        <v>7</v>
      </c>
      <c r="B409" s="15">
        <v>46059</v>
      </c>
      <c r="C409" s="16" t="s">
        <v>47</v>
      </c>
      <c r="D409" s="17" t="s">
        <v>46</v>
      </c>
      <c r="E409" s="18" t="s">
        <v>36</v>
      </c>
      <c r="F409" s="19">
        <v>1726</v>
      </c>
      <c r="G409" s="20">
        <v>150</v>
      </c>
      <c r="H409" s="21">
        <v>120</v>
      </c>
      <c r="I409" s="22">
        <v>1756</v>
      </c>
      <c r="J409" s="35">
        <v>80</v>
      </c>
    </row>
    <row r="410" spans="1:10" ht="15.75" customHeight="1">
      <c r="A410" s="36" t="s">
        <v>7</v>
      </c>
      <c r="B410" s="37">
        <v>46060</v>
      </c>
      <c r="C410" s="38" t="s">
        <v>48</v>
      </c>
      <c r="D410" s="39" t="s">
        <v>49</v>
      </c>
      <c r="E410" s="40" t="s">
        <v>26</v>
      </c>
      <c r="F410" s="41">
        <v>1411</v>
      </c>
      <c r="G410" s="42">
        <v>71</v>
      </c>
      <c r="H410" s="43">
        <v>49</v>
      </c>
      <c r="I410" s="44">
        <v>1433</v>
      </c>
      <c r="J410" s="46">
        <v>69</v>
      </c>
    </row>
    <row r="411" spans="1:10" ht="15.75" customHeight="1">
      <c r="A411" s="36" t="s">
        <v>7</v>
      </c>
      <c r="B411" s="37">
        <v>46060</v>
      </c>
      <c r="C411" s="38" t="s">
        <v>48</v>
      </c>
      <c r="D411" s="39" t="s">
        <v>49</v>
      </c>
      <c r="E411" s="40" t="s">
        <v>27</v>
      </c>
      <c r="F411" s="41">
        <v>1035</v>
      </c>
      <c r="G411" s="42">
        <v>40</v>
      </c>
      <c r="H411" s="43">
        <v>28</v>
      </c>
      <c r="I411" s="44">
        <v>1047</v>
      </c>
      <c r="J411" s="46">
        <v>70</v>
      </c>
    </row>
    <row r="412" spans="1:10" ht="15.75" customHeight="1">
      <c r="A412" s="36" t="s">
        <v>7</v>
      </c>
      <c r="B412" s="37">
        <v>46060</v>
      </c>
      <c r="C412" s="38" t="s">
        <v>48</v>
      </c>
      <c r="D412" s="39" t="s">
        <v>49</v>
      </c>
      <c r="E412" s="40" t="s">
        <v>30</v>
      </c>
      <c r="F412" s="41">
        <v>1523</v>
      </c>
      <c r="G412" s="42">
        <v>78</v>
      </c>
      <c r="H412" s="43">
        <v>48</v>
      </c>
      <c r="I412" s="44">
        <v>1553</v>
      </c>
      <c r="J412" s="46">
        <v>61.5</v>
      </c>
    </row>
    <row r="413" spans="1:10" ht="15.75" customHeight="1">
      <c r="A413" s="36" t="s">
        <v>7</v>
      </c>
      <c r="B413" s="37">
        <v>46060</v>
      </c>
      <c r="C413" s="38" t="s">
        <v>48</v>
      </c>
      <c r="D413" s="39" t="s">
        <v>49</v>
      </c>
      <c r="E413" s="40" t="s">
        <v>32</v>
      </c>
      <c r="F413" s="41">
        <v>872</v>
      </c>
      <c r="G413" s="42">
        <v>50</v>
      </c>
      <c r="H413" s="43">
        <v>45</v>
      </c>
      <c r="I413" s="44">
        <v>877</v>
      </c>
      <c r="J413" s="45">
        <v>90</v>
      </c>
    </row>
    <row r="414" spans="1:10" ht="15.75" customHeight="1">
      <c r="A414" s="36" t="s">
        <v>7</v>
      </c>
      <c r="B414" s="37">
        <v>46060</v>
      </c>
      <c r="C414" s="38" t="s">
        <v>48</v>
      </c>
      <c r="D414" s="39" t="s">
        <v>49</v>
      </c>
      <c r="E414" s="40" t="s">
        <v>34</v>
      </c>
      <c r="F414" s="41">
        <v>1470</v>
      </c>
      <c r="G414" s="42">
        <v>59</v>
      </c>
      <c r="H414" s="43">
        <v>43</v>
      </c>
      <c r="I414" s="44">
        <v>1486</v>
      </c>
      <c r="J414" s="46">
        <v>72.900000000000006</v>
      </c>
    </row>
    <row r="415" spans="1:10" ht="15.75" customHeight="1">
      <c r="A415" s="36" t="s">
        <v>7</v>
      </c>
      <c r="B415" s="37">
        <v>46060</v>
      </c>
      <c r="C415" s="38" t="s">
        <v>48</v>
      </c>
      <c r="D415" s="39" t="s">
        <v>49</v>
      </c>
      <c r="E415" s="40" t="s">
        <v>25</v>
      </c>
      <c r="F415" s="41">
        <v>966</v>
      </c>
      <c r="G415" s="42">
        <v>24</v>
      </c>
      <c r="H415" s="43">
        <v>17</v>
      </c>
      <c r="I415" s="44">
        <v>973</v>
      </c>
      <c r="J415" s="46">
        <v>70.8</v>
      </c>
    </row>
    <row r="416" spans="1:10" ht="15.75" customHeight="1">
      <c r="A416" s="36" t="s">
        <v>7</v>
      </c>
      <c r="B416" s="37">
        <v>46060</v>
      </c>
      <c r="C416" s="38" t="s">
        <v>48</v>
      </c>
      <c r="D416" s="39" t="s">
        <v>49</v>
      </c>
      <c r="E416" s="40" t="s">
        <v>35</v>
      </c>
      <c r="F416" s="41">
        <v>1097</v>
      </c>
      <c r="G416" s="42">
        <v>59</v>
      </c>
      <c r="H416" s="43">
        <v>47</v>
      </c>
      <c r="I416" s="44">
        <v>1109</v>
      </c>
      <c r="J416" s="45">
        <v>79.7</v>
      </c>
    </row>
    <row r="417" spans="1:10" ht="15.75" customHeight="1">
      <c r="A417" s="36" t="s">
        <v>7</v>
      </c>
      <c r="B417" s="37">
        <v>46060</v>
      </c>
      <c r="C417" s="38" t="s">
        <v>48</v>
      </c>
      <c r="D417" s="39" t="s">
        <v>49</v>
      </c>
      <c r="E417" s="40" t="s">
        <v>29</v>
      </c>
      <c r="F417" s="41">
        <v>1116</v>
      </c>
      <c r="G417" s="42">
        <v>58</v>
      </c>
      <c r="H417" s="43">
        <v>39</v>
      </c>
      <c r="I417" s="44">
        <v>1135</v>
      </c>
      <c r="J417" s="46">
        <v>67.2</v>
      </c>
    </row>
    <row r="418" spans="1:10" ht="15.75" customHeight="1">
      <c r="A418" s="36" t="s">
        <v>7</v>
      </c>
      <c r="B418" s="37">
        <v>46060</v>
      </c>
      <c r="C418" s="38" t="s">
        <v>48</v>
      </c>
      <c r="D418" s="39" t="s">
        <v>49</v>
      </c>
      <c r="E418" s="40" t="s">
        <v>31</v>
      </c>
      <c r="F418" s="41">
        <v>1335</v>
      </c>
      <c r="G418" s="42">
        <v>61</v>
      </c>
      <c r="H418" s="43">
        <v>47</v>
      </c>
      <c r="I418" s="44">
        <v>1349</v>
      </c>
      <c r="J418" s="45">
        <v>77</v>
      </c>
    </row>
    <row r="419" spans="1:10" ht="15.75" customHeight="1">
      <c r="A419" s="36" t="s">
        <v>7</v>
      </c>
      <c r="B419" s="37">
        <v>46060</v>
      </c>
      <c r="C419" s="38" t="s">
        <v>48</v>
      </c>
      <c r="D419" s="39" t="s">
        <v>49</v>
      </c>
      <c r="E419" s="40" t="s">
        <v>33</v>
      </c>
      <c r="F419" s="41">
        <v>609</v>
      </c>
      <c r="G419" s="42">
        <v>31</v>
      </c>
      <c r="H419" s="43">
        <v>24</v>
      </c>
      <c r="I419" s="44">
        <v>616</v>
      </c>
      <c r="J419" s="45">
        <v>77.400000000000006</v>
      </c>
    </row>
    <row r="420" spans="1:10" ht="15.75" customHeight="1">
      <c r="A420" s="36" t="s">
        <v>7</v>
      </c>
      <c r="B420" s="37">
        <v>46060</v>
      </c>
      <c r="C420" s="38" t="s">
        <v>48</v>
      </c>
      <c r="D420" s="39" t="s">
        <v>49</v>
      </c>
      <c r="E420" s="40" t="s">
        <v>36</v>
      </c>
      <c r="F420" s="41">
        <v>1756</v>
      </c>
      <c r="G420" s="42">
        <v>66</v>
      </c>
      <c r="H420" s="43">
        <v>50</v>
      </c>
      <c r="I420" s="44">
        <v>1772</v>
      </c>
      <c r="J420" s="45">
        <v>75.8</v>
      </c>
    </row>
    <row r="421" spans="1:10" ht="15.75" customHeight="1">
      <c r="A421" s="36" t="s">
        <v>7</v>
      </c>
      <c r="B421" s="37">
        <v>46061</v>
      </c>
      <c r="C421" s="38" t="s">
        <v>50</v>
      </c>
      <c r="D421" s="39" t="s">
        <v>49</v>
      </c>
      <c r="E421" s="40" t="s">
        <v>26</v>
      </c>
      <c r="F421" s="41">
        <v>1433</v>
      </c>
      <c r="G421" s="42">
        <v>51</v>
      </c>
      <c r="H421" s="43">
        <v>34</v>
      </c>
      <c r="I421" s="44">
        <v>1450</v>
      </c>
      <c r="J421" s="46">
        <v>66.7</v>
      </c>
    </row>
    <row r="422" spans="1:10" ht="15.75" customHeight="1">
      <c r="A422" s="36" t="s">
        <v>7</v>
      </c>
      <c r="B422" s="37">
        <v>46061</v>
      </c>
      <c r="C422" s="38" t="s">
        <v>50</v>
      </c>
      <c r="D422" s="39" t="s">
        <v>49</v>
      </c>
      <c r="E422" s="40" t="s">
        <v>27</v>
      </c>
      <c r="F422" s="41">
        <v>1047</v>
      </c>
      <c r="G422" s="42">
        <v>59</v>
      </c>
      <c r="H422" s="43">
        <v>48</v>
      </c>
      <c r="I422" s="44">
        <v>1058</v>
      </c>
      <c r="J422" s="45">
        <v>81.400000000000006</v>
      </c>
    </row>
    <row r="423" spans="1:10" ht="15.75" customHeight="1">
      <c r="A423" s="36" t="s">
        <v>7</v>
      </c>
      <c r="B423" s="37">
        <v>46061</v>
      </c>
      <c r="C423" s="38" t="s">
        <v>50</v>
      </c>
      <c r="D423" s="39" t="s">
        <v>49</v>
      </c>
      <c r="E423" s="40" t="s">
        <v>30</v>
      </c>
      <c r="F423" s="41">
        <v>1553</v>
      </c>
      <c r="G423" s="42">
        <v>58</v>
      </c>
      <c r="H423" s="43">
        <v>39</v>
      </c>
      <c r="I423" s="44">
        <v>1572</v>
      </c>
      <c r="J423" s="46">
        <v>67.2</v>
      </c>
    </row>
    <row r="424" spans="1:10" ht="15.75" customHeight="1">
      <c r="A424" s="36" t="s">
        <v>7</v>
      </c>
      <c r="B424" s="37">
        <v>46061</v>
      </c>
      <c r="C424" s="38" t="s">
        <v>50</v>
      </c>
      <c r="D424" s="39" t="s">
        <v>49</v>
      </c>
      <c r="E424" s="40" t="s">
        <v>32</v>
      </c>
      <c r="F424" s="41">
        <v>877</v>
      </c>
      <c r="G424" s="42">
        <v>31</v>
      </c>
      <c r="H424" s="43">
        <v>24</v>
      </c>
      <c r="I424" s="44">
        <v>884</v>
      </c>
      <c r="J424" s="45">
        <v>77.400000000000006</v>
      </c>
    </row>
    <row r="425" spans="1:10" ht="15.75" customHeight="1">
      <c r="A425" s="36" t="s">
        <v>7</v>
      </c>
      <c r="B425" s="37">
        <v>46061</v>
      </c>
      <c r="C425" s="38" t="s">
        <v>50</v>
      </c>
      <c r="D425" s="39" t="s">
        <v>49</v>
      </c>
      <c r="E425" s="40" t="s">
        <v>34</v>
      </c>
      <c r="F425" s="41">
        <v>1486</v>
      </c>
      <c r="G425" s="42">
        <v>62</v>
      </c>
      <c r="H425" s="43">
        <v>49</v>
      </c>
      <c r="I425" s="44">
        <v>1499</v>
      </c>
      <c r="J425" s="45">
        <v>79</v>
      </c>
    </row>
    <row r="426" spans="1:10" ht="15.75" customHeight="1">
      <c r="A426" s="36" t="s">
        <v>7</v>
      </c>
      <c r="B426" s="37">
        <v>46061</v>
      </c>
      <c r="C426" s="38" t="s">
        <v>50</v>
      </c>
      <c r="D426" s="39" t="s">
        <v>49</v>
      </c>
      <c r="E426" s="40" t="s">
        <v>25</v>
      </c>
      <c r="F426" s="41">
        <v>973</v>
      </c>
      <c r="G426" s="42">
        <v>36</v>
      </c>
      <c r="H426" s="43">
        <v>28</v>
      </c>
      <c r="I426" s="44">
        <v>981</v>
      </c>
      <c r="J426" s="45">
        <v>77.8</v>
      </c>
    </row>
    <row r="427" spans="1:10" ht="15.75" customHeight="1">
      <c r="A427" s="36" t="s">
        <v>7</v>
      </c>
      <c r="B427" s="37">
        <v>46061</v>
      </c>
      <c r="C427" s="38" t="s">
        <v>50</v>
      </c>
      <c r="D427" s="39" t="s">
        <v>49</v>
      </c>
      <c r="E427" s="40" t="s">
        <v>35</v>
      </c>
      <c r="F427" s="41">
        <v>1109</v>
      </c>
      <c r="G427" s="42">
        <v>66</v>
      </c>
      <c r="H427" s="43">
        <v>55</v>
      </c>
      <c r="I427" s="44">
        <v>1120</v>
      </c>
      <c r="J427" s="45">
        <v>83.3</v>
      </c>
    </row>
    <row r="428" spans="1:10" ht="15.75" customHeight="1">
      <c r="A428" s="36" t="s">
        <v>7</v>
      </c>
      <c r="B428" s="37">
        <v>46061</v>
      </c>
      <c r="C428" s="38" t="s">
        <v>50</v>
      </c>
      <c r="D428" s="39" t="s">
        <v>49</v>
      </c>
      <c r="E428" s="40" t="s">
        <v>29</v>
      </c>
      <c r="F428" s="41">
        <v>1135</v>
      </c>
      <c r="G428" s="42">
        <v>31</v>
      </c>
      <c r="H428" s="43">
        <v>20</v>
      </c>
      <c r="I428" s="44">
        <v>1146</v>
      </c>
      <c r="J428" s="46">
        <v>64.5</v>
      </c>
    </row>
    <row r="429" spans="1:10" ht="15.75" customHeight="1">
      <c r="A429" s="36" t="s">
        <v>7</v>
      </c>
      <c r="B429" s="37">
        <v>46061</v>
      </c>
      <c r="C429" s="38" t="s">
        <v>50</v>
      </c>
      <c r="D429" s="39" t="s">
        <v>49</v>
      </c>
      <c r="E429" s="40" t="s">
        <v>31</v>
      </c>
      <c r="F429" s="41">
        <v>1349</v>
      </c>
      <c r="G429" s="42">
        <v>34</v>
      </c>
      <c r="H429" s="43">
        <v>26</v>
      </c>
      <c r="I429" s="44">
        <v>1357</v>
      </c>
      <c r="J429" s="45">
        <v>76.5</v>
      </c>
    </row>
    <row r="430" spans="1:10" ht="15.75" customHeight="1">
      <c r="A430" s="36" t="s">
        <v>7</v>
      </c>
      <c r="B430" s="37">
        <v>46061</v>
      </c>
      <c r="C430" s="38" t="s">
        <v>50</v>
      </c>
      <c r="D430" s="39" t="s">
        <v>49</v>
      </c>
      <c r="E430" s="40" t="s">
        <v>33</v>
      </c>
      <c r="F430" s="41">
        <v>616</v>
      </c>
      <c r="G430" s="42">
        <v>33</v>
      </c>
      <c r="H430" s="43">
        <v>32</v>
      </c>
      <c r="I430" s="44">
        <v>617</v>
      </c>
      <c r="J430" s="45">
        <v>97</v>
      </c>
    </row>
    <row r="431" spans="1:10" ht="15.75" customHeight="1">
      <c r="A431" s="36" t="s">
        <v>7</v>
      </c>
      <c r="B431" s="37">
        <v>46061</v>
      </c>
      <c r="C431" s="38" t="s">
        <v>50</v>
      </c>
      <c r="D431" s="39" t="s">
        <v>49</v>
      </c>
      <c r="E431" s="40" t="s">
        <v>36</v>
      </c>
      <c r="F431" s="41">
        <v>1772</v>
      </c>
      <c r="G431" s="42">
        <v>66</v>
      </c>
      <c r="H431" s="43">
        <v>46</v>
      </c>
      <c r="I431" s="44">
        <v>1792</v>
      </c>
      <c r="J431" s="46">
        <v>69.7</v>
      </c>
    </row>
    <row r="432" spans="1:10" ht="15.75" customHeight="1">
      <c r="A432" s="24" t="s">
        <v>7</v>
      </c>
      <c r="B432" s="25">
        <v>46062</v>
      </c>
      <c r="C432" s="26" t="s">
        <v>51</v>
      </c>
      <c r="D432" s="27" t="s">
        <v>46</v>
      </c>
      <c r="E432" s="28" t="s">
        <v>26</v>
      </c>
      <c r="F432" s="29">
        <v>1450</v>
      </c>
      <c r="G432" s="30">
        <v>98</v>
      </c>
      <c r="H432" s="31">
        <v>80</v>
      </c>
      <c r="I432" s="32">
        <v>1468</v>
      </c>
      <c r="J432" s="33">
        <v>81.599999999999994</v>
      </c>
    </row>
    <row r="433" spans="1:10" ht="15.75" customHeight="1">
      <c r="A433" s="14" t="s">
        <v>7</v>
      </c>
      <c r="B433" s="15">
        <v>46062</v>
      </c>
      <c r="C433" s="16" t="s">
        <v>51</v>
      </c>
      <c r="D433" s="17" t="s">
        <v>46</v>
      </c>
      <c r="E433" s="18" t="s">
        <v>27</v>
      </c>
      <c r="F433" s="19">
        <v>1058</v>
      </c>
      <c r="G433" s="20">
        <v>85</v>
      </c>
      <c r="H433" s="21">
        <v>72</v>
      </c>
      <c r="I433" s="22">
        <v>1071</v>
      </c>
      <c r="J433" s="35">
        <v>84.7</v>
      </c>
    </row>
    <row r="434" spans="1:10" ht="15.75" customHeight="1">
      <c r="A434" s="24" t="s">
        <v>7</v>
      </c>
      <c r="B434" s="25">
        <v>46062</v>
      </c>
      <c r="C434" s="26" t="s">
        <v>51</v>
      </c>
      <c r="D434" s="27" t="s">
        <v>46</v>
      </c>
      <c r="E434" s="28" t="s">
        <v>30</v>
      </c>
      <c r="F434" s="29">
        <v>1572</v>
      </c>
      <c r="G434" s="30">
        <v>137</v>
      </c>
      <c r="H434" s="31">
        <v>94</v>
      </c>
      <c r="I434" s="32">
        <v>1615</v>
      </c>
      <c r="J434" s="34">
        <v>68.599999999999994</v>
      </c>
    </row>
    <row r="435" spans="1:10" ht="15.75" customHeight="1">
      <c r="A435" s="14" t="s">
        <v>7</v>
      </c>
      <c r="B435" s="15">
        <v>46062</v>
      </c>
      <c r="C435" s="16" t="s">
        <v>51</v>
      </c>
      <c r="D435" s="17" t="s">
        <v>46</v>
      </c>
      <c r="E435" s="18" t="s">
        <v>32</v>
      </c>
      <c r="F435" s="19">
        <v>884</v>
      </c>
      <c r="G435" s="20">
        <v>70</v>
      </c>
      <c r="H435" s="21">
        <v>56</v>
      </c>
      <c r="I435" s="22">
        <v>898</v>
      </c>
      <c r="J435" s="35">
        <v>80</v>
      </c>
    </row>
    <row r="436" spans="1:10" ht="15.75" customHeight="1">
      <c r="A436" s="24" t="s">
        <v>7</v>
      </c>
      <c r="B436" s="25">
        <v>46062</v>
      </c>
      <c r="C436" s="26" t="s">
        <v>51</v>
      </c>
      <c r="D436" s="27" t="s">
        <v>46</v>
      </c>
      <c r="E436" s="28" t="s">
        <v>34</v>
      </c>
      <c r="F436" s="29">
        <v>1499</v>
      </c>
      <c r="G436" s="30">
        <v>173</v>
      </c>
      <c r="H436" s="31">
        <v>130</v>
      </c>
      <c r="I436" s="32">
        <v>1542</v>
      </c>
      <c r="J436" s="33">
        <v>75.099999999999994</v>
      </c>
    </row>
    <row r="437" spans="1:10" ht="15.75" customHeight="1">
      <c r="A437" s="14" t="s">
        <v>7</v>
      </c>
      <c r="B437" s="15">
        <v>46062</v>
      </c>
      <c r="C437" s="16" t="s">
        <v>51</v>
      </c>
      <c r="D437" s="17" t="s">
        <v>46</v>
      </c>
      <c r="E437" s="18" t="s">
        <v>25</v>
      </c>
      <c r="F437" s="19">
        <v>981</v>
      </c>
      <c r="G437" s="20">
        <v>103</v>
      </c>
      <c r="H437" s="21">
        <v>82</v>
      </c>
      <c r="I437" s="22">
        <v>1002</v>
      </c>
      <c r="J437" s="35">
        <v>79.599999999999994</v>
      </c>
    </row>
    <row r="438" spans="1:10" ht="15.75" customHeight="1">
      <c r="A438" s="24" t="s">
        <v>7</v>
      </c>
      <c r="B438" s="25">
        <v>46062</v>
      </c>
      <c r="C438" s="26" t="s">
        <v>51</v>
      </c>
      <c r="D438" s="27" t="s">
        <v>46</v>
      </c>
      <c r="E438" s="28" t="s">
        <v>35</v>
      </c>
      <c r="F438" s="29">
        <v>1120</v>
      </c>
      <c r="G438" s="30">
        <v>130</v>
      </c>
      <c r="H438" s="31">
        <v>114</v>
      </c>
      <c r="I438" s="32">
        <v>1136</v>
      </c>
      <c r="J438" s="33">
        <v>87.7</v>
      </c>
    </row>
    <row r="439" spans="1:10" ht="15.75" customHeight="1">
      <c r="A439" s="14" t="s">
        <v>7</v>
      </c>
      <c r="B439" s="15">
        <v>46062</v>
      </c>
      <c r="C439" s="16" t="s">
        <v>51</v>
      </c>
      <c r="D439" s="17" t="s">
        <v>46</v>
      </c>
      <c r="E439" s="18" t="s">
        <v>29</v>
      </c>
      <c r="F439" s="19">
        <v>1146</v>
      </c>
      <c r="G439" s="20">
        <v>106</v>
      </c>
      <c r="H439" s="21">
        <v>69</v>
      </c>
      <c r="I439" s="22">
        <v>1183</v>
      </c>
      <c r="J439" s="23">
        <v>65.099999999999994</v>
      </c>
    </row>
    <row r="440" spans="1:10" ht="15.75" customHeight="1">
      <c r="A440" s="24" t="s">
        <v>7</v>
      </c>
      <c r="B440" s="25">
        <v>46062</v>
      </c>
      <c r="C440" s="26" t="s">
        <v>51</v>
      </c>
      <c r="D440" s="27" t="s">
        <v>46</v>
      </c>
      <c r="E440" s="28" t="s">
        <v>31</v>
      </c>
      <c r="F440" s="29">
        <v>1357</v>
      </c>
      <c r="G440" s="30">
        <v>114</v>
      </c>
      <c r="H440" s="31">
        <v>87</v>
      </c>
      <c r="I440" s="32">
        <v>1384</v>
      </c>
      <c r="J440" s="33">
        <v>76.3</v>
      </c>
    </row>
    <row r="441" spans="1:10" ht="15.75" customHeight="1">
      <c r="A441" s="14" t="s">
        <v>7</v>
      </c>
      <c r="B441" s="15">
        <v>46062</v>
      </c>
      <c r="C441" s="16" t="s">
        <v>51</v>
      </c>
      <c r="D441" s="17" t="s">
        <v>46</v>
      </c>
      <c r="E441" s="18" t="s">
        <v>33</v>
      </c>
      <c r="F441" s="19">
        <v>617</v>
      </c>
      <c r="G441" s="20">
        <v>69</v>
      </c>
      <c r="H441" s="21">
        <v>63</v>
      </c>
      <c r="I441" s="22">
        <v>623</v>
      </c>
      <c r="J441" s="35">
        <v>91.3</v>
      </c>
    </row>
    <row r="442" spans="1:10" ht="15.75" customHeight="1">
      <c r="A442" s="24" t="s">
        <v>7</v>
      </c>
      <c r="B442" s="25">
        <v>46062</v>
      </c>
      <c r="C442" s="26" t="s">
        <v>51</v>
      </c>
      <c r="D442" s="27" t="s">
        <v>46</v>
      </c>
      <c r="E442" s="28" t="s">
        <v>36</v>
      </c>
      <c r="F442" s="29">
        <v>1792</v>
      </c>
      <c r="G442" s="30">
        <v>124</v>
      </c>
      <c r="H442" s="31">
        <v>79</v>
      </c>
      <c r="I442" s="32">
        <v>1837</v>
      </c>
      <c r="J442" s="34">
        <v>63.7</v>
      </c>
    </row>
    <row r="443" spans="1:10" ht="15.75" customHeight="1">
      <c r="A443" s="14" t="s">
        <v>7</v>
      </c>
      <c r="B443" s="15">
        <v>46063</v>
      </c>
      <c r="C443" s="16" t="s">
        <v>52</v>
      </c>
      <c r="D443" s="17" t="s">
        <v>46</v>
      </c>
      <c r="E443" s="18" t="s">
        <v>26</v>
      </c>
      <c r="F443" s="19">
        <v>1468</v>
      </c>
      <c r="G443" s="20">
        <v>138</v>
      </c>
      <c r="H443" s="21">
        <v>110</v>
      </c>
      <c r="I443" s="22">
        <v>1496</v>
      </c>
      <c r="J443" s="35">
        <v>79.7</v>
      </c>
    </row>
    <row r="444" spans="1:10" ht="15.75" customHeight="1">
      <c r="A444" s="24" t="s">
        <v>7</v>
      </c>
      <c r="B444" s="25">
        <v>46063</v>
      </c>
      <c r="C444" s="26" t="s">
        <v>52</v>
      </c>
      <c r="D444" s="27" t="s">
        <v>46</v>
      </c>
      <c r="E444" s="28" t="s">
        <v>27</v>
      </c>
      <c r="F444" s="29">
        <v>1071</v>
      </c>
      <c r="G444" s="30">
        <v>73</v>
      </c>
      <c r="H444" s="31">
        <v>54</v>
      </c>
      <c r="I444" s="32">
        <v>1090</v>
      </c>
      <c r="J444" s="34">
        <v>74</v>
      </c>
    </row>
    <row r="445" spans="1:10" ht="15.75" customHeight="1">
      <c r="A445" s="14" t="s">
        <v>7</v>
      </c>
      <c r="B445" s="15">
        <v>46063</v>
      </c>
      <c r="C445" s="16" t="s">
        <v>52</v>
      </c>
      <c r="D445" s="17" t="s">
        <v>46</v>
      </c>
      <c r="E445" s="18" t="s">
        <v>30</v>
      </c>
      <c r="F445" s="19">
        <v>1615</v>
      </c>
      <c r="G445" s="20">
        <v>92</v>
      </c>
      <c r="H445" s="21">
        <v>63</v>
      </c>
      <c r="I445" s="22">
        <v>1644</v>
      </c>
      <c r="J445" s="23">
        <v>68.5</v>
      </c>
    </row>
    <row r="446" spans="1:10" ht="15.75" customHeight="1">
      <c r="A446" s="24" t="s">
        <v>7</v>
      </c>
      <c r="B446" s="25">
        <v>46063</v>
      </c>
      <c r="C446" s="26" t="s">
        <v>52</v>
      </c>
      <c r="D446" s="27" t="s">
        <v>46</v>
      </c>
      <c r="E446" s="28" t="s">
        <v>32</v>
      </c>
      <c r="F446" s="29">
        <v>898</v>
      </c>
      <c r="G446" s="30">
        <v>68</v>
      </c>
      <c r="H446" s="31">
        <v>63</v>
      </c>
      <c r="I446" s="32">
        <v>903</v>
      </c>
      <c r="J446" s="33">
        <v>92.6</v>
      </c>
    </row>
    <row r="447" spans="1:10" ht="15.75" customHeight="1">
      <c r="A447" s="14" t="s">
        <v>7</v>
      </c>
      <c r="B447" s="15">
        <v>46063</v>
      </c>
      <c r="C447" s="16" t="s">
        <v>52</v>
      </c>
      <c r="D447" s="17" t="s">
        <v>46</v>
      </c>
      <c r="E447" s="18" t="s">
        <v>34</v>
      </c>
      <c r="F447" s="19">
        <v>1542</v>
      </c>
      <c r="G447" s="20">
        <v>134</v>
      </c>
      <c r="H447" s="21">
        <v>88</v>
      </c>
      <c r="I447" s="22">
        <v>1588</v>
      </c>
      <c r="J447" s="23">
        <v>65.7</v>
      </c>
    </row>
    <row r="448" spans="1:10" ht="15.75" customHeight="1">
      <c r="A448" s="24" t="s">
        <v>7</v>
      </c>
      <c r="B448" s="25">
        <v>46063</v>
      </c>
      <c r="C448" s="26" t="s">
        <v>52</v>
      </c>
      <c r="D448" s="27" t="s">
        <v>46</v>
      </c>
      <c r="E448" s="28" t="s">
        <v>25</v>
      </c>
      <c r="F448" s="29">
        <v>1002</v>
      </c>
      <c r="G448" s="30">
        <v>81</v>
      </c>
      <c r="H448" s="31">
        <v>60</v>
      </c>
      <c r="I448" s="32">
        <v>1023</v>
      </c>
      <c r="J448" s="34">
        <v>74.099999999999994</v>
      </c>
    </row>
    <row r="449" spans="1:10" ht="15.75" customHeight="1">
      <c r="A449" s="14" t="s">
        <v>7</v>
      </c>
      <c r="B449" s="15">
        <v>46063</v>
      </c>
      <c r="C449" s="16" t="s">
        <v>52</v>
      </c>
      <c r="D449" s="17" t="s">
        <v>46</v>
      </c>
      <c r="E449" s="18" t="s">
        <v>35</v>
      </c>
      <c r="F449" s="19">
        <v>1136</v>
      </c>
      <c r="G449" s="20">
        <v>95</v>
      </c>
      <c r="H449" s="21">
        <v>75</v>
      </c>
      <c r="I449" s="22">
        <v>1156</v>
      </c>
      <c r="J449" s="35">
        <v>78.900000000000006</v>
      </c>
    </row>
    <row r="450" spans="1:10" ht="15.75" customHeight="1">
      <c r="A450" s="24" t="s">
        <v>7</v>
      </c>
      <c r="B450" s="25">
        <v>46063</v>
      </c>
      <c r="C450" s="26" t="s">
        <v>52</v>
      </c>
      <c r="D450" s="27" t="s">
        <v>46</v>
      </c>
      <c r="E450" s="28" t="s">
        <v>29</v>
      </c>
      <c r="F450" s="29">
        <v>1183</v>
      </c>
      <c r="G450" s="30">
        <v>98</v>
      </c>
      <c r="H450" s="31">
        <v>68</v>
      </c>
      <c r="I450" s="32">
        <v>1213</v>
      </c>
      <c r="J450" s="34">
        <v>69.400000000000006</v>
      </c>
    </row>
    <row r="451" spans="1:10" ht="15.75" customHeight="1">
      <c r="A451" s="14" t="s">
        <v>7</v>
      </c>
      <c r="B451" s="15">
        <v>46063</v>
      </c>
      <c r="C451" s="16" t="s">
        <v>52</v>
      </c>
      <c r="D451" s="17" t="s">
        <v>46</v>
      </c>
      <c r="E451" s="18" t="s">
        <v>31</v>
      </c>
      <c r="F451" s="19">
        <v>1384</v>
      </c>
      <c r="G451" s="20">
        <v>107</v>
      </c>
      <c r="H451" s="21">
        <v>88</v>
      </c>
      <c r="I451" s="22">
        <v>1403</v>
      </c>
      <c r="J451" s="35">
        <v>82.2</v>
      </c>
    </row>
    <row r="452" spans="1:10" ht="15.75" customHeight="1">
      <c r="A452" s="24" t="s">
        <v>7</v>
      </c>
      <c r="B452" s="25">
        <v>46063</v>
      </c>
      <c r="C452" s="26" t="s">
        <v>52</v>
      </c>
      <c r="D452" s="27" t="s">
        <v>46</v>
      </c>
      <c r="E452" s="28" t="s">
        <v>33</v>
      </c>
      <c r="F452" s="29">
        <v>623</v>
      </c>
      <c r="G452" s="30">
        <v>72</v>
      </c>
      <c r="H452" s="31">
        <v>68</v>
      </c>
      <c r="I452" s="32">
        <v>627</v>
      </c>
      <c r="J452" s="33">
        <v>94.4</v>
      </c>
    </row>
    <row r="453" spans="1:10" ht="15.75" customHeight="1">
      <c r="A453" s="14" t="s">
        <v>7</v>
      </c>
      <c r="B453" s="15">
        <v>46063</v>
      </c>
      <c r="C453" s="16" t="s">
        <v>52</v>
      </c>
      <c r="D453" s="17" t="s">
        <v>46</v>
      </c>
      <c r="E453" s="18" t="s">
        <v>36</v>
      </c>
      <c r="F453" s="19">
        <v>1837</v>
      </c>
      <c r="G453" s="20">
        <v>146</v>
      </c>
      <c r="H453" s="21">
        <v>106</v>
      </c>
      <c r="I453" s="22">
        <v>1877</v>
      </c>
      <c r="J453" s="23">
        <v>72.599999999999994</v>
      </c>
    </row>
    <row r="454" spans="1:10" ht="15.75" customHeight="1">
      <c r="A454" s="24" t="s">
        <v>7</v>
      </c>
      <c r="B454" s="25">
        <v>46064</v>
      </c>
      <c r="C454" s="26" t="s">
        <v>53</v>
      </c>
      <c r="D454" s="27" t="s">
        <v>46</v>
      </c>
      <c r="E454" s="28" t="s">
        <v>26</v>
      </c>
      <c r="F454" s="29">
        <v>1496</v>
      </c>
      <c r="G454" s="30">
        <v>97</v>
      </c>
      <c r="H454" s="31">
        <v>65</v>
      </c>
      <c r="I454" s="32">
        <v>1528</v>
      </c>
      <c r="J454" s="34">
        <v>67</v>
      </c>
    </row>
    <row r="455" spans="1:10" ht="15.75" customHeight="1">
      <c r="A455" s="14" t="s">
        <v>7</v>
      </c>
      <c r="B455" s="15">
        <v>46064</v>
      </c>
      <c r="C455" s="16" t="s">
        <v>53</v>
      </c>
      <c r="D455" s="17" t="s">
        <v>46</v>
      </c>
      <c r="E455" s="18" t="s">
        <v>27</v>
      </c>
      <c r="F455" s="19">
        <v>1090</v>
      </c>
      <c r="G455" s="20">
        <v>84</v>
      </c>
      <c r="H455" s="21">
        <v>72</v>
      </c>
      <c r="I455" s="22">
        <v>1102</v>
      </c>
      <c r="J455" s="35">
        <v>85.7</v>
      </c>
    </row>
    <row r="456" spans="1:10" ht="15.75" customHeight="1">
      <c r="A456" s="24" t="s">
        <v>7</v>
      </c>
      <c r="B456" s="25">
        <v>46064</v>
      </c>
      <c r="C456" s="26" t="s">
        <v>53</v>
      </c>
      <c r="D456" s="27" t="s">
        <v>46</v>
      </c>
      <c r="E456" s="28" t="s">
        <v>30</v>
      </c>
      <c r="F456" s="29">
        <v>1644</v>
      </c>
      <c r="G456" s="30">
        <v>128</v>
      </c>
      <c r="H456" s="31">
        <v>78</v>
      </c>
      <c r="I456" s="32">
        <v>1694</v>
      </c>
      <c r="J456" s="34">
        <v>60.9</v>
      </c>
    </row>
    <row r="457" spans="1:10" ht="15.75" customHeight="1">
      <c r="A457" s="14" t="s">
        <v>7</v>
      </c>
      <c r="B457" s="15">
        <v>46064</v>
      </c>
      <c r="C457" s="16" t="s">
        <v>53</v>
      </c>
      <c r="D457" s="17" t="s">
        <v>46</v>
      </c>
      <c r="E457" s="18" t="s">
        <v>32</v>
      </c>
      <c r="F457" s="19">
        <v>903</v>
      </c>
      <c r="G457" s="20">
        <v>118</v>
      </c>
      <c r="H457" s="21">
        <v>99</v>
      </c>
      <c r="I457" s="22">
        <v>922</v>
      </c>
      <c r="J457" s="35">
        <v>83.9</v>
      </c>
    </row>
    <row r="458" spans="1:10" ht="15.75" customHeight="1">
      <c r="A458" s="24" t="s">
        <v>7</v>
      </c>
      <c r="B458" s="25">
        <v>46064</v>
      </c>
      <c r="C458" s="26" t="s">
        <v>53</v>
      </c>
      <c r="D458" s="27" t="s">
        <v>46</v>
      </c>
      <c r="E458" s="28" t="s">
        <v>34</v>
      </c>
      <c r="F458" s="29">
        <v>1588</v>
      </c>
      <c r="G458" s="30">
        <v>121</v>
      </c>
      <c r="H458" s="31">
        <v>88</v>
      </c>
      <c r="I458" s="32">
        <v>1621</v>
      </c>
      <c r="J458" s="34">
        <v>72.7</v>
      </c>
    </row>
    <row r="459" spans="1:10" ht="15.75" customHeight="1">
      <c r="A459" s="14" t="s">
        <v>7</v>
      </c>
      <c r="B459" s="15">
        <v>46064</v>
      </c>
      <c r="C459" s="16" t="s">
        <v>53</v>
      </c>
      <c r="D459" s="17" t="s">
        <v>46</v>
      </c>
      <c r="E459" s="18" t="s">
        <v>25</v>
      </c>
      <c r="F459" s="19">
        <v>1023</v>
      </c>
      <c r="G459" s="20">
        <v>67</v>
      </c>
      <c r="H459" s="21">
        <v>57</v>
      </c>
      <c r="I459" s="22">
        <v>1033</v>
      </c>
      <c r="J459" s="35">
        <v>85.1</v>
      </c>
    </row>
    <row r="460" spans="1:10" ht="15.75" customHeight="1">
      <c r="A460" s="24" t="s">
        <v>7</v>
      </c>
      <c r="B460" s="25">
        <v>46064</v>
      </c>
      <c r="C460" s="26" t="s">
        <v>53</v>
      </c>
      <c r="D460" s="27" t="s">
        <v>46</v>
      </c>
      <c r="E460" s="28" t="s">
        <v>35</v>
      </c>
      <c r="F460" s="29">
        <v>1156</v>
      </c>
      <c r="G460" s="30">
        <v>133</v>
      </c>
      <c r="H460" s="31">
        <v>112</v>
      </c>
      <c r="I460" s="32">
        <v>1177</v>
      </c>
      <c r="J460" s="33">
        <v>84.2</v>
      </c>
    </row>
    <row r="461" spans="1:10" ht="15.75" customHeight="1">
      <c r="A461" s="14" t="s">
        <v>7</v>
      </c>
      <c r="B461" s="15">
        <v>46064</v>
      </c>
      <c r="C461" s="16" t="s">
        <v>53</v>
      </c>
      <c r="D461" s="17" t="s">
        <v>46</v>
      </c>
      <c r="E461" s="18" t="s">
        <v>29</v>
      </c>
      <c r="F461" s="19">
        <v>1213</v>
      </c>
      <c r="G461" s="20">
        <v>112</v>
      </c>
      <c r="H461" s="21">
        <v>88</v>
      </c>
      <c r="I461" s="22">
        <v>1237</v>
      </c>
      <c r="J461" s="35">
        <v>78.599999999999994</v>
      </c>
    </row>
    <row r="462" spans="1:10" ht="15.75" customHeight="1">
      <c r="A462" s="24" t="s">
        <v>7</v>
      </c>
      <c r="B462" s="25">
        <v>46064</v>
      </c>
      <c r="C462" s="26" t="s">
        <v>53</v>
      </c>
      <c r="D462" s="27" t="s">
        <v>46</v>
      </c>
      <c r="E462" s="28" t="s">
        <v>31</v>
      </c>
      <c r="F462" s="29">
        <v>1403</v>
      </c>
      <c r="G462" s="30">
        <v>90</v>
      </c>
      <c r="H462" s="31">
        <v>58</v>
      </c>
      <c r="I462" s="32">
        <v>1435</v>
      </c>
      <c r="J462" s="34">
        <v>64.400000000000006</v>
      </c>
    </row>
    <row r="463" spans="1:10" ht="15.75" customHeight="1">
      <c r="A463" s="14" t="s">
        <v>7</v>
      </c>
      <c r="B463" s="15">
        <v>46064</v>
      </c>
      <c r="C463" s="16" t="s">
        <v>53</v>
      </c>
      <c r="D463" s="17" t="s">
        <v>46</v>
      </c>
      <c r="E463" s="18" t="s">
        <v>33</v>
      </c>
      <c r="F463" s="19">
        <v>627</v>
      </c>
      <c r="G463" s="20">
        <v>70</v>
      </c>
      <c r="H463" s="21">
        <v>56</v>
      </c>
      <c r="I463" s="22">
        <v>641</v>
      </c>
      <c r="J463" s="35">
        <v>80</v>
      </c>
    </row>
    <row r="464" spans="1:10" ht="15.75" customHeight="1">
      <c r="A464" s="24" t="s">
        <v>7</v>
      </c>
      <c r="B464" s="25">
        <v>46064</v>
      </c>
      <c r="C464" s="26" t="s">
        <v>53</v>
      </c>
      <c r="D464" s="27" t="s">
        <v>46</v>
      </c>
      <c r="E464" s="28" t="s">
        <v>36</v>
      </c>
      <c r="F464" s="29">
        <v>1877</v>
      </c>
      <c r="G464" s="30">
        <v>154</v>
      </c>
      <c r="H464" s="31">
        <v>120</v>
      </c>
      <c r="I464" s="32">
        <v>1911</v>
      </c>
      <c r="J464" s="33">
        <v>77.900000000000006</v>
      </c>
    </row>
    <row r="465" spans="1:10" ht="15.75" customHeight="1">
      <c r="A465" s="14" t="s">
        <v>7</v>
      </c>
      <c r="B465" s="15">
        <v>46065</v>
      </c>
      <c r="C465" s="16" t="s">
        <v>45</v>
      </c>
      <c r="D465" s="17" t="s">
        <v>46</v>
      </c>
      <c r="E465" s="18" t="s">
        <v>26</v>
      </c>
      <c r="F465" s="19">
        <v>1528</v>
      </c>
      <c r="G465" s="20">
        <v>96</v>
      </c>
      <c r="H465" s="21">
        <v>68</v>
      </c>
      <c r="I465" s="22">
        <v>1556</v>
      </c>
      <c r="J465" s="23">
        <v>70.8</v>
      </c>
    </row>
    <row r="466" spans="1:10" ht="15.75" customHeight="1">
      <c r="A466" s="24" t="s">
        <v>7</v>
      </c>
      <c r="B466" s="25">
        <v>46065</v>
      </c>
      <c r="C466" s="26" t="s">
        <v>45</v>
      </c>
      <c r="D466" s="27" t="s">
        <v>46</v>
      </c>
      <c r="E466" s="28" t="s">
        <v>27</v>
      </c>
      <c r="F466" s="29">
        <v>1102</v>
      </c>
      <c r="G466" s="30">
        <v>84</v>
      </c>
      <c r="H466" s="31">
        <v>58</v>
      </c>
      <c r="I466" s="32">
        <v>1128</v>
      </c>
      <c r="J466" s="34">
        <v>69</v>
      </c>
    </row>
    <row r="467" spans="1:10" ht="15.75" customHeight="1">
      <c r="A467" s="14" t="s">
        <v>7</v>
      </c>
      <c r="B467" s="15">
        <v>46065</v>
      </c>
      <c r="C467" s="16" t="s">
        <v>45</v>
      </c>
      <c r="D467" s="17" t="s">
        <v>46</v>
      </c>
      <c r="E467" s="18" t="s">
        <v>30</v>
      </c>
      <c r="F467" s="19">
        <v>1694</v>
      </c>
      <c r="G467" s="20">
        <v>98</v>
      </c>
      <c r="H467" s="21">
        <v>60</v>
      </c>
      <c r="I467" s="22">
        <v>1732</v>
      </c>
      <c r="J467" s="23">
        <v>61.2</v>
      </c>
    </row>
    <row r="468" spans="1:10" ht="15.75" customHeight="1">
      <c r="A468" s="24" t="s">
        <v>7</v>
      </c>
      <c r="B468" s="25">
        <v>46065</v>
      </c>
      <c r="C468" s="26" t="s">
        <v>45</v>
      </c>
      <c r="D468" s="27" t="s">
        <v>46</v>
      </c>
      <c r="E468" s="28" t="s">
        <v>32</v>
      </c>
      <c r="F468" s="29">
        <v>922</v>
      </c>
      <c r="G468" s="30">
        <v>92</v>
      </c>
      <c r="H468" s="31">
        <v>86</v>
      </c>
      <c r="I468" s="32">
        <v>928</v>
      </c>
      <c r="J468" s="33">
        <v>93.5</v>
      </c>
    </row>
    <row r="469" spans="1:10" ht="15.75" customHeight="1">
      <c r="A469" s="14" t="s">
        <v>7</v>
      </c>
      <c r="B469" s="15">
        <v>46065</v>
      </c>
      <c r="C469" s="16" t="s">
        <v>45</v>
      </c>
      <c r="D469" s="17" t="s">
        <v>46</v>
      </c>
      <c r="E469" s="18" t="s">
        <v>34</v>
      </c>
      <c r="F469" s="19">
        <v>1621</v>
      </c>
      <c r="G469" s="20">
        <v>164</v>
      </c>
      <c r="H469" s="21">
        <v>131</v>
      </c>
      <c r="I469" s="22">
        <v>1654</v>
      </c>
      <c r="J469" s="35">
        <v>79.900000000000006</v>
      </c>
    </row>
    <row r="470" spans="1:10" ht="15.75" customHeight="1">
      <c r="A470" s="24" t="s">
        <v>7</v>
      </c>
      <c r="B470" s="25">
        <v>46065</v>
      </c>
      <c r="C470" s="26" t="s">
        <v>45</v>
      </c>
      <c r="D470" s="27" t="s">
        <v>46</v>
      </c>
      <c r="E470" s="28" t="s">
        <v>25</v>
      </c>
      <c r="F470" s="29">
        <v>1033</v>
      </c>
      <c r="G470" s="30">
        <v>84</v>
      </c>
      <c r="H470" s="31">
        <v>72</v>
      </c>
      <c r="I470" s="32">
        <v>1045</v>
      </c>
      <c r="J470" s="33">
        <v>85.7</v>
      </c>
    </row>
    <row r="471" spans="1:10" ht="15.75" customHeight="1">
      <c r="A471" s="14" t="s">
        <v>7</v>
      </c>
      <c r="B471" s="15">
        <v>46065</v>
      </c>
      <c r="C471" s="16" t="s">
        <v>45</v>
      </c>
      <c r="D471" s="17" t="s">
        <v>46</v>
      </c>
      <c r="E471" s="18" t="s">
        <v>35</v>
      </c>
      <c r="F471" s="19">
        <v>1177</v>
      </c>
      <c r="G471" s="20">
        <v>112</v>
      </c>
      <c r="H471" s="21">
        <v>100</v>
      </c>
      <c r="I471" s="22">
        <v>1189</v>
      </c>
      <c r="J471" s="35">
        <v>89.3</v>
      </c>
    </row>
    <row r="472" spans="1:10" ht="15.75" customHeight="1">
      <c r="A472" s="24" t="s">
        <v>7</v>
      </c>
      <c r="B472" s="25">
        <v>46065</v>
      </c>
      <c r="C472" s="26" t="s">
        <v>45</v>
      </c>
      <c r="D472" s="27" t="s">
        <v>46</v>
      </c>
      <c r="E472" s="28" t="s">
        <v>29</v>
      </c>
      <c r="F472" s="29">
        <v>1237</v>
      </c>
      <c r="G472" s="30">
        <v>124</v>
      </c>
      <c r="H472" s="31">
        <v>87</v>
      </c>
      <c r="I472" s="32">
        <v>1274</v>
      </c>
      <c r="J472" s="34">
        <v>70.2</v>
      </c>
    </row>
    <row r="473" spans="1:10" ht="15.75" customHeight="1">
      <c r="A473" s="14" t="s">
        <v>7</v>
      </c>
      <c r="B473" s="15">
        <v>46065</v>
      </c>
      <c r="C473" s="16" t="s">
        <v>45</v>
      </c>
      <c r="D473" s="17" t="s">
        <v>46</v>
      </c>
      <c r="E473" s="18" t="s">
        <v>31</v>
      </c>
      <c r="F473" s="19">
        <v>1435</v>
      </c>
      <c r="G473" s="20">
        <v>126</v>
      </c>
      <c r="H473" s="21">
        <v>105</v>
      </c>
      <c r="I473" s="22">
        <v>1456</v>
      </c>
      <c r="J473" s="35">
        <v>83.3</v>
      </c>
    </row>
    <row r="474" spans="1:10" ht="15.75" customHeight="1">
      <c r="A474" s="24" t="s">
        <v>7</v>
      </c>
      <c r="B474" s="25">
        <v>46065</v>
      </c>
      <c r="C474" s="26" t="s">
        <v>45</v>
      </c>
      <c r="D474" s="27" t="s">
        <v>46</v>
      </c>
      <c r="E474" s="28" t="s">
        <v>33</v>
      </c>
      <c r="F474" s="29">
        <v>641</v>
      </c>
      <c r="G474" s="30">
        <v>80</v>
      </c>
      <c r="H474" s="31">
        <v>68</v>
      </c>
      <c r="I474" s="32">
        <v>653</v>
      </c>
      <c r="J474" s="33">
        <v>85</v>
      </c>
    </row>
    <row r="475" spans="1:10" ht="15.75" customHeight="1">
      <c r="A475" s="14" t="s">
        <v>7</v>
      </c>
      <c r="B475" s="15">
        <v>46065</v>
      </c>
      <c r="C475" s="16" t="s">
        <v>45</v>
      </c>
      <c r="D475" s="17" t="s">
        <v>46</v>
      </c>
      <c r="E475" s="18" t="s">
        <v>36</v>
      </c>
      <c r="F475" s="19">
        <v>1911</v>
      </c>
      <c r="G475" s="20">
        <v>161</v>
      </c>
      <c r="H475" s="21">
        <v>111</v>
      </c>
      <c r="I475" s="22">
        <v>1961</v>
      </c>
      <c r="J475" s="23">
        <v>68.900000000000006</v>
      </c>
    </row>
    <row r="476" spans="1:10" ht="15.75" customHeight="1">
      <c r="A476" s="24" t="s">
        <v>7</v>
      </c>
      <c r="B476" s="25">
        <v>46066</v>
      </c>
      <c r="C476" s="26" t="s">
        <v>47</v>
      </c>
      <c r="D476" s="27" t="s">
        <v>46</v>
      </c>
      <c r="E476" s="28" t="s">
        <v>26</v>
      </c>
      <c r="F476" s="29">
        <v>1556</v>
      </c>
      <c r="G476" s="30">
        <v>116</v>
      </c>
      <c r="H476" s="31">
        <v>79</v>
      </c>
      <c r="I476" s="32">
        <v>1593</v>
      </c>
      <c r="J476" s="34">
        <v>68.099999999999994</v>
      </c>
    </row>
    <row r="477" spans="1:10" ht="15.75" customHeight="1">
      <c r="A477" s="14" t="s">
        <v>7</v>
      </c>
      <c r="B477" s="15">
        <v>46066</v>
      </c>
      <c r="C477" s="16" t="s">
        <v>47</v>
      </c>
      <c r="D477" s="17" t="s">
        <v>46</v>
      </c>
      <c r="E477" s="18" t="s">
        <v>27</v>
      </c>
      <c r="F477" s="19">
        <v>1128</v>
      </c>
      <c r="G477" s="20">
        <v>104</v>
      </c>
      <c r="H477" s="21">
        <v>84</v>
      </c>
      <c r="I477" s="22">
        <v>1148</v>
      </c>
      <c r="J477" s="35">
        <v>80.8</v>
      </c>
    </row>
    <row r="478" spans="1:10" ht="15.75" customHeight="1">
      <c r="A478" s="24" t="s">
        <v>7</v>
      </c>
      <c r="B478" s="25">
        <v>46066</v>
      </c>
      <c r="C478" s="26" t="s">
        <v>47</v>
      </c>
      <c r="D478" s="27" t="s">
        <v>46</v>
      </c>
      <c r="E478" s="28" t="s">
        <v>30</v>
      </c>
      <c r="F478" s="29">
        <v>1732</v>
      </c>
      <c r="G478" s="30">
        <v>131</v>
      </c>
      <c r="H478" s="31">
        <v>82</v>
      </c>
      <c r="I478" s="32">
        <v>1781</v>
      </c>
      <c r="J478" s="34">
        <v>62.6</v>
      </c>
    </row>
    <row r="479" spans="1:10" ht="15.75" customHeight="1">
      <c r="A479" s="14" t="s">
        <v>7</v>
      </c>
      <c r="B479" s="15">
        <v>46066</v>
      </c>
      <c r="C479" s="16" t="s">
        <v>47</v>
      </c>
      <c r="D479" s="17" t="s">
        <v>46</v>
      </c>
      <c r="E479" s="18" t="s">
        <v>32</v>
      </c>
      <c r="F479" s="19">
        <v>928</v>
      </c>
      <c r="G479" s="20">
        <v>75</v>
      </c>
      <c r="H479" s="21">
        <v>60</v>
      </c>
      <c r="I479" s="22">
        <v>943</v>
      </c>
      <c r="J479" s="35">
        <v>80</v>
      </c>
    </row>
    <row r="480" spans="1:10" ht="15.75" customHeight="1">
      <c r="A480" s="24" t="s">
        <v>7</v>
      </c>
      <c r="B480" s="25">
        <v>46066</v>
      </c>
      <c r="C480" s="26" t="s">
        <v>47</v>
      </c>
      <c r="D480" s="27" t="s">
        <v>46</v>
      </c>
      <c r="E480" s="28" t="s">
        <v>34</v>
      </c>
      <c r="F480" s="29">
        <v>1654</v>
      </c>
      <c r="G480" s="30">
        <v>109</v>
      </c>
      <c r="H480" s="31">
        <v>78</v>
      </c>
      <c r="I480" s="32">
        <v>1685</v>
      </c>
      <c r="J480" s="34">
        <v>71.599999999999994</v>
      </c>
    </row>
    <row r="481" spans="1:10" ht="15.75" customHeight="1">
      <c r="A481" s="14" t="s">
        <v>7</v>
      </c>
      <c r="B481" s="15">
        <v>46066</v>
      </c>
      <c r="C481" s="16" t="s">
        <v>47</v>
      </c>
      <c r="D481" s="17" t="s">
        <v>46</v>
      </c>
      <c r="E481" s="18" t="s">
        <v>25</v>
      </c>
      <c r="F481" s="19">
        <v>1045</v>
      </c>
      <c r="G481" s="20">
        <v>90</v>
      </c>
      <c r="H481" s="21">
        <v>68</v>
      </c>
      <c r="I481" s="22">
        <v>1067</v>
      </c>
      <c r="J481" s="35">
        <v>75.599999999999994</v>
      </c>
    </row>
    <row r="482" spans="1:10" ht="15.75" customHeight="1">
      <c r="A482" s="24" t="s">
        <v>7</v>
      </c>
      <c r="B482" s="25">
        <v>46066</v>
      </c>
      <c r="C482" s="26" t="s">
        <v>47</v>
      </c>
      <c r="D482" s="27" t="s">
        <v>46</v>
      </c>
      <c r="E482" s="28" t="s">
        <v>35</v>
      </c>
      <c r="F482" s="29">
        <v>1189</v>
      </c>
      <c r="G482" s="30">
        <v>121</v>
      </c>
      <c r="H482" s="31">
        <v>90</v>
      </c>
      <c r="I482" s="32">
        <v>1220</v>
      </c>
      <c r="J482" s="34">
        <v>74.400000000000006</v>
      </c>
    </row>
    <row r="483" spans="1:10" ht="15.75" customHeight="1">
      <c r="A483" s="14" t="s">
        <v>7</v>
      </c>
      <c r="B483" s="15">
        <v>46066</v>
      </c>
      <c r="C483" s="16" t="s">
        <v>47</v>
      </c>
      <c r="D483" s="17" t="s">
        <v>46</v>
      </c>
      <c r="E483" s="18" t="s">
        <v>29</v>
      </c>
      <c r="F483" s="19">
        <v>1274</v>
      </c>
      <c r="G483" s="20">
        <v>104</v>
      </c>
      <c r="H483" s="21">
        <v>82</v>
      </c>
      <c r="I483" s="22">
        <v>1296</v>
      </c>
      <c r="J483" s="35">
        <v>78.8</v>
      </c>
    </row>
    <row r="484" spans="1:10" ht="15.75" customHeight="1">
      <c r="A484" s="24" t="s">
        <v>7</v>
      </c>
      <c r="B484" s="25">
        <v>46066</v>
      </c>
      <c r="C484" s="26" t="s">
        <v>47</v>
      </c>
      <c r="D484" s="27" t="s">
        <v>46</v>
      </c>
      <c r="E484" s="28" t="s">
        <v>31</v>
      </c>
      <c r="F484" s="29">
        <v>1456</v>
      </c>
      <c r="G484" s="30">
        <v>92</v>
      </c>
      <c r="H484" s="31">
        <v>58</v>
      </c>
      <c r="I484" s="32">
        <v>1490</v>
      </c>
      <c r="J484" s="34">
        <v>63</v>
      </c>
    </row>
    <row r="485" spans="1:10" ht="15.75" customHeight="1">
      <c r="A485" s="14" t="s">
        <v>7</v>
      </c>
      <c r="B485" s="15">
        <v>46066</v>
      </c>
      <c r="C485" s="16" t="s">
        <v>47</v>
      </c>
      <c r="D485" s="17" t="s">
        <v>46</v>
      </c>
      <c r="E485" s="18" t="s">
        <v>33</v>
      </c>
      <c r="F485" s="19">
        <v>653</v>
      </c>
      <c r="G485" s="20">
        <v>78</v>
      </c>
      <c r="H485" s="21">
        <v>61</v>
      </c>
      <c r="I485" s="22">
        <v>670</v>
      </c>
      <c r="J485" s="35">
        <v>78.2</v>
      </c>
    </row>
    <row r="486" spans="1:10" ht="15.75" customHeight="1">
      <c r="A486" s="24" t="s">
        <v>7</v>
      </c>
      <c r="B486" s="25">
        <v>46066</v>
      </c>
      <c r="C486" s="26" t="s">
        <v>47</v>
      </c>
      <c r="D486" s="27" t="s">
        <v>46</v>
      </c>
      <c r="E486" s="28" t="s">
        <v>36</v>
      </c>
      <c r="F486" s="29">
        <v>1961</v>
      </c>
      <c r="G486" s="30">
        <v>145</v>
      </c>
      <c r="H486" s="31">
        <v>111</v>
      </c>
      <c r="I486" s="32">
        <v>1995</v>
      </c>
      <c r="J486" s="33">
        <v>76.599999999999994</v>
      </c>
    </row>
    <row r="487" spans="1:10" ht="15.75" customHeight="1">
      <c r="A487" s="36" t="s">
        <v>7</v>
      </c>
      <c r="B487" s="37">
        <v>46067</v>
      </c>
      <c r="C487" s="38" t="s">
        <v>48</v>
      </c>
      <c r="D487" s="39" t="s">
        <v>49</v>
      </c>
      <c r="E487" s="40" t="s">
        <v>26</v>
      </c>
      <c r="F487" s="41">
        <v>1593</v>
      </c>
      <c r="G487" s="42">
        <v>58</v>
      </c>
      <c r="H487" s="43">
        <v>40</v>
      </c>
      <c r="I487" s="44">
        <v>1611</v>
      </c>
      <c r="J487" s="46">
        <v>69</v>
      </c>
    </row>
    <row r="488" spans="1:10" ht="15.75" customHeight="1">
      <c r="A488" s="36" t="s">
        <v>7</v>
      </c>
      <c r="B488" s="37">
        <v>46067</v>
      </c>
      <c r="C488" s="38" t="s">
        <v>48</v>
      </c>
      <c r="D488" s="39" t="s">
        <v>49</v>
      </c>
      <c r="E488" s="40" t="s">
        <v>27</v>
      </c>
      <c r="F488" s="41">
        <v>1148</v>
      </c>
      <c r="G488" s="42">
        <v>56</v>
      </c>
      <c r="H488" s="43">
        <v>48</v>
      </c>
      <c r="I488" s="44">
        <v>1156</v>
      </c>
      <c r="J488" s="45">
        <v>85.7</v>
      </c>
    </row>
    <row r="489" spans="1:10" ht="15.75" customHeight="1">
      <c r="A489" s="36" t="s">
        <v>7</v>
      </c>
      <c r="B489" s="37">
        <v>46067</v>
      </c>
      <c r="C489" s="38" t="s">
        <v>48</v>
      </c>
      <c r="D489" s="39" t="s">
        <v>49</v>
      </c>
      <c r="E489" s="40" t="s">
        <v>30</v>
      </c>
      <c r="F489" s="41">
        <v>1781</v>
      </c>
      <c r="G489" s="42">
        <v>76</v>
      </c>
      <c r="H489" s="43">
        <v>54</v>
      </c>
      <c r="I489" s="44">
        <v>1803</v>
      </c>
      <c r="J489" s="46">
        <v>71.099999999999994</v>
      </c>
    </row>
    <row r="490" spans="1:10" ht="15.75" customHeight="1">
      <c r="A490" s="36" t="s">
        <v>7</v>
      </c>
      <c r="B490" s="37">
        <v>46067</v>
      </c>
      <c r="C490" s="38" t="s">
        <v>48</v>
      </c>
      <c r="D490" s="39" t="s">
        <v>49</v>
      </c>
      <c r="E490" s="40" t="s">
        <v>32</v>
      </c>
      <c r="F490" s="41">
        <v>943</v>
      </c>
      <c r="G490" s="42">
        <v>36</v>
      </c>
      <c r="H490" s="43">
        <v>32</v>
      </c>
      <c r="I490" s="44">
        <v>947</v>
      </c>
      <c r="J490" s="45">
        <v>88.9</v>
      </c>
    </row>
    <row r="491" spans="1:10" ht="15.75" customHeight="1">
      <c r="A491" s="36" t="s">
        <v>7</v>
      </c>
      <c r="B491" s="37">
        <v>46067</v>
      </c>
      <c r="C491" s="38" t="s">
        <v>48</v>
      </c>
      <c r="D491" s="39" t="s">
        <v>49</v>
      </c>
      <c r="E491" s="40" t="s">
        <v>34</v>
      </c>
      <c r="F491" s="41">
        <v>1685</v>
      </c>
      <c r="G491" s="42">
        <v>58</v>
      </c>
      <c r="H491" s="43">
        <v>42</v>
      </c>
      <c r="I491" s="44">
        <v>1701</v>
      </c>
      <c r="J491" s="46">
        <v>72.400000000000006</v>
      </c>
    </row>
    <row r="492" spans="1:10" ht="15.75" customHeight="1">
      <c r="A492" s="36" t="s">
        <v>7</v>
      </c>
      <c r="B492" s="37">
        <v>46067</v>
      </c>
      <c r="C492" s="38" t="s">
        <v>48</v>
      </c>
      <c r="D492" s="39" t="s">
        <v>49</v>
      </c>
      <c r="E492" s="40" t="s">
        <v>25</v>
      </c>
      <c r="F492" s="41">
        <v>1067</v>
      </c>
      <c r="G492" s="42">
        <v>36</v>
      </c>
      <c r="H492" s="43">
        <v>31</v>
      </c>
      <c r="I492" s="44">
        <v>1072</v>
      </c>
      <c r="J492" s="45">
        <v>86.1</v>
      </c>
    </row>
    <row r="493" spans="1:10" ht="15.75" customHeight="1">
      <c r="A493" s="36" t="s">
        <v>7</v>
      </c>
      <c r="B493" s="37">
        <v>46067</v>
      </c>
      <c r="C493" s="38" t="s">
        <v>48</v>
      </c>
      <c r="D493" s="39" t="s">
        <v>49</v>
      </c>
      <c r="E493" s="40" t="s">
        <v>35</v>
      </c>
      <c r="F493" s="41">
        <v>1220</v>
      </c>
      <c r="G493" s="42">
        <v>53</v>
      </c>
      <c r="H493" s="43">
        <v>46</v>
      </c>
      <c r="I493" s="44">
        <v>1227</v>
      </c>
      <c r="J493" s="45">
        <v>86.8</v>
      </c>
    </row>
    <row r="494" spans="1:10" ht="15.75" customHeight="1">
      <c r="A494" s="36" t="s">
        <v>7</v>
      </c>
      <c r="B494" s="37">
        <v>46067</v>
      </c>
      <c r="C494" s="38" t="s">
        <v>48</v>
      </c>
      <c r="D494" s="39" t="s">
        <v>49</v>
      </c>
      <c r="E494" s="40" t="s">
        <v>29</v>
      </c>
      <c r="F494" s="41">
        <v>1296</v>
      </c>
      <c r="G494" s="42">
        <v>49</v>
      </c>
      <c r="H494" s="43">
        <v>34</v>
      </c>
      <c r="I494" s="44">
        <v>1311</v>
      </c>
      <c r="J494" s="46">
        <v>69.400000000000006</v>
      </c>
    </row>
    <row r="495" spans="1:10" ht="15.75" customHeight="1">
      <c r="A495" s="36" t="s">
        <v>7</v>
      </c>
      <c r="B495" s="37">
        <v>46067</v>
      </c>
      <c r="C495" s="38" t="s">
        <v>48</v>
      </c>
      <c r="D495" s="39" t="s">
        <v>49</v>
      </c>
      <c r="E495" s="40" t="s">
        <v>31</v>
      </c>
      <c r="F495" s="41">
        <v>1490</v>
      </c>
      <c r="G495" s="42">
        <v>63</v>
      </c>
      <c r="H495" s="43">
        <v>47</v>
      </c>
      <c r="I495" s="44">
        <v>1506</v>
      </c>
      <c r="J495" s="46">
        <v>74.599999999999994</v>
      </c>
    </row>
    <row r="496" spans="1:10" ht="15.75" customHeight="1">
      <c r="A496" s="36" t="s">
        <v>7</v>
      </c>
      <c r="B496" s="37">
        <v>46067</v>
      </c>
      <c r="C496" s="38" t="s">
        <v>48</v>
      </c>
      <c r="D496" s="39" t="s">
        <v>49</v>
      </c>
      <c r="E496" s="40" t="s">
        <v>33</v>
      </c>
      <c r="F496" s="41">
        <v>670</v>
      </c>
      <c r="G496" s="42">
        <v>38</v>
      </c>
      <c r="H496" s="43">
        <v>30</v>
      </c>
      <c r="I496" s="44">
        <v>678</v>
      </c>
      <c r="J496" s="45">
        <v>78.900000000000006</v>
      </c>
    </row>
    <row r="497" spans="1:10" ht="15.75" customHeight="1">
      <c r="A497" s="36" t="s">
        <v>7</v>
      </c>
      <c r="B497" s="37">
        <v>46067</v>
      </c>
      <c r="C497" s="38" t="s">
        <v>48</v>
      </c>
      <c r="D497" s="39" t="s">
        <v>49</v>
      </c>
      <c r="E497" s="40" t="s">
        <v>36</v>
      </c>
      <c r="F497" s="41">
        <v>1995</v>
      </c>
      <c r="G497" s="42">
        <v>79</v>
      </c>
      <c r="H497" s="43">
        <v>52</v>
      </c>
      <c r="I497" s="44">
        <v>2022</v>
      </c>
      <c r="J497" s="46">
        <v>65.8</v>
      </c>
    </row>
    <row r="498" spans="1:10" ht="15.75" customHeight="1">
      <c r="A498" s="36" t="s">
        <v>7</v>
      </c>
      <c r="B498" s="37">
        <v>46068</v>
      </c>
      <c r="C498" s="38" t="s">
        <v>50</v>
      </c>
      <c r="D498" s="39" t="s">
        <v>49</v>
      </c>
      <c r="E498" s="40" t="s">
        <v>26</v>
      </c>
      <c r="F498" s="41">
        <v>1611</v>
      </c>
      <c r="G498" s="42">
        <v>45</v>
      </c>
      <c r="H498" s="43">
        <v>32</v>
      </c>
      <c r="I498" s="44">
        <v>1624</v>
      </c>
      <c r="J498" s="46">
        <v>71.099999999999994</v>
      </c>
    </row>
    <row r="499" spans="1:10" ht="15.75" customHeight="1">
      <c r="A499" s="36" t="s">
        <v>7</v>
      </c>
      <c r="B499" s="37">
        <v>46068</v>
      </c>
      <c r="C499" s="38" t="s">
        <v>50</v>
      </c>
      <c r="D499" s="39" t="s">
        <v>49</v>
      </c>
      <c r="E499" s="40" t="s">
        <v>27</v>
      </c>
      <c r="F499" s="41">
        <v>1156</v>
      </c>
      <c r="G499" s="42">
        <v>49</v>
      </c>
      <c r="H499" s="43">
        <v>34</v>
      </c>
      <c r="I499" s="44">
        <v>1171</v>
      </c>
      <c r="J499" s="46">
        <v>69.400000000000006</v>
      </c>
    </row>
    <row r="500" spans="1:10" ht="15.75" customHeight="1">
      <c r="A500" s="36" t="s">
        <v>7</v>
      </c>
      <c r="B500" s="37">
        <v>46068</v>
      </c>
      <c r="C500" s="38" t="s">
        <v>50</v>
      </c>
      <c r="D500" s="39" t="s">
        <v>49</v>
      </c>
      <c r="E500" s="40" t="s">
        <v>30</v>
      </c>
      <c r="F500" s="41">
        <v>1803</v>
      </c>
      <c r="G500" s="42">
        <v>49</v>
      </c>
      <c r="H500" s="43">
        <v>39</v>
      </c>
      <c r="I500" s="44">
        <v>1813</v>
      </c>
      <c r="J500" s="45">
        <v>79.599999999999994</v>
      </c>
    </row>
    <row r="501" spans="1:10" ht="15.75" customHeight="1">
      <c r="A501" s="36" t="s">
        <v>7</v>
      </c>
      <c r="B501" s="37">
        <v>46068</v>
      </c>
      <c r="C501" s="38" t="s">
        <v>50</v>
      </c>
      <c r="D501" s="39" t="s">
        <v>49</v>
      </c>
      <c r="E501" s="40" t="s">
        <v>32</v>
      </c>
      <c r="F501" s="41">
        <v>947</v>
      </c>
      <c r="G501" s="42">
        <v>38</v>
      </c>
      <c r="H501" s="43">
        <v>30</v>
      </c>
      <c r="I501" s="44">
        <v>955</v>
      </c>
      <c r="J501" s="45">
        <v>78.900000000000006</v>
      </c>
    </row>
    <row r="502" spans="1:10" ht="15.75" customHeight="1">
      <c r="A502" s="36" t="s">
        <v>7</v>
      </c>
      <c r="B502" s="37">
        <v>46068</v>
      </c>
      <c r="C502" s="38" t="s">
        <v>50</v>
      </c>
      <c r="D502" s="39" t="s">
        <v>49</v>
      </c>
      <c r="E502" s="40" t="s">
        <v>34</v>
      </c>
      <c r="F502" s="41">
        <v>1701</v>
      </c>
      <c r="G502" s="42">
        <v>79</v>
      </c>
      <c r="H502" s="43">
        <v>52</v>
      </c>
      <c r="I502" s="44">
        <v>1728</v>
      </c>
      <c r="J502" s="46">
        <v>65.8</v>
      </c>
    </row>
    <row r="503" spans="1:10" ht="15.75" customHeight="1">
      <c r="A503" s="36" t="s">
        <v>7</v>
      </c>
      <c r="B503" s="37">
        <v>46068</v>
      </c>
      <c r="C503" s="38" t="s">
        <v>50</v>
      </c>
      <c r="D503" s="39" t="s">
        <v>49</v>
      </c>
      <c r="E503" s="40" t="s">
        <v>25</v>
      </c>
      <c r="F503" s="41">
        <v>1072</v>
      </c>
      <c r="G503" s="42">
        <v>36</v>
      </c>
      <c r="H503" s="43">
        <v>27</v>
      </c>
      <c r="I503" s="44">
        <v>1081</v>
      </c>
      <c r="J503" s="45">
        <v>75</v>
      </c>
    </row>
    <row r="504" spans="1:10" ht="15.75" customHeight="1">
      <c r="A504" s="36" t="s">
        <v>7</v>
      </c>
      <c r="B504" s="37">
        <v>46068</v>
      </c>
      <c r="C504" s="38" t="s">
        <v>50</v>
      </c>
      <c r="D504" s="39" t="s">
        <v>49</v>
      </c>
      <c r="E504" s="40" t="s">
        <v>35</v>
      </c>
      <c r="F504" s="41">
        <v>1227</v>
      </c>
      <c r="G504" s="42">
        <v>57</v>
      </c>
      <c r="H504" s="43">
        <v>43</v>
      </c>
      <c r="I504" s="44">
        <v>1241</v>
      </c>
      <c r="J504" s="45">
        <v>75.400000000000006</v>
      </c>
    </row>
    <row r="505" spans="1:10" ht="15.75" customHeight="1">
      <c r="A505" s="36" t="s">
        <v>7</v>
      </c>
      <c r="B505" s="37">
        <v>46068</v>
      </c>
      <c r="C505" s="38" t="s">
        <v>50</v>
      </c>
      <c r="D505" s="39" t="s">
        <v>49</v>
      </c>
      <c r="E505" s="40" t="s">
        <v>29</v>
      </c>
      <c r="F505" s="41">
        <v>1311</v>
      </c>
      <c r="G505" s="42">
        <v>58</v>
      </c>
      <c r="H505" s="43">
        <v>44</v>
      </c>
      <c r="I505" s="44">
        <v>1325</v>
      </c>
      <c r="J505" s="45">
        <v>75.900000000000006</v>
      </c>
    </row>
    <row r="506" spans="1:10" ht="15.75" customHeight="1">
      <c r="A506" s="36" t="s">
        <v>7</v>
      </c>
      <c r="B506" s="37">
        <v>46068</v>
      </c>
      <c r="C506" s="38" t="s">
        <v>50</v>
      </c>
      <c r="D506" s="39" t="s">
        <v>49</v>
      </c>
      <c r="E506" s="40" t="s">
        <v>31</v>
      </c>
      <c r="F506" s="41">
        <v>1506</v>
      </c>
      <c r="G506" s="42">
        <v>58</v>
      </c>
      <c r="H506" s="43">
        <v>48</v>
      </c>
      <c r="I506" s="44">
        <v>1516</v>
      </c>
      <c r="J506" s="45">
        <v>82.8</v>
      </c>
    </row>
    <row r="507" spans="1:10" ht="15.75" customHeight="1">
      <c r="A507" s="36" t="s">
        <v>7</v>
      </c>
      <c r="B507" s="37">
        <v>46068</v>
      </c>
      <c r="C507" s="38" t="s">
        <v>50</v>
      </c>
      <c r="D507" s="39" t="s">
        <v>49</v>
      </c>
      <c r="E507" s="40" t="s">
        <v>33</v>
      </c>
      <c r="F507" s="41">
        <v>678</v>
      </c>
      <c r="G507" s="42">
        <v>28</v>
      </c>
      <c r="H507" s="43">
        <v>21</v>
      </c>
      <c r="I507" s="44">
        <v>685</v>
      </c>
      <c r="J507" s="45">
        <v>75</v>
      </c>
    </row>
    <row r="508" spans="1:10" ht="15.75" customHeight="1">
      <c r="A508" s="36" t="s">
        <v>7</v>
      </c>
      <c r="B508" s="37">
        <v>46068</v>
      </c>
      <c r="C508" s="38" t="s">
        <v>50</v>
      </c>
      <c r="D508" s="39" t="s">
        <v>49</v>
      </c>
      <c r="E508" s="40" t="s">
        <v>36</v>
      </c>
      <c r="F508" s="41">
        <v>2022</v>
      </c>
      <c r="G508" s="42">
        <v>42</v>
      </c>
      <c r="H508" s="43">
        <v>34</v>
      </c>
      <c r="I508" s="44">
        <v>2030</v>
      </c>
      <c r="J508" s="45">
        <v>81</v>
      </c>
    </row>
    <row r="509" spans="1:10" ht="15.75" customHeight="1">
      <c r="A509" s="14" t="s">
        <v>7</v>
      </c>
      <c r="B509" s="15">
        <v>46069</v>
      </c>
      <c r="C509" s="16" t="s">
        <v>51</v>
      </c>
      <c r="D509" s="17" t="s">
        <v>46</v>
      </c>
      <c r="E509" s="18" t="s">
        <v>26</v>
      </c>
      <c r="F509" s="19">
        <v>1624</v>
      </c>
      <c r="G509" s="20">
        <v>123</v>
      </c>
      <c r="H509" s="21">
        <v>85</v>
      </c>
      <c r="I509" s="22">
        <v>1662</v>
      </c>
      <c r="J509" s="23">
        <v>69.099999999999994</v>
      </c>
    </row>
    <row r="510" spans="1:10" ht="15.75" customHeight="1">
      <c r="A510" s="24" t="s">
        <v>7</v>
      </c>
      <c r="B510" s="25">
        <v>46069</v>
      </c>
      <c r="C510" s="26" t="s">
        <v>51</v>
      </c>
      <c r="D510" s="27" t="s">
        <v>46</v>
      </c>
      <c r="E510" s="28" t="s">
        <v>27</v>
      </c>
      <c r="F510" s="29">
        <v>1171</v>
      </c>
      <c r="G510" s="30">
        <v>113</v>
      </c>
      <c r="H510" s="31">
        <v>91</v>
      </c>
      <c r="I510" s="32">
        <v>1193</v>
      </c>
      <c r="J510" s="33">
        <v>80.5</v>
      </c>
    </row>
    <row r="511" spans="1:10" ht="15.75" customHeight="1">
      <c r="A511" s="14" t="s">
        <v>7</v>
      </c>
      <c r="B511" s="15">
        <v>46069</v>
      </c>
      <c r="C511" s="16" t="s">
        <v>51</v>
      </c>
      <c r="D511" s="17" t="s">
        <v>46</v>
      </c>
      <c r="E511" s="18" t="s">
        <v>30</v>
      </c>
      <c r="F511" s="19">
        <v>1813</v>
      </c>
      <c r="G511" s="20">
        <v>140</v>
      </c>
      <c r="H511" s="21">
        <v>101</v>
      </c>
      <c r="I511" s="22">
        <v>1852</v>
      </c>
      <c r="J511" s="23">
        <v>72.099999999999994</v>
      </c>
    </row>
    <row r="512" spans="1:10" ht="15.75" customHeight="1">
      <c r="A512" s="24" t="s">
        <v>7</v>
      </c>
      <c r="B512" s="25">
        <v>46069</v>
      </c>
      <c r="C512" s="26" t="s">
        <v>51</v>
      </c>
      <c r="D512" s="27" t="s">
        <v>46</v>
      </c>
      <c r="E512" s="28" t="s">
        <v>32</v>
      </c>
      <c r="F512" s="29">
        <v>955</v>
      </c>
      <c r="G512" s="30">
        <v>118</v>
      </c>
      <c r="H512" s="31">
        <v>90</v>
      </c>
      <c r="I512" s="32">
        <v>983</v>
      </c>
      <c r="J512" s="33">
        <v>76.3</v>
      </c>
    </row>
    <row r="513" spans="1:10" ht="15.75" customHeight="1">
      <c r="A513" s="14" t="s">
        <v>7</v>
      </c>
      <c r="B513" s="15">
        <v>46069</v>
      </c>
      <c r="C513" s="16" t="s">
        <v>51</v>
      </c>
      <c r="D513" s="17" t="s">
        <v>46</v>
      </c>
      <c r="E513" s="18" t="s">
        <v>34</v>
      </c>
      <c r="F513" s="19">
        <v>1728</v>
      </c>
      <c r="G513" s="20">
        <v>168</v>
      </c>
      <c r="H513" s="21">
        <v>123</v>
      </c>
      <c r="I513" s="22">
        <v>1773</v>
      </c>
      <c r="J513" s="23">
        <v>73.2</v>
      </c>
    </row>
    <row r="514" spans="1:10" ht="15.75" customHeight="1">
      <c r="A514" s="24" t="s">
        <v>7</v>
      </c>
      <c r="B514" s="25">
        <v>46069</v>
      </c>
      <c r="C514" s="26" t="s">
        <v>51</v>
      </c>
      <c r="D514" s="27" t="s">
        <v>46</v>
      </c>
      <c r="E514" s="28" t="s">
        <v>25</v>
      </c>
      <c r="F514" s="29">
        <v>1081</v>
      </c>
      <c r="G514" s="30">
        <v>91</v>
      </c>
      <c r="H514" s="31">
        <v>73</v>
      </c>
      <c r="I514" s="32">
        <v>1099</v>
      </c>
      <c r="J514" s="33">
        <v>80.2</v>
      </c>
    </row>
    <row r="515" spans="1:10" ht="15.75" customHeight="1">
      <c r="A515" s="14" t="s">
        <v>7</v>
      </c>
      <c r="B515" s="15">
        <v>46069</v>
      </c>
      <c r="C515" s="16" t="s">
        <v>51</v>
      </c>
      <c r="D515" s="17" t="s">
        <v>46</v>
      </c>
      <c r="E515" s="18" t="s">
        <v>35</v>
      </c>
      <c r="F515" s="19">
        <v>1241</v>
      </c>
      <c r="G515" s="20">
        <v>98</v>
      </c>
      <c r="H515" s="21">
        <v>88</v>
      </c>
      <c r="I515" s="22">
        <v>1251</v>
      </c>
      <c r="J515" s="35">
        <v>89.8</v>
      </c>
    </row>
    <row r="516" spans="1:10" ht="15.75" customHeight="1">
      <c r="A516" s="24" t="s">
        <v>7</v>
      </c>
      <c r="B516" s="25">
        <v>46069</v>
      </c>
      <c r="C516" s="26" t="s">
        <v>51</v>
      </c>
      <c r="D516" s="27" t="s">
        <v>46</v>
      </c>
      <c r="E516" s="28" t="s">
        <v>29</v>
      </c>
      <c r="F516" s="29">
        <v>1325</v>
      </c>
      <c r="G516" s="30">
        <v>92</v>
      </c>
      <c r="H516" s="31">
        <v>65</v>
      </c>
      <c r="I516" s="32">
        <v>1352</v>
      </c>
      <c r="J516" s="34">
        <v>70.7</v>
      </c>
    </row>
    <row r="517" spans="1:10" ht="15.75" customHeight="1">
      <c r="A517" s="14" t="s">
        <v>7</v>
      </c>
      <c r="B517" s="15">
        <v>46069</v>
      </c>
      <c r="C517" s="16" t="s">
        <v>51</v>
      </c>
      <c r="D517" s="17" t="s">
        <v>46</v>
      </c>
      <c r="E517" s="18" t="s">
        <v>31</v>
      </c>
      <c r="F517" s="19">
        <v>1516</v>
      </c>
      <c r="G517" s="20">
        <v>126</v>
      </c>
      <c r="H517" s="21">
        <v>87</v>
      </c>
      <c r="I517" s="22">
        <v>1555</v>
      </c>
      <c r="J517" s="23">
        <v>69</v>
      </c>
    </row>
    <row r="518" spans="1:10" ht="15.75" customHeight="1">
      <c r="A518" s="24" t="s">
        <v>7</v>
      </c>
      <c r="B518" s="25">
        <v>46069</v>
      </c>
      <c r="C518" s="26" t="s">
        <v>51</v>
      </c>
      <c r="D518" s="27" t="s">
        <v>46</v>
      </c>
      <c r="E518" s="28" t="s">
        <v>33</v>
      </c>
      <c r="F518" s="29">
        <v>685</v>
      </c>
      <c r="G518" s="30">
        <v>77</v>
      </c>
      <c r="H518" s="31">
        <v>61</v>
      </c>
      <c r="I518" s="32">
        <v>701</v>
      </c>
      <c r="J518" s="33">
        <v>79.2</v>
      </c>
    </row>
    <row r="519" spans="1:10" ht="15.75" customHeight="1">
      <c r="A519" s="14" t="s">
        <v>7</v>
      </c>
      <c r="B519" s="15">
        <v>46069</v>
      </c>
      <c r="C519" s="16" t="s">
        <v>51</v>
      </c>
      <c r="D519" s="17" t="s">
        <v>46</v>
      </c>
      <c r="E519" s="18" t="s">
        <v>36</v>
      </c>
      <c r="F519" s="19">
        <v>2030</v>
      </c>
      <c r="G519" s="20">
        <v>118</v>
      </c>
      <c r="H519" s="21">
        <v>95</v>
      </c>
      <c r="I519" s="22">
        <v>2053</v>
      </c>
      <c r="J519" s="35">
        <v>80.5</v>
      </c>
    </row>
    <row r="520" spans="1:10" ht="15.75" customHeight="1">
      <c r="A520" s="24" t="s">
        <v>7</v>
      </c>
      <c r="B520" s="25">
        <v>46070</v>
      </c>
      <c r="C520" s="26" t="s">
        <v>52</v>
      </c>
      <c r="D520" s="27" t="s">
        <v>46</v>
      </c>
      <c r="E520" s="28" t="s">
        <v>26</v>
      </c>
      <c r="F520" s="29">
        <v>1662</v>
      </c>
      <c r="G520" s="30">
        <v>82</v>
      </c>
      <c r="H520" s="31">
        <v>54</v>
      </c>
      <c r="I520" s="32">
        <v>1690</v>
      </c>
      <c r="J520" s="34">
        <v>65.900000000000006</v>
      </c>
    </row>
    <row r="521" spans="1:10" ht="15.75" customHeight="1">
      <c r="A521" s="14" t="s">
        <v>7</v>
      </c>
      <c r="B521" s="15">
        <v>46070</v>
      </c>
      <c r="C521" s="16" t="s">
        <v>52</v>
      </c>
      <c r="D521" s="17" t="s">
        <v>46</v>
      </c>
      <c r="E521" s="18" t="s">
        <v>27</v>
      </c>
      <c r="F521" s="19">
        <v>1193</v>
      </c>
      <c r="G521" s="20">
        <v>95</v>
      </c>
      <c r="H521" s="21">
        <v>68</v>
      </c>
      <c r="I521" s="22">
        <v>1220</v>
      </c>
      <c r="J521" s="23">
        <v>71.599999999999994</v>
      </c>
    </row>
    <row r="522" spans="1:10" ht="15.75" customHeight="1">
      <c r="A522" s="24" t="s">
        <v>7</v>
      </c>
      <c r="B522" s="25">
        <v>46070</v>
      </c>
      <c r="C522" s="26" t="s">
        <v>52</v>
      </c>
      <c r="D522" s="27" t="s">
        <v>46</v>
      </c>
      <c r="E522" s="28" t="s">
        <v>30</v>
      </c>
      <c r="F522" s="29">
        <v>1852</v>
      </c>
      <c r="G522" s="30">
        <v>110</v>
      </c>
      <c r="H522" s="31">
        <v>69</v>
      </c>
      <c r="I522" s="32">
        <v>1893</v>
      </c>
      <c r="J522" s="34">
        <v>62.7</v>
      </c>
    </row>
    <row r="523" spans="1:10" ht="15.75" customHeight="1">
      <c r="A523" s="14" t="s">
        <v>7</v>
      </c>
      <c r="B523" s="15">
        <v>46070</v>
      </c>
      <c r="C523" s="16" t="s">
        <v>52</v>
      </c>
      <c r="D523" s="17" t="s">
        <v>46</v>
      </c>
      <c r="E523" s="18" t="s">
        <v>32</v>
      </c>
      <c r="F523" s="19">
        <v>983</v>
      </c>
      <c r="G523" s="20">
        <v>68</v>
      </c>
      <c r="H523" s="21">
        <v>56</v>
      </c>
      <c r="I523" s="22">
        <v>995</v>
      </c>
      <c r="J523" s="35">
        <v>82.4</v>
      </c>
    </row>
    <row r="524" spans="1:10" ht="15.75" customHeight="1">
      <c r="A524" s="24" t="s">
        <v>7</v>
      </c>
      <c r="B524" s="25">
        <v>46070</v>
      </c>
      <c r="C524" s="26" t="s">
        <v>52</v>
      </c>
      <c r="D524" s="27" t="s">
        <v>46</v>
      </c>
      <c r="E524" s="28" t="s">
        <v>34</v>
      </c>
      <c r="F524" s="29">
        <v>1773</v>
      </c>
      <c r="G524" s="30">
        <v>124</v>
      </c>
      <c r="H524" s="31">
        <v>84</v>
      </c>
      <c r="I524" s="32">
        <v>1813</v>
      </c>
      <c r="J524" s="34">
        <v>67.7</v>
      </c>
    </row>
    <row r="525" spans="1:10" ht="15.75" customHeight="1">
      <c r="A525" s="14" t="s">
        <v>7</v>
      </c>
      <c r="B525" s="15">
        <v>46070</v>
      </c>
      <c r="C525" s="16" t="s">
        <v>52</v>
      </c>
      <c r="D525" s="17" t="s">
        <v>46</v>
      </c>
      <c r="E525" s="18" t="s">
        <v>25</v>
      </c>
      <c r="F525" s="19">
        <v>1099</v>
      </c>
      <c r="G525" s="20">
        <v>65</v>
      </c>
      <c r="H525" s="21">
        <v>47</v>
      </c>
      <c r="I525" s="22">
        <v>1117</v>
      </c>
      <c r="J525" s="23">
        <v>72.3</v>
      </c>
    </row>
    <row r="526" spans="1:10" ht="15.75" customHeight="1">
      <c r="A526" s="24" t="s">
        <v>7</v>
      </c>
      <c r="B526" s="25">
        <v>46070</v>
      </c>
      <c r="C526" s="26" t="s">
        <v>52</v>
      </c>
      <c r="D526" s="27" t="s">
        <v>46</v>
      </c>
      <c r="E526" s="28" t="s">
        <v>35</v>
      </c>
      <c r="F526" s="29">
        <v>1251</v>
      </c>
      <c r="G526" s="30">
        <v>106</v>
      </c>
      <c r="H526" s="31">
        <v>90</v>
      </c>
      <c r="I526" s="32">
        <v>1267</v>
      </c>
      <c r="J526" s="33">
        <v>84.9</v>
      </c>
    </row>
    <row r="527" spans="1:10" ht="15.75" customHeight="1">
      <c r="A527" s="14" t="s">
        <v>7</v>
      </c>
      <c r="B527" s="15">
        <v>46070</v>
      </c>
      <c r="C527" s="16" t="s">
        <v>52</v>
      </c>
      <c r="D527" s="17" t="s">
        <v>46</v>
      </c>
      <c r="E527" s="18" t="s">
        <v>29</v>
      </c>
      <c r="F527" s="19">
        <v>1352</v>
      </c>
      <c r="G527" s="20">
        <v>66</v>
      </c>
      <c r="H527" s="21">
        <v>43</v>
      </c>
      <c r="I527" s="22">
        <v>1375</v>
      </c>
      <c r="J527" s="23">
        <v>65.2</v>
      </c>
    </row>
    <row r="528" spans="1:10" ht="15.75" customHeight="1">
      <c r="A528" s="24" t="s">
        <v>7</v>
      </c>
      <c r="B528" s="25">
        <v>46070</v>
      </c>
      <c r="C528" s="26" t="s">
        <v>52</v>
      </c>
      <c r="D528" s="27" t="s">
        <v>46</v>
      </c>
      <c r="E528" s="28" t="s">
        <v>31</v>
      </c>
      <c r="F528" s="29">
        <v>1555</v>
      </c>
      <c r="G528" s="30">
        <v>93</v>
      </c>
      <c r="H528" s="31">
        <v>75</v>
      </c>
      <c r="I528" s="32">
        <v>1573</v>
      </c>
      <c r="J528" s="33">
        <v>80.599999999999994</v>
      </c>
    </row>
    <row r="529" spans="1:10" ht="15.75" customHeight="1">
      <c r="A529" s="14" t="s">
        <v>7</v>
      </c>
      <c r="B529" s="15">
        <v>46070</v>
      </c>
      <c r="C529" s="16" t="s">
        <v>52</v>
      </c>
      <c r="D529" s="17" t="s">
        <v>46</v>
      </c>
      <c r="E529" s="18" t="s">
        <v>33</v>
      </c>
      <c r="F529" s="19">
        <v>701</v>
      </c>
      <c r="G529" s="20">
        <v>68</v>
      </c>
      <c r="H529" s="21">
        <v>60</v>
      </c>
      <c r="I529" s="22">
        <v>709</v>
      </c>
      <c r="J529" s="35">
        <v>88.2</v>
      </c>
    </row>
    <row r="530" spans="1:10" ht="15.75" customHeight="1">
      <c r="A530" s="24" t="s">
        <v>7</v>
      </c>
      <c r="B530" s="25">
        <v>46070</v>
      </c>
      <c r="C530" s="26" t="s">
        <v>52</v>
      </c>
      <c r="D530" s="27" t="s">
        <v>46</v>
      </c>
      <c r="E530" s="28" t="s">
        <v>36</v>
      </c>
      <c r="F530" s="29">
        <v>2053</v>
      </c>
      <c r="G530" s="30">
        <v>137</v>
      </c>
      <c r="H530" s="31">
        <v>100</v>
      </c>
      <c r="I530" s="32">
        <v>2090</v>
      </c>
      <c r="J530" s="34">
        <v>73</v>
      </c>
    </row>
    <row r="531" spans="1:10" ht="15.75" customHeight="1">
      <c r="A531" s="14" t="s">
        <v>7</v>
      </c>
      <c r="B531" s="15">
        <v>46071</v>
      </c>
      <c r="C531" s="16" t="s">
        <v>53</v>
      </c>
      <c r="D531" s="17" t="s">
        <v>46</v>
      </c>
      <c r="E531" s="18" t="s">
        <v>26</v>
      </c>
      <c r="F531" s="19">
        <v>1690</v>
      </c>
      <c r="G531" s="20">
        <v>134</v>
      </c>
      <c r="H531" s="21">
        <v>90</v>
      </c>
      <c r="I531" s="22">
        <v>1734</v>
      </c>
      <c r="J531" s="23">
        <v>67.2</v>
      </c>
    </row>
    <row r="532" spans="1:10" ht="15.75" customHeight="1">
      <c r="A532" s="24" t="s">
        <v>7</v>
      </c>
      <c r="B532" s="25">
        <v>46071</v>
      </c>
      <c r="C532" s="26" t="s">
        <v>53</v>
      </c>
      <c r="D532" s="27" t="s">
        <v>46</v>
      </c>
      <c r="E532" s="28" t="s">
        <v>27</v>
      </c>
      <c r="F532" s="29">
        <v>1220</v>
      </c>
      <c r="G532" s="30">
        <v>99</v>
      </c>
      <c r="H532" s="31">
        <v>71</v>
      </c>
      <c r="I532" s="32">
        <v>1248</v>
      </c>
      <c r="J532" s="34">
        <v>71.7</v>
      </c>
    </row>
    <row r="533" spans="1:10" ht="15.75" customHeight="1">
      <c r="A533" s="14" t="s">
        <v>7</v>
      </c>
      <c r="B533" s="15">
        <v>46071</v>
      </c>
      <c r="C533" s="16" t="s">
        <v>53</v>
      </c>
      <c r="D533" s="17" t="s">
        <v>46</v>
      </c>
      <c r="E533" s="18" t="s">
        <v>30</v>
      </c>
      <c r="F533" s="19">
        <v>1893</v>
      </c>
      <c r="G533" s="20">
        <v>134</v>
      </c>
      <c r="H533" s="21">
        <v>107</v>
      </c>
      <c r="I533" s="22">
        <v>1920</v>
      </c>
      <c r="J533" s="35">
        <v>79.900000000000006</v>
      </c>
    </row>
    <row r="534" spans="1:10" ht="15.75" customHeight="1">
      <c r="A534" s="24" t="s">
        <v>7</v>
      </c>
      <c r="B534" s="25">
        <v>46071</v>
      </c>
      <c r="C534" s="26" t="s">
        <v>53</v>
      </c>
      <c r="D534" s="27" t="s">
        <v>46</v>
      </c>
      <c r="E534" s="28" t="s">
        <v>32</v>
      </c>
      <c r="F534" s="29">
        <v>995</v>
      </c>
      <c r="G534" s="30">
        <v>115</v>
      </c>
      <c r="H534" s="31">
        <v>107</v>
      </c>
      <c r="I534" s="32">
        <v>1003</v>
      </c>
      <c r="J534" s="33">
        <v>93</v>
      </c>
    </row>
    <row r="535" spans="1:10" ht="15.75" customHeight="1">
      <c r="A535" s="14" t="s">
        <v>7</v>
      </c>
      <c r="B535" s="15">
        <v>46071</v>
      </c>
      <c r="C535" s="16" t="s">
        <v>53</v>
      </c>
      <c r="D535" s="17" t="s">
        <v>46</v>
      </c>
      <c r="E535" s="18" t="s">
        <v>34</v>
      </c>
      <c r="F535" s="19">
        <v>1813</v>
      </c>
      <c r="G535" s="20">
        <v>109</v>
      </c>
      <c r="H535" s="21">
        <v>71</v>
      </c>
      <c r="I535" s="22">
        <v>1851</v>
      </c>
      <c r="J535" s="23">
        <v>65.099999999999994</v>
      </c>
    </row>
    <row r="536" spans="1:10" ht="15.75" customHeight="1">
      <c r="A536" s="24" t="s">
        <v>7</v>
      </c>
      <c r="B536" s="25">
        <v>46071</v>
      </c>
      <c r="C536" s="26" t="s">
        <v>53</v>
      </c>
      <c r="D536" s="27" t="s">
        <v>46</v>
      </c>
      <c r="E536" s="28" t="s">
        <v>25</v>
      </c>
      <c r="F536" s="29">
        <v>1117</v>
      </c>
      <c r="G536" s="30">
        <v>108</v>
      </c>
      <c r="H536" s="31">
        <v>87</v>
      </c>
      <c r="I536" s="32">
        <v>1138</v>
      </c>
      <c r="J536" s="33">
        <v>80.599999999999994</v>
      </c>
    </row>
    <row r="537" spans="1:10" ht="15.75" customHeight="1">
      <c r="A537" s="14" t="s">
        <v>7</v>
      </c>
      <c r="B537" s="15">
        <v>46071</v>
      </c>
      <c r="C537" s="16" t="s">
        <v>53</v>
      </c>
      <c r="D537" s="17" t="s">
        <v>46</v>
      </c>
      <c r="E537" s="18" t="s">
        <v>35</v>
      </c>
      <c r="F537" s="19">
        <v>1267</v>
      </c>
      <c r="G537" s="20">
        <v>104</v>
      </c>
      <c r="H537" s="21">
        <v>91</v>
      </c>
      <c r="I537" s="22">
        <v>1280</v>
      </c>
      <c r="J537" s="35">
        <v>87.5</v>
      </c>
    </row>
    <row r="538" spans="1:10" ht="15.75" customHeight="1">
      <c r="A538" s="24" t="s">
        <v>7</v>
      </c>
      <c r="B538" s="25">
        <v>46071</v>
      </c>
      <c r="C538" s="26" t="s">
        <v>53</v>
      </c>
      <c r="D538" s="27" t="s">
        <v>46</v>
      </c>
      <c r="E538" s="28" t="s">
        <v>29</v>
      </c>
      <c r="F538" s="29">
        <v>1375</v>
      </c>
      <c r="G538" s="30">
        <v>73</v>
      </c>
      <c r="H538" s="31">
        <v>51</v>
      </c>
      <c r="I538" s="32">
        <v>1397</v>
      </c>
      <c r="J538" s="34">
        <v>69.900000000000006</v>
      </c>
    </row>
    <row r="539" spans="1:10" ht="15.75" customHeight="1">
      <c r="A539" s="14" t="s">
        <v>7</v>
      </c>
      <c r="B539" s="15">
        <v>46071</v>
      </c>
      <c r="C539" s="16" t="s">
        <v>53</v>
      </c>
      <c r="D539" s="17" t="s">
        <v>46</v>
      </c>
      <c r="E539" s="18" t="s">
        <v>31</v>
      </c>
      <c r="F539" s="19">
        <v>1573</v>
      </c>
      <c r="G539" s="20">
        <v>113</v>
      </c>
      <c r="H539" s="21">
        <v>79</v>
      </c>
      <c r="I539" s="22">
        <v>1607</v>
      </c>
      <c r="J539" s="23">
        <v>69.900000000000006</v>
      </c>
    </row>
    <row r="540" spans="1:10" ht="15.75" customHeight="1">
      <c r="A540" s="24" t="s">
        <v>7</v>
      </c>
      <c r="B540" s="25">
        <v>46071</v>
      </c>
      <c r="C540" s="26" t="s">
        <v>53</v>
      </c>
      <c r="D540" s="27" t="s">
        <v>46</v>
      </c>
      <c r="E540" s="28" t="s">
        <v>33</v>
      </c>
      <c r="F540" s="29">
        <v>709</v>
      </c>
      <c r="G540" s="30">
        <v>65</v>
      </c>
      <c r="H540" s="31">
        <v>51</v>
      </c>
      <c r="I540" s="32">
        <v>723</v>
      </c>
      <c r="J540" s="33">
        <v>78.5</v>
      </c>
    </row>
    <row r="541" spans="1:10" ht="15.75" customHeight="1">
      <c r="A541" s="14" t="s">
        <v>7</v>
      </c>
      <c r="B541" s="15">
        <v>46071</v>
      </c>
      <c r="C541" s="16" t="s">
        <v>53</v>
      </c>
      <c r="D541" s="17" t="s">
        <v>46</v>
      </c>
      <c r="E541" s="18" t="s">
        <v>36</v>
      </c>
      <c r="F541" s="19">
        <v>2090</v>
      </c>
      <c r="G541" s="20">
        <v>129</v>
      </c>
      <c r="H541" s="21">
        <v>102</v>
      </c>
      <c r="I541" s="22">
        <v>2117</v>
      </c>
      <c r="J541" s="35">
        <v>79.099999999999994</v>
      </c>
    </row>
    <row r="542" spans="1:10" ht="15.75" customHeight="1">
      <c r="A542" s="24" t="s">
        <v>7</v>
      </c>
      <c r="B542" s="25">
        <v>46072</v>
      </c>
      <c r="C542" s="26" t="s">
        <v>45</v>
      </c>
      <c r="D542" s="27" t="s">
        <v>46</v>
      </c>
      <c r="E542" s="28" t="s">
        <v>26</v>
      </c>
      <c r="F542" s="29">
        <v>1734</v>
      </c>
      <c r="G542" s="30">
        <v>126</v>
      </c>
      <c r="H542" s="31">
        <v>84</v>
      </c>
      <c r="I542" s="32">
        <v>1776</v>
      </c>
      <c r="J542" s="34">
        <v>66.7</v>
      </c>
    </row>
    <row r="543" spans="1:10" ht="15.75" customHeight="1">
      <c r="A543" s="14" t="s">
        <v>7</v>
      </c>
      <c r="B543" s="15">
        <v>46072</v>
      </c>
      <c r="C543" s="16" t="s">
        <v>45</v>
      </c>
      <c r="D543" s="17" t="s">
        <v>46</v>
      </c>
      <c r="E543" s="18" t="s">
        <v>27</v>
      </c>
      <c r="F543" s="19">
        <v>1248</v>
      </c>
      <c r="G543" s="20">
        <v>85</v>
      </c>
      <c r="H543" s="21">
        <v>75</v>
      </c>
      <c r="I543" s="22">
        <v>1258</v>
      </c>
      <c r="J543" s="35">
        <v>88.2</v>
      </c>
    </row>
    <row r="544" spans="1:10" ht="15.75" customHeight="1">
      <c r="A544" s="24" t="s">
        <v>7</v>
      </c>
      <c r="B544" s="25">
        <v>46072</v>
      </c>
      <c r="C544" s="26" t="s">
        <v>45</v>
      </c>
      <c r="D544" s="27" t="s">
        <v>46</v>
      </c>
      <c r="E544" s="28" t="s">
        <v>30</v>
      </c>
      <c r="F544" s="29">
        <v>1920</v>
      </c>
      <c r="G544" s="30">
        <v>129</v>
      </c>
      <c r="H544" s="31">
        <v>77</v>
      </c>
      <c r="I544" s="32">
        <v>1972</v>
      </c>
      <c r="J544" s="34">
        <v>59.7</v>
      </c>
    </row>
    <row r="545" spans="1:10" ht="15.75" customHeight="1">
      <c r="A545" s="14" t="s">
        <v>7</v>
      </c>
      <c r="B545" s="15">
        <v>46072</v>
      </c>
      <c r="C545" s="16" t="s">
        <v>45</v>
      </c>
      <c r="D545" s="17" t="s">
        <v>46</v>
      </c>
      <c r="E545" s="18" t="s">
        <v>32</v>
      </c>
      <c r="F545" s="19">
        <v>1003</v>
      </c>
      <c r="G545" s="20">
        <v>111</v>
      </c>
      <c r="H545" s="21">
        <v>85</v>
      </c>
      <c r="I545" s="22">
        <v>1029</v>
      </c>
      <c r="J545" s="35">
        <v>76.599999999999994</v>
      </c>
    </row>
    <row r="546" spans="1:10" ht="15.75" customHeight="1">
      <c r="A546" s="24" t="s">
        <v>7</v>
      </c>
      <c r="B546" s="25">
        <v>46072</v>
      </c>
      <c r="C546" s="26" t="s">
        <v>45</v>
      </c>
      <c r="D546" s="27" t="s">
        <v>46</v>
      </c>
      <c r="E546" s="28" t="s">
        <v>34</v>
      </c>
      <c r="F546" s="29">
        <v>1851</v>
      </c>
      <c r="G546" s="30">
        <v>135</v>
      </c>
      <c r="H546" s="31">
        <v>85</v>
      </c>
      <c r="I546" s="32">
        <v>1901</v>
      </c>
      <c r="J546" s="34">
        <v>63</v>
      </c>
    </row>
    <row r="547" spans="1:10" ht="15.75" customHeight="1">
      <c r="A547" s="14" t="s">
        <v>7</v>
      </c>
      <c r="B547" s="15">
        <v>46072</v>
      </c>
      <c r="C547" s="16" t="s">
        <v>45</v>
      </c>
      <c r="D547" s="17" t="s">
        <v>46</v>
      </c>
      <c r="E547" s="18" t="s">
        <v>25</v>
      </c>
      <c r="F547" s="19">
        <v>1138</v>
      </c>
      <c r="G547" s="20">
        <v>99</v>
      </c>
      <c r="H547" s="21">
        <v>83</v>
      </c>
      <c r="I547" s="22">
        <v>1154</v>
      </c>
      <c r="J547" s="35">
        <v>83.8</v>
      </c>
    </row>
    <row r="548" spans="1:10" ht="15.75" customHeight="1">
      <c r="A548" s="24" t="s">
        <v>7</v>
      </c>
      <c r="B548" s="25">
        <v>46072</v>
      </c>
      <c r="C548" s="26" t="s">
        <v>45</v>
      </c>
      <c r="D548" s="27" t="s">
        <v>46</v>
      </c>
      <c r="E548" s="28" t="s">
        <v>35</v>
      </c>
      <c r="F548" s="29">
        <v>1280</v>
      </c>
      <c r="G548" s="30">
        <v>125</v>
      </c>
      <c r="H548" s="31">
        <v>97</v>
      </c>
      <c r="I548" s="32">
        <v>1308</v>
      </c>
      <c r="J548" s="33">
        <v>77.599999999999994</v>
      </c>
    </row>
    <row r="549" spans="1:10" ht="15.75" customHeight="1">
      <c r="A549" s="14" t="s">
        <v>7</v>
      </c>
      <c r="B549" s="15">
        <v>46072</v>
      </c>
      <c r="C549" s="16" t="s">
        <v>45</v>
      </c>
      <c r="D549" s="17" t="s">
        <v>46</v>
      </c>
      <c r="E549" s="18" t="s">
        <v>29</v>
      </c>
      <c r="F549" s="19">
        <v>1397</v>
      </c>
      <c r="G549" s="20">
        <v>88</v>
      </c>
      <c r="H549" s="21">
        <v>68</v>
      </c>
      <c r="I549" s="22">
        <v>1417</v>
      </c>
      <c r="J549" s="35">
        <v>77.3</v>
      </c>
    </row>
    <row r="550" spans="1:10" ht="15.75" customHeight="1">
      <c r="A550" s="24" t="s">
        <v>7</v>
      </c>
      <c r="B550" s="25">
        <v>46072</v>
      </c>
      <c r="C550" s="26" t="s">
        <v>45</v>
      </c>
      <c r="D550" s="27" t="s">
        <v>46</v>
      </c>
      <c r="E550" s="28" t="s">
        <v>31</v>
      </c>
      <c r="F550" s="29">
        <v>1607</v>
      </c>
      <c r="G550" s="30">
        <v>144</v>
      </c>
      <c r="H550" s="31">
        <v>119</v>
      </c>
      <c r="I550" s="32">
        <v>1632</v>
      </c>
      <c r="J550" s="33">
        <v>82.6</v>
      </c>
    </row>
    <row r="551" spans="1:10" ht="15.75" customHeight="1">
      <c r="A551" s="14" t="s">
        <v>7</v>
      </c>
      <c r="B551" s="15">
        <v>46072</v>
      </c>
      <c r="C551" s="16" t="s">
        <v>45</v>
      </c>
      <c r="D551" s="17" t="s">
        <v>46</v>
      </c>
      <c r="E551" s="18" t="s">
        <v>33</v>
      </c>
      <c r="F551" s="19">
        <v>723</v>
      </c>
      <c r="G551" s="20">
        <v>94</v>
      </c>
      <c r="H551" s="21">
        <v>79</v>
      </c>
      <c r="I551" s="22">
        <v>738</v>
      </c>
      <c r="J551" s="35">
        <v>84</v>
      </c>
    </row>
    <row r="552" spans="1:10" ht="15.75" customHeight="1">
      <c r="A552" s="24" t="s">
        <v>7</v>
      </c>
      <c r="B552" s="25">
        <v>46072</v>
      </c>
      <c r="C552" s="26" t="s">
        <v>45</v>
      </c>
      <c r="D552" s="27" t="s">
        <v>46</v>
      </c>
      <c r="E552" s="28" t="s">
        <v>36</v>
      </c>
      <c r="F552" s="29">
        <v>2117</v>
      </c>
      <c r="G552" s="30">
        <v>166</v>
      </c>
      <c r="H552" s="31">
        <v>128</v>
      </c>
      <c r="I552" s="32">
        <v>2155</v>
      </c>
      <c r="J552" s="33">
        <v>77.099999999999994</v>
      </c>
    </row>
    <row r="553" spans="1:10" ht="15.75" customHeight="1">
      <c r="A553" s="14" t="s">
        <v>7</v>
      </c>
      <c r="B553" s="15">
        <v>46073</v>
      </c>
      <c r="C553" s="16" t="s">
        <v>47</v>
      </c>
      <c r="D553" s="17" t="s">
        <v>46</v>
      </c>
      <c r="E553" s="18" t="s">
        <v>26</v>
      </c>
      <c r="F553" s="19">
        <v>1776</v>
      </c>
      <c r="G553" s="20">
        <v>130</v>
      </c>
      <c r="H553" s="21">
        <v>90</v>
      </c>
      <c r="I553" s="22">
        <v>1816</v>
      </c>
      <c r="J553" s="23">
        <v>69.2</v>
      </c>
    </row>
    <row r="554" spans="1:10" ht="15.75" customHeight="1">
      <c r="A554" s="24" t="s">
        <v>7</v>
      </c>
      <c r="B554" s="25">
        <v>46073</v>
      </c>
      <c r="C554" s="26" t="s">
        <v>47</v>
      </c>
      <c r="D554" s="27" t="s">
        <v>46</v>
      </c>
      <c r="E554" s="28" t="s">
        <v>27</v>
      </c>
      <c r="F554" s="29">
        <v>1258</v>
      </c>
      <c r="G554" s="30">
        <v>103</v>
      </c>
      <c r="H554" s="31">
        <v>88</v>
      </c>
      <c r="I554" s="32">
        <v>1273</v>
      </c>
      <c r="J554" s="33">
        <v>85.4</v>
      </c>
    </row>
    <row r="555" spans="1:10" ht="15.75" customHeight="1">
      <c r="A555" s="14" t="s">
        <v>7</v>
      </c>
      <c r="B555" s="15">
        <v>46073</v>
      </c>
      <c r="C555" s="16" t="s">
        <v>47</v>
      </c>
      <c r="D555" s="17" t="s">
        <v>46</v>
      </c>
      <c r="E555" s="18" t="s">
        <v>30</v>
      </c>
      <c r="F555" s="19">
        <v>1972</v>
      </c>
      <c r="G555" s="20">
        <v>91</v>
      </c>
      <c r="H555" s="21">
        <v>71</v>
      </c>
      <c r="I555" s="22">
        <v>1992</v>
      </c>
      <c r="J555" s="35">
        <v>78</v>
      </c>
    </row>
    <row r="556" spans="1:10" ht="15.75" customHeight="1">
      <c r="A556" s="24" t="s">
        <v>7</v>
      </c>
      <c r="B556" s="25">
        <v>46073</v>
      </c>
      <c r="C556" s="26" t="s">
        <v>47</v>
      </c>
      <c r="D556" s="27" t="s">
        <v>46</v>
      </c>
      <c r="E556" s="28" t="s">
        <v>32</v>
      </c>
      <c r="F556" s="29">
        <v>1029</v>
      </c>
      <c r="G556" s="30">
        <v>106</v>
      </c>
      <c r="H556" s="31">
        <v>100</v>
      </c>
      <c r="I556" s="32">
        <v>1035</v>
      </c>
      <c r="J556" s="33">
        <v>94.3</v>
      </c>
    </row>
    <row r="557" spans="1:10" ht="15.75" customHeight="1">
      <c r="A557" s="14" t="s">
        <v>7</v>
      </c>
      <c r="B557" s="15">
        <v>46073</v>
      </c>
      <c r="C557" s="16" t="s">
        <v>47</v>
      </c>
      <c r="D557" s="17" t="s">
        <v>46</v>
      </c>
      <c r="E557" s="18" t="s">
        <v>34</v>
      </c>
      <c r="F557" s="19">
        <v>1901</v>
      </c>
      <c r="G557" s="20">
        <v>126</v>
      </c>
      <c r="H557" s="21">
        <v>89</v>
      </c>
      <c r="I557" s="22">
        <v>1938</v>
      </c>
      <c r="J557" s="23">
        <v>70.599999999999994</v>
      </c>
    </row>
    <row r="558" spans="1:10" ht="15.75" customHeight="1">
      <c r="A558" s="24" t="s">
        <v>7</v>
      </c>
      <c r="B558" s="25">
        <v>46073</v>
      </c>
      <c r="C558" s="26" t="s">
        <v>47</v>
      </c>
      <c r="D558" s="27" t="s">
        <v>46</v>
      </c>
      <c r="E558" s="28" t="s">
        <v>25</v>
      </c>
      <c r="F558" s="29">
        <v>1154</v>
      </c>
      <c r="G558" s="30">
        <v>96</v>
      </c>
      <c r="H558" s="31">
        <v>69</v>
      </c>
      <c r="I558" s="32">
        <v>1181</v>
      </c>
      <c r="J558" s="34">
        <v>71.900000000000006</v>
      </c>
    </row>
    <row r="559" spans="1:10" ht="15.75" customHeight="1">
      <c r="A559" s="14" t="s">
        <v>7</v>
      </c>
      <c r="B559" s="15">
        <v>46073</v>
      </c>
      <c r="C559" s="16" t="s">
        <v>47</v>
      </c>
      <c r="D559" s="17" t="s">
        <v>46</v>
      </c>
      <c r="E559" s="18" t="s">
        <v>35</v>
      </c>
      <c r="F559" s="19">
        <v>1308</v>
      </c>
      <c r="G559" s="20">
        <v>91</v>
      </c>
      <c r="H559" s="21">
        <v>83</v>
      </c>
      <c r="I559" s="22">
        <v>1316</v>
      </c>
      <c r="J559" s="35">
        <v>91.2</v>
      </c>
    </row>
    <row r="560" spans="1:10" ht="15.75" customHeight="1">
      <c r="A560" s="24" t="s">
        <v>7</v>
      </c>
      <c r="B560" s="25">
        <v>46073</v>
      </c>
      <c r="C560" s="26" t="s">
        <v>47</v>
      </c>
      <c r="D560" s="27" t="s">
        <v>46</v>
      </c>
      <c r="E560" s="28" t="s">
        <v>29</v>
      </c>
      <c r="F560" s="29">
        <v>1417</v>
      </c>
      <c r="G560" s="30">
        <v>75</v>
      </c>
      <c r="H560" s="31">
        <v>58</v>
      </c>
      <c r="I560" s="32">
        <v>1434</v>
      </c>
      <c r="J560" s="33">
        <v>77.3</v>
      </c>
    </row>
    <row r="561" spans="1:10" ht="15.75" customHeight="1">
      <c r="A561" s="14" t="s">
        <v>7</v>
      </c>
      <c r="B561" s="15">
        <v>46073</v>
      </c>
      <c r="C561" s="16" t="s">
        <v>47</v>
      </c>
      <c r="D561" s="17" t="s">
        <v>46</v>
      </c>
      <c r="E561" s="18" t="s">
        <v>31</v>
      </c>
      <c r="F561" s="19">
        <v>1632</v>
      </c>
      <c r="G561" s="20">
        <v>118</v>
      </c>
      <c r="H561" s="21">
        <v>77</v>
      </c>
      <c r="I561" s="22">
        <v>1673</v>
      </c>
      <c r="J561" s="23">
        <v>65.3</v>
      </c>
    </row>
    <row r="562" spans="1:10" ht="15.75" customHeight="1">
      <c r="A562" s="24" t="s">
        <v>7</v>
      </c>
      <c r="B562" s="25">
        <v>46073</v>
      </c>
      <c r="C562" s="26" t="s">
        <v>47</v>
      </c>
      <c r="D562" s="27" t="s">
        <v>46</v>
      </c>
      <c r="E562" s="28" t="s">
        <v>33</v>
      </c>
      <c r="F562" s="29">
        <v>738</v>
      </c>
      <c r="G562" s="30">
        <v>83</v>
      </c>
      <c r="H562" s="31">
        <v>64</v>
      </c>
      <c r="I562" s="32">
        <v>757</v>
      </c>
      <c r="J562" s="33">
        <v>77.099999999999994</v>
      </c>
    </row>
    <row r="563" spans="1:10" ht="15.75" customHeight="1">
      <c r="A563" s="14" t="s">
        <v>7</v>
      </c>
      <c r="B563" s="15">
        <v>46073</v>
      </c>
      <c r="C563" s="16" t="s">
        <v>47</v>
      </c>
      <c r="D563" s="17" t="s">
        <v>46</v>
      </c>
      <c r="E563" s="18" t="s">
        <v>36</v>
      </c>
      <c r="F563" s="19">
        <v>2155</v>
      </c>
      <c r="G563" s="20">
        <v>106</v>
      </c>
      <c r="H563" s="21">
        <v>72</v>
      </c>
      <c r="I563" s="22">
        <v>2189</v>
      </c>
      <c r="J563" s="23">
        <v>67.900000000000006</v>
      </c>
    </row>
    <row r="564" spans="1:10" ht="15.75" customHeight="1">
      <c r="A564" s="36" t="s">
        <v>7</v>
      </c>
      <c r="B564" s="37">
        <v>46074</v>
      </c>
      <c r="C564" s="38" t="s">
        <v>48</v>
      </c>
      <c r="D564" s="39" t="s">
        <v>49</v>
      </c>
      <c r="E564" s="40" t="s">
        <v>26</v>
      </c>
      <c r="F564" s="41">
        <v>1816</v>
      </c>
      <c r="G564" s="42">
        <v>40</v>
      </c>
      <c r="H564" s="43">
        <v>33</v>
      </c>
      <c r="I564" s="44">
        <v>1823</v>
      </c>
      <c r="J564" s="45">
        <v>82.5</v>
      </c>
    </row>
    <row r="565" spans="1:10" ht="15.75" customHeight="1">
      <c r="A565" s="36" t="s">
        <v>7</v>
      </c>
      <c r="B565" s="37">
        <v>46074</v>
      </c>
      <c r="C565" s="38" t="s">
        <v>48</v>
      </c>
      <c r="D565" s="39" t="s">
        <v>49</v>
      </c>
      <c r="E565" s="40" t="s">
        <v>27</v>
      </c>
      <c r="F565" s="41">
        <v>1273</v>
      </c>
      <c r="G565" s="42">
        <v>36</v>
      </c>
      <c r="H565" s="43">
        <v>29</v>
      </c>
      <c r="I565" s="44">
        <v>1280</v>
      </c>
      <c r="J565" s="45">
        <v>80.599999999999994</v>
      </c>
    </row>
    <row r="566" spans="1:10" ht="15.75" customHeight="1">
      <c r="A566" s="36" t="s">
        <v>7</v>
      </c>
      <c r="B566" s="37">
        <v>46074</v>
      </c>
      <c r="C566" s="38" t="s">
        <v>48</v>
      </c>
      <c r="D566" s="39" t="s">
        <v>49</v>
      </c>
      <c r="E566" s="40" t="s">
        <v>30</v>
      </c>
      <c r="F566" s="41">
        <v>1992</v>
      </c>
      <c r="G566" s="42">
        <v>70</v>
      </c>
      <c r="H566" s="43">
        <v>53</v>
      </c>
      <c r="I566" s="44">
        <v>2009</v>
      </c>
      <c r="J566" s="45">
        <v>75.7</v>
      </c>
    </row>
    <row r="567" spans="1:10" ht="15.75" customHeight="1">
      <c r="A567" s="36" t="s">
        <v>7</v>
      </c>
      <c r="B567" s="37">
        <v>46074</v>
      </c>
      <c r="C567" s="38" t="s">
        <v>48</v>
      </c>
      <c r="D567" s="39" t="s">
        <v>49</v>
      </c>
      <c r="E567" s="40" t="s">
        <v>32</v>
      </c>
      <c r="F567" s="41">
        <v>1035</v>
      </c>
      <c r="G567" s="42">
        <v>59</v>
      </c>
      <c r="H567" s="43">
        <v>49</v>
      </c>
      <c r="I567" s="44">
        <v>1045</v>
      </c>
      <c r="J567" s="45">
        <v>83.1</v>
      </c>
    </row>
    <row r="568" spans="1:10" ht="15.75" customHeight="1">
      <c r="A568" s="36" t="s">
        <v>7</v>
      </c>
      <c r="B568" s="37">
        <v>46074</v>
      </c>
      <c r="C568" s="38" t="s">
        <v>48</v>
      </c>
      <c r="D568" s="39" t="s">
        <v>49</v>
      </c>
      <c r="E568" s="40" t="s">
        <v>34</v>
      </c>
      <c r="F568" s="41">
        <v>1938</v>
      </c>
      <c r="G568" s="42">
        <v>71</v>
      </c>
      <c r="H568" s="43">
        <v>54</v>
      </c>
      <c r="I568" s="44">
        <v>1955</v>
      </c>
      <c r="J568" s="45">
        <v>76.099999999999994</v>
      </c>
    </row>
    <row r="569" spans="1:10" ht="15.75" customHeight="1">
      <c r="A569" s="36" t="s">
        <v>7</v>
      </c>
      <c r="B569" s="37">
        <v>46074</v>
      </c>
      <c r="C569" s="38" t="s">
        <v>48</v>
      </c>
      <c r="D569" s="39" t="s">
        <v>49</v>
      </c>
      <c r="E569" s="40" t="s">
        <v>25</v>
      </c>
      <c r="F569" s="41">
        <v>1181</v>
      </c>
      <c r="G569" s="42">
        <v>38</v>
      </c>
      <c r="H569" s="43">
        <v>27</v>
      </c>
      <c r="I569" s="44">
        <v>1192</v>
      </c>
      <c r="J569" s="46">
        <v>71.099999999999994</v>
      </c>
    </row>
    <row r="570" spans="1:10" ht="15.75" customHeight="1">
      <c r="A570" s="36" t="s">
        <v>7</v>
      </c>
      <c r="B570" s="37">
        <v>46074</v>
      </c>
      <c r="C570" s="38" t="s">
        <v>48</v>
      </c>
      <c r="D570" s="39" t="s">
        <v>49</v>
      </c>
      <c r="E570" s="40" t="s">
        <v>35</v>
      </c>
      <c r="F570" s="41">
        <v>1316</v>
      </c>
      <c r="G570" s="42">
        <v>42</v>
      </c>
      <c r="H570" s="43">
        <v>33</v>
      </c>
      <c r="I570" s="44">
        <v>1325</v>
      </c>
      <c r="J570" s="45">
        <v>78.599999999999994</v>
      </c>
    </row>
    <row r="571" spans="1:10" ht="15.75" customHeight="1">
      <c r="A571" s="36" t="s">
        <v>7</v>
      </c>
      <c r="B571" s="37">
        <v>46074</v>
      </c>
      <c r="C571" s="38" t="s">
        <v>48</v>
      </c>
      <c r="D571" s="39" t="s">
        <v>49</v>
      </c>
      <c r="E571" s="40" t="s">
        <v>29</v>
      </c>
      <c r="F571" s="41">
        <v>1434</v>
      </c>
      <c r="G571" s="42">
        <v>55</v>
      </c>
      <c r="H571" s="43">
        <v>41</v>
      </c>
      <c r="I571" s="44">
        <v>1448</v>
      </c>
      <c r="J571" s="46">
        <v>74.5</v>
      </c>
    </row>
    <row r="572" spans="1:10" ht="15.75" customHeight="1">
      <c r="A572" s="36" t="s">
        <v>7</v>
      </c>
      <c r="B572" s="37">
        <v>46074</v>
      </c>
      <c r="C572" s="38" t="s">
        <v>48</v>
      </c>
      <c r="D572" s="39" t="s">
        <v>49</v>
      </c>
      <c r="E572" s="40" t="s">
        <v>31</v>
      </c>
      <c r="F572" s="41">
        <v>1673</v>
      </c>
      <c r="G572" s="42">
        <v>38</v>
      </c>
      <c r="H572" s="43">
        <v>25</v>
      </c>
      <c r="I572" s="44">
        <v>1686</v>
      </c>
      <c r="J572" s="46">
        <v>65.8</v>
      </c>
    </row>
    <row r="573" spans="1:10" ht="15.75" customHeight="1">
      <c r="A573" s="36" t="s">
        <v>7</v>
      </c>
      <c r="B573" s="37">
        <v>46074</v>
      </c>
      <c r="C573" s="38" t="s">
        <v>48</v>
      </c>
      <c r="D573" s="39" t="s">
        <v>49</v>
      </c>
      <c r="E573" s="40" t="s">
        <v>33</v>
      </c>
      <c r="F573" s="41">
        <v>757</v>
      </c>
      <c r="G573" s="42">
        <v>37</v>
      </c>
      <c r="H573" s="43">
        <v>31</v>
      </c>
      <c r="I573" s="44">
        <v>763</v>
      </c>
      <c r="J573" s="45">
        <v>83.8</v>
      </c>
    </row>
    <row r="574" spans="1:10" ht="15.75" customHeight="1">
      <c r="A574" s="36" t="s">
        <v>7</v>
      </c>
      <c r="B574" s="37">
        <v>46074</v>
      </c>
      <c r="C574" s="38" t="s">
        <v>48</v>
      </c>
      <c r="D574" s="39" t="s">
        <v>49</v>
      </c>
      <c r="E574" s="40" t="s">
        <v>36</v>
      </c>
      <c r="F574" s="41">
        <v>2189</v>
      </c>
      <c r="G574" s="42">
        <v>66</v>
      </c>
      <c r="H574" s="43">
        <v>46</v>
      </c>
      <c r="I574" s="44">
        <v>2209</v>
      </c>
      <c r="J574" s="46">
        <v>69.7</v>
      </c>
    </row>
    <row r="575" spans="1:10" ht="15.75" customHeight="1">
      <c r="A575" s="36" t="s">
        <v>7</v>
      </c>
      <c r="B575" s="37">
        <v>46075</v>
      </c>
      <c r="C575" s="38" t="s">
        <v>50</v>
      </c>
      <c r="D575" s="39" t="s">
        <v>49</v>
      </c>
      <c r="E575" s="40" t="s">
        <v>26</v>
      </c>
      <c r="F575" s="41">
        <v>1823</v>
      </c>
      <c r="G575" s="42">
        <v>65</v>
      </c>
      <c r="H575" s="43">
        <v>43</v>
      </c>
      <c r="I575" s="44">
        <v>1845</v>
      </c>
      <c r="J575" s="46">
        <v>66.2</v>
      </c>
    </row>
    <row r="576" spans="1:10" ht="15.75" customHeight="1">
      <c r="A576" s="36" t="s">
        <v>7</v>
      </c>
      <c r="B576" s="37">
        <v>46075</v>
      </c>
      <c r="C576" s="38" t="s">
        <v>50</v>
      </c>
      <c r="D576" s="39" t="s">
        <v>49</v>
      </c>
      <c r="E576" s="40" t="s">
        <v>27</v>
      </c>
      <c r="F576" s="41">
        <v>1280</v>
      </c>
      <c r="G576" s="42">
        <v>56</v>
      </c>
      <c r="H576" s="43">
        <v>49</v>
      </c>
      <c r="I576" s="44">
        <v>1287</v>
      </c>
      <c r="J576" s="45">
        <v>87.5</v>
      </c>
    </row>
    <row r="577" spans="1:10" ht="15.75" customHeight="1">
      <c r="A577" s="36" t="s">
        <v>7</v>
      </c>
      <c r="B577" s="37">
        <v>46075</v>
      </c>
      <c r="C577" s="38" t="s">
        <v>50</v>
      </c>
      <c r="D577" s="39" t="s">
        <v>49</v>
      </c>
      <c r="E577" s="40" t="s">
        <v>30</v>
      </c>
      <c r="F577" s="41">
        <v>2009</v>
      </c>
      <c r="G577" s="42">
        <v>44</v>
      </c>
      <c r="H577" s="43">
        <v>28</v>
      </c>
      <c r="I577" s="44">
        <v>2025</v>
      </c>
      <c r="J577" s="46">
        <v>63.6</v>
      </c>
    </row>
    <row r="578" spans="1:10" ht="15.75" customHeight="1">
      <c r="A578" s="36" t="s">
        <v>7</v>
      </c>
      <c r="B578" s="37">
        <v>46075</v>
      </c>
      <c r="C578" s="38" t="s">
        <v>50</v>
      </c>
      <c r="D578" s="39" t="s">
        <v>49</v>
      </c>
      <c r="E578" s="40" t="s">
        <v>32</v>
      </c>
      <c r="F578" s="41">
        <v>1045</v>
      </c>
      <c r="G578" s="42">
        <v>54</v>
      </c>
      <c r="H578" s="43">
        <v>46</v>
      </c>
      <c r="I578" s="44">
        <v>1053</v>
      </c>
      <c r="J578" s="45">
        <v>85.2</v>
      </c>
    </row>
    <row r="579" spans="1:10" ht="15.75" customHeight="1">
      <c r="A579" s="36" t="s">
        <v>7</v>
      </c>
      <c r="B579" s="37">
        <v>46075</v>
      </c>
      <c r="C579" s="38" t="s">
        <v>50</v>
      </c>
      <c r="D579" s="39" t="s">
        <v>49</v>
      </c>
      <c r="E579" s="40" t="s">
        <v>34</v>
      </c>
      <c r="F579" s="41">
        <v>1955</v>
      </c>
      <c r="G579" s="42">
        <v>48</v>
      </c>
      <c r="H579" s="43">
        <v>39</v>
      </c>
      <c r="I579" s="44">
        <v>1964</v>
      </c>
      <c r="J579" s="45">
        <v>81.2</v>
      </c>
    </row>
    <row r="580" spans="1:10" ht="15.75" customHeight="1">
      <c r="A580" s="36" t="s">
        <v>7</v>
      </c>
      <c r="B580" s="37">
        <v>46075</v>
      </c>
      <c r="C580" s="38" t="s">
        <v>50</v>
      </c>
      <c r="D580" s="39" t="s">
        <v>49</v>
      </c>
      <c r="E580" s="40" t="s">
        <v>25</v>
      </c>
      <c r="F580" s="41">
        <v>1192</v>
      </c>
      <c r="G580" s="42">
        <v>49</v>
      </c>
      <c r="H580" s="43">
        <v>34</v>
      </c>
      <c r="I580" s="44">
        <v>1207</v>
      </c>
      <c r="J580" s="46">
        <v>69.400000000000006</v>
      </c>
    </row>
    <row r="581" spans="1:10" ht="15.75" customHeight="1">
      <c r="A581" s="36" t="s">
        <v>7</v>
      </c>
      <c r="B581" s="37">
        <v>46075</v>
      </c>
      <c r="C581" s="38" t="s">
        <v>50</v>
      </c>
      <c r="D581" s="39" t="s">
        <v>49</v>
      </c>
      <c r="E581" s="40" t="s">
        <v>35</v>
      </c>
      <c r="F581" s="41">
        <v>1325</v>
      </c>
      <c r="G581" s="42">
        <v>47</v>
      </c>
      <c r="H581" s="43">
        <v>35</v>
      </c>
      <c r="I581" s="44">
        <v>1337</v>
      </c>
      <c r="J581" s="46">
        <v>74.5</v>
      </c>
    </row>
    <row r="582" spans="1:10" ht="15.75" customHeight="1">
      <c r="A582" s="36" t="s">
        <v>7</v>
      </c>
      <c r="B582" s="37">
        <v>46075</v>
      </c>
      <c r="C582" s="38" t="s">
        <v>50</v>
      </c>
      <c r="D582" s="39" t="s">
        <v>49</v>
      </c>
      <c r="E582" s="40" t="s">
        <v>29</v>
      </c>
      <c r="F582" s="41">
        <v>1448</v>
      </c>
      <c r="G582" s="42">
        <v>41</v>
      </c>
      <c r="H582" s="43">
        <v>28</v>
      </c>
      <c r="I582" s="44">
        <v>1461</v>
      </c>
      <c r="J582" s="46">
        <v>68.3</v>
      </c>
    </row>
    <row r="583" spans="1:10" ht="15.75" customHeight="1">
      <c r="A583" s="36" t="s">
        <v>7</v>
      </c>
      <c r="B583" s="37">
        <v>46075</v>
      </c>
      <c r="C583" s="38" t="s">
        <v>50</v>
      </c>
      <c r="D583" s="39" t="s">
        <v>49</v>
      </c>
      <c r="E583" s="40" t="s">
        <v>31</v>
      </c>
      <c r="F583" s="41">
        <v>1686</v>
      </c>
      <c r="G583" s="42">
        <v>40</v>
      </c>
      <c r="H583" s="43">
        <v>29</v>
      </c>
      <c r="I583" s="44">
        <v>1697</v>
      </c>
      <c r="J583" s="46">
        <v>72.5</v>
      </c>
    </row>
    <row r="584" spans="1:10" ht="15.75" customHeight="1">
      <c r="A584" s="36" t="s">
        <v>7</v>
      </c>
      <c r="B584" s="37">
        <v>46075</v>
      </c>
      <c r="C584" s="38" t="s">
        <v>50</v>
      </c>
      <c r="D584" s="39" t="s">
        <v>49</v>
      </c>
      <c r="E584" s="40" t="s">
        <v>33</v>
      </c>
      <c r="F584" s="41">
        <v>763</v>
      </c>
      <c r="G584" s="42">
        <v>32</v>
      </c>
      <c r="H584" s="43">
        <v>26</v>
      </c>
      <c r="I584" s="44">
        <v>769</v>
      </c>
      <c r="J584" s="45">
        <v>81.2</v>
      </c>
    </row>
    <row r="585" spans="1:10" ht="15.75" customHeight="1">
      <c r="A585" s="36" t="s">
        <v>7</v>
      </c>
      <c r="B585" s="37">
        <v>46075</v>
      </c>
      <c r="C585" s="38" t="s">
        <v>50</v>
      </c>
      <c r="D585" s="39" t="s">
        <v>49</v>
      </c>
      <c r="E585" s="40" t="s">
        <v>36</v>
      </c>
      <c r="F585" s="41">
        <v>2209</v>
      </c>
      <c r="G585" s="42">
        <v>58</v>
      </c>
      <c r="H585" s="43">
        <v>45</v>
      </c>
      <c r="I585" s="44">
        <v>2222</v>
      </c>
      <c r="J585" s="45">
        <v>77.599999999999994</v>
      </c>
    </row>
    <row r="586" spans="1:10" ht="15.75" customHeight="1">
      <c r="A586" s="24" t="s">
        <v>7</v>
      </c>
      <c r="B586" s="25">
        <v>46076</v>
      </c>
      <c r="C586" s="26" t="s">
        <v>51</v>
      </c>
      <c r="D586" s="27" t="s">
        <v>46</v>
      </c>
      <c r="E586" s="28" t="s">
        <v>26</v>
      </c>
      <c r="F586" s="29">
        <v>1845</v>
      </c>
      <c r="G586" s="30">
        <v>134</v>
      </c>
      <c r="H586" s="31">
        <v>111</v>
      </c>
      <c r="I586" s="32">
        <v>1868</v>
      </c>
      <c r="J586" s="33">
        <v>82.8</v>
      </c>
    </row>
    <row r="587" spans="1:10" ht="15.75" customHeight="1">
      <c r="A587" s="14" t="s">
        <v>7</v>
      </c>
      <c r="B587" s="15">
        <v>46076</v>
      </c>
      <c r="C587" s="16" t="s">
        <v>51</v>
      </c>
      <c r="D587" s="17" t="s">
        <v>46</v>
      </c>
      <c r="E587" s="18" t="s">
        <v>27</v>
      </c>
      <c r="F587" s="19">
        <v>1287</v>
      </c>
      <c r="G587" s="20">
        <v>122</v>
      </c>
      <c r="H587" s="21">
        <v>105</v>
      </c>
      <c r="I587" s="22">
        <v>1304</v>
      </c>
      <c r="J587" s="35">
        <v>86.1</v>
      </c>
    </row>
    <row r="588" spans="1:10" ht="15.75" customHeight="1">
      <c r="A588" s="24" t="s">
        <v>7</v>
      </c>
      <c r="B588" s="25">
        <v>46076</v>
      </c>
      <c r="C588" s="26" t="s">
        <v>51</v>
      </c>
      <c r="D588" s="27" t="s">
        <v>46</v>
      </c>
      <c r="E588" s="28" t="s">
        <v>30</v>
      </c>
      <c r="F588" s="29">
        <v>2025</v>
      </c>
      <c r="G588" s="30">
        <v>94</v>
      </c>
      <c r="H588" s="31">
        <v>64</v>
      </c>
      <c r="I588" s="32">
        <v>2055</v>
      </c>
      <c r="J588" s="34">
        <v>68.099999999999994</v>
      </c>
    </row>
    <row r="589" spans="1:10" ht="15.75" customHeight="1">
      <c r="A589" s="14" t="s">
        <v>7</v>
      </c>
      <c r="B589" s="15">
        <v>46076</v>
      </c>
      <c r="C589" s="16" t="s">
        <v>51</v>
      </c>
      <c r="D589" s="17" t="s">
        <v>46</v>
      </c>
      <c r="E589" s="18" t="s">
        <v>32</v>
      </c>
      <c r="F589" s="19">
        <v>1053</v>
      </c>
      <c r="G589" s="20">
        <v>115</v>
      </c>
      <c r="H589" s="21">
        <v>93</v>
      </c>
      <c r="I589" s="22">
        <v>1075</v>
      </c>
      <c r="J589" s="35">
        <v>80.900000000000006</v>
      </c>
    </row>
    <row r="590" spans="1:10" ht="15.75" customHeight="1">
      <c r="A590" s="24" t="s">
        <v>7</v>
      </c>
      <c r="B590" s="25">
        <v>46076</v>
      </c>
      <c r="C590" s="26" t="s">
        <v>51</v>
      </c>
      <c r="D590" s="27" t="s">
        <v>46</v>
      </c>
      <c r="E590" s="28" t="s">
        <v>34</v>
      </c>
      <c r="F590" s="29">
        <v>1964</v>
      </c>
      <c r="G590" s="30">
        <v>137</v>
      </c>
      <c r="H590" s="31">
        <v>98</v>
      </c>
      <c r="I590" s="32">
        <v>2003</v>
      </c>
      <c r="J590" s="34">
        <v>71.5</v>
      </c>
    </row>
    <row r="591" spans="1:10" ht="15.75" customHeight="1">
      <c r="A591" s="14" t="s">
        <v>7</v>
      </c>
      <c r="B591" s="15">
        <v>46076</v>
      </c>
      <c r="C591" s="16" t="s">
        <v>51</v>
      </c>
      <c r="D591" s="17" t="s">
        <v>46</v>
      </c>
      <c r="E591" s="18" t="s">
        <v>25</v>
      </c>
      <c r="F591" s="19">
        <v>1207</v>
      </c>
      <c r="G591" s="20">
        <v>92</v>
      </c>
      <c r="H591" s="21">
        <v>79</v>
      </c>
      <c r="I591" s="22">
        <v>1220</v>
      </c>
      <c r="J591" s="35">
        <v>85.9</v>
      </c>
    </row>
    <row r="592" spans="1:10" ht="15.75" customHeight="1">
      <c r="A592" s="24" t="s">
        <v>7</v>
      </c>
      <c r="B592" s="25">
        <v>46076</v>
      </c>
      <c r="C592" s="26" t="s">
        <v>51</v>
      </c>
      <c r="D592" s="27" t="s">
        <v>46</v>
      </c>
      <c r="E592" s="28" t="s">
        <v>35</v>
      </c>
      <c r="F592" s="29">
        <v>1337</v>
      </c>
      <c r="G592" s="30">
        <v>102</v>
      </c>
      <c r="H592" s="31">
        <v>87</v>
      </c>
      <c r="I592" s="32">
        <v>1352</v>
      </c>
      <c r="J592" s="33">
        <v>85.3</v>
      </c>
    </row>
    <row r="593" spans="1:10" ht="15.75" customHeight="1">
      <c r="A593" s="14" t="s">
        <v>7</v>
      </c>
      <c r="B593" s="15">
        <v>46076</v>
      </c>
      <c r="C593" s="16" t="s">
        <v>51</v>
      </c>
      <c r="D593" s="17" t="s">
        <v>46</v>
      </c>
      <c r="E593" s="18" t="s">
        <v>29</v>
      </c>
      <c r="F593" s="19">
        <v>1461</v>
      </c>
      <c r="G593" s="20">
        <v>69</v>
      </c>
      <c r="H593" s="21">
        <v>48</v>
      </c>
      <c r="I593" s="22">
        <v>1482</v>
      </c>
      <c r="J593" s="23">
        <v>69.599999999999994</v>
      </c>
    </row>
    <row r="594" spans="1:10" ht="15.75" customHeight="1">
      <c r="A594" s="24" t="s">
        <v>7</v>
      </c>
      <c r="B594" s="25">
        <v>46076</v>
      </c>
      <c r="C594" s="26" t="s">
        <v>51</v>
      </c>
      <c r="D594" s="27" t="s">
        <v>46</v>
      </c>
      <c r="E594" s="28" t="s">
        <v>31</v>
      </c>
      <c r="F594" s="29">
        <v>1697</v>
      </c>
      <c r="G594" s="30">
        <v>112</v>
      </c>
      <c r="H594" s="31">
        <v>92</v>
      </c>
      <c r="I594" s="32">
        <v>1717</v>
      </c>
      <c r="J594" s="33">
        <v>82.1</v>
      </c>
    </row>
    <row r="595" spans="1:10" ht="15.75" customHeight="1">
      <c r="A595" s="14" t="s">
        <v>7</v>
      </c>
      <c r="B595" s="15">
        <v>46076</v>
      </c>
      <c r="C595" s="16" t="s">
        <v>51</v>
      </c>
      <c r="D595" s="17" t="s">
        <v>46</v>
      </c>
      <c r="E595" s="18" t="s">
        <v>33</v>
      </c>
      <c r="F595" s="19">
        <v>769</v>
      </c>
      <c r="G595" s="20">
        <v>65</v>
      </c>
      <c r="H595" s="21">
        <v>58</v>
      </c>
      <c r="I595" s="22">
        <v>776</v>
      </c>
      <c r="J595" s="35">
        <v>89.2</v>
      </c>
    </row>
    <row r="596" spans="1:10" ht="15.75" customHeight="1">
      <c r="A596" s="24" t="s">
        <v>7</v>
      </c>
      <c r="B596" s="25">
        <v>46076</v>
      </c>
      <c r="C596" s="26" t="s">
        <v>51</v>
      </c>
      <c r="D596" s="27" t="s">
        <v>46</v>
      </c>
      <c r="E596" s="28" t="s">
        <v>36</v>
      </c>
      <c r="F596" s="29">
        <v>2222</v>
      </c>
      <c r="G596" s="30">
        <v>133</v>
      </c>
      <c r="H596" s="31">
        <v>85</v>
      </c>
      <c r="I596" s="32">
        <v>2270</v>
      </c>
      <c r="J596" s="34">
        <v>63.9</v>
      </c>
    </row>
    <row r="597" spans="1:10" ht="15.75" customHeight="1">
      <c r="A597" s="14" t="s">
        <v>7</v>
      </c>
      <c r="B597" s="15">
        <v>46077</v>
      </c>
      <c r="C597" s="16" t="s">
        <v>52</v>
      </c>
      <c r="D597" s="17" t="s">
        <v>46</v>
      </c>
      <c r="E597" s="18" t="s">
        <v>26</v>
      </c>
      <c r="F597" s="19">
        <v>1868</v>
      </c>
      <c r="G597" s="20">
        <v>137</v>
      </c>
      <c r="H597" s="21">
        <v>113</v>
      </c>
      <c r="I597" s="22">
        <v>1892</v>
      </c>
      <c r="J597" s="35">
        <v>82.5</v>
      </c>
    </row>
    <row r="598" spans="1:10" ht="15.75" customHeight="1">
      <c r="A598" s="24" t="s">
        <v>7</v>
      </c>
      <c r="B598" s="25">
        <v>46077</v>
      </c>
      <c r="C598" s="26" t="s">
        <v>52</v>
      </c>
      <c r="D598" s="27" t="s">
        <v>46</v>
      </c>
      <c r="E598" s="28" t="s">
        <v>27</v>
      </c>
      <c r="F598" s="29">
        <v>1304</v>
      </c>
      <c r="G598" s="30">
        <v>80</v>
      </c>
      <c r="H598" s="31">
        <v>56</v>
      </c>
      <c r="I598" s="32">
        <v>1328</v>
      </c>
      <c r="J598" s="34">
        <v>70</v>
      </c>
    </row>
    <row r="599" spans="1:10" ht="15.75" customHeight="1">
      <c r="A599" s="14" t="s">
        <v>7</v>
      </c>
      <c r="B599" s="15">
        <v>46077</v>
      </c>
      <c r="C599" s="16" t="s">
        <v>52</v>
      </c>
      <c r="D599" s="17" t="s">
        <v>46</v>
      </c>
      <c r="E599" s="18" t="s">
        <v>30</v>
      </c>
      <c r="F599" s="19">
        <v>2055</v>
      </c>
      <c r="G599" s="20">
        <v>127</v>
      </c>
      <c r="H599" s="21">
        <v>92</v>
      </c>
      <c r="I599" s="22">
        <v>2090</v>
      </c>
      <c r="J599" s="23">
        <v>72.400000000000006</v>
      </c>
    </row>
    <row r="600" spans="1:10" ht="15.75" customHeight="1">
      <c r="A600" s="24" t="s">
        <v>7</v>
      </c>
      <c r="B600" s="25">
        <v>46077</v>
      </c>
      <c r="C600" s="26" t="s">
        <v>52</v>
      </c>
      <c r="D600" s="27" t="s">
        <v>46</v>
      </c>
      <c r="E600" s="28" t="s">
        <v>32</v>
      </c>
      <c r="F600" s="29">
        <v>1075</v>
      </c>
      <c r="G600" s="30">
        <v>99</v>
      </c>
      <c r="H600" s="31">
        <v>74</v>
      </c>
      <c r="I600" s="32">
        <v>1100</v>
      </c>
      <c r="J600" s="34">
        <v>74.7</v>
      </c>
    </row>
    <row r="601" spans="1:10" ht="15.75" customHeight="1">
      <c r="A601" s="14" t="s">
        <v>7</v>
      </c>
      <c r="B601" s="15">
        <v>46077</v>
      </c>
      <c r="C601" s="16" t="s">
        <v>52</v>
      </c>
      <c r="D601" s="17" t="s">
        <v>46</v>
      </c>
      <c r="E601" s="18" t="s">
        <v>34</v>
      </c>
      <c r="F601" s="19">
        <v>2003</v>
      </c>
      <c r="G601" s="20">
        <v>128</v>
      </c>
      <c r="H601" s="21">
        <v>93</v>
      </c>
      <c r="I601" s="22">
        <v>2038</v>
      </c>
      <c r="J601" s="23">
        <v>72.7</v>
      </c>
    </row>
    <row r="602" spans="1:10" ht="15.75" customHeight="1">
      <c r="A602" s="24" t="s">
        <v>7</v>
      </c>
      <c r="B602" s="25">
        <v>46077</v>
      </c>
      <c r="C602" s="26" t="s">
        <v>52</v>
      </c>
      <c r="D602" s="27" t="s">
        <v>46</v>
      </c>
      <c r="E602" s="28" t="s">
        <v>25</v>
      </c>
      <c r="F602" s="29">
        <v>1220</v>
      </c>
      <c r="G602" s="30">
        <v>77</v>
      </c>
      <c r="H602" s="31">
        <v>57</v>
      </c>
      <c r="I602" s="32">
        <v>1240</v>
      </c>
      <c r="J602" s="34">
        <v>74</v>
      </c>
    </row>
    <row r="603" spans="1:10" ht="15.75" customHeight="1">
      <c r="A603" s="14" t="s">
        <v>7</v>
      </c>
      <c r="B603" s="15">
        <v>46077</v>
      </c>
      <c r="C603" s="16" t="s">
        <v>52</v>
      </c>
      <c r="D603" s="17" t="s">
        <v>46</v>
      </c>
      <c r="E603" s="18" t="s">
        <v>35</v>
      </c>
      <c r="F603" s="19">
        <v>1352</v>
      </c>
      <c r="G603" s="20">
        <v>112</v>
      </c>
      <c r="H603" s="21">
        <v>89</v>
      </c>
      <c r="I603" s="22">
        <v>1375</v>
      </c>
      <c r="J603" s="35">
        <v>79.5</v>
      </c>
    </row>
    <row r="604" spans="1:10" ht="15.75" customHeight="1">
      <c r="A604" s="24" t="s">
        <v>7</v>
      </c>
      <c r="B604" s="25">
        <v>46077</v>
      </c>
      <c r="C604" s="26" t="s">
        <v>52</v>
      </c>
      <c r="D604" s="27" t="s">
        <v>46</v>
      </c>
      <c r="E604" s="28" t="s">
        <v>29</v>
      </c>
      <c r="F604" s="29">
        <v>1482</v>
      </c>
      <c r="G604" s="30">
        <v>84</v>
      </c>
      <c r="H604" s="31">
        <v>56</v>
      </c>
      <c r="I604" s="32">
        <v>1510</v>
      </c>
      <c r="J604" s="34">
        <v>66.7</v>
      </c>
    </row>
    <row r="605" spans="1:10" ht="15.75" customHeight="1">
      <c r="A605" s="14" t="s">
        <v>7</v>
      </c>
      <c r="B605" s="15">
        <v>46077</v>
      </c>
      <c r="C605" s="16" t="s">
        <v>52</v>
      </c>
      <c r="D605" s="17" t="s">
        <v>46</v>
      </c>
      <c r="E605" s="18" t="s">
        <v>31</v>
      </c>
      <c r="F605" s="19">
        <v>1717</v>
      </c>
      <c r="G605" s="20">
        <v>115</v>
      </c>
      <c r="H605" s="21">
        <v>87</v>
      </c>
      <c r="I605" s="22">
        <v>1745</v>
      </c>
      <c r="J605" s="35">
        <v>75.7</v>
      </c>
    </row>
    <row r="606" spans="1:10" ht="15.75" customHeight="1">
      <c r="A606" s="24" t="s">
        <v>7</v>
      </c>
      <c r="B606" s="25">
        <v>46077</v>
      </c>
      <c r="C606" s="26" t="s">
        <v>52</v>
      </c>
      <c r="D606" s="27" t="s">
        <v>46</v>
      </c>
      <c r="E606" s="28" t="s">
        <v>33</v>
      </c>
      <c r="F606" s="29">
        <v>776</v>
      </c>
      <c r="G606" s="30">
        <v>69</v>
      </c>
      <c r="H606" s="31">
        <v>53</v>
      </c>
      <c r="I606" s="32">
        <v>792</v>
      </c>
      <c r="J606" s="33">
        <v>76.8</v>
      </c>
    </row>
    <row r="607" spans="1:10" ht="15.75" customHeight="1">
      <c r="A607" s="14" t="s">
        <v>7</v>
      </c>
      <c r="B607" s="15">
        <v>46077</v>
      </c>
      <c r="C607" s="16" t="s">
        <v>52</v>
      </c>
      <c r="D607" s="17" t="s">
        <v>46</v>
      </c>
      <c r="E607" s="18" t="s">
        <v>36</v>
      </c>
      <c r="F607" s="19">
        <v>2270</v>
      </c>
      <c r="G607" s="20">
        <v>100</v>
      </c>
      <c r="H607" s="21">
        <v>72</v>
      </c>
      <c r="I607" s="22">
        <v>2298</v>
      </c>
      <c r="J607" s="23">
        <v>72</v>
      </c>
    </row>
    <row r="608" spans="1:10" ht="15.75" customHeight="1">
      <c r="A608" s="24" t="s">
        <v>7</v>
      </c>
      <c r="B608" s="25">
        <v>46078</v>
      </c>
      <c r="C608" s="26" t="s">
        <v>53</v>
      </c>
      <c r="D608" s="27" t="s">
        <v>46</v>
      </c>
      <c r="E608" s="28" t="s">
        <v>26</v>
      </c>
      <c r="F608" s="29">
        <v>1892</v>
      </c>
      <c r="G608" s="30">
        <v>104</v>
      </c>
      <c r="H608" s="31">
        <v>81</v>
      </c>
      <c r="I608" s="32">
        <v>1915</v>
      </c>
      <c r="J608" s="33">
        <v>77.900000000000006</v>
      </c>
    </row>
    <row r="609" spans="1:10" ht="15.75" customHeight="1">
      <c r="A609" s="14" t="s">
        <v>7</v>
      </c>
      <c r="B609" s="15">
        <v>46078</v>
      </c>
      <c r="C609" s="16" t="s">
        <v>53</v>
      </c>
      <c r="D609" s="17" t="s">
        <v>46</v>
      </c>
      <c r="E609" s="18" t="s">
        <v>27</v>
      </c>
      <c r="F609" s="19">
        <v>1328</v>
      </c>
      <c r="G609" s="20">
        <v>123</v>
      </c>
      <c r="H609" s="21">
        <v>91</v>
      </c>
      <c r="I609" s="22">
        <v>1360</v>
      </c>
      <c r="J609" s="23">
        <v>74</v>
      </c>
    </row>
    <row r="610" spans="1:10" ht="15.75" customHeight="1">
      <c r="A610" s="24" t="s">
        <v>7</v>
      </c>
      <c r="B610" s="25">
        <v>46078</v>
      </c>
      <c r="C610" s="26" t="s">
        <v>53</v>
      </c>
      <c r="D610" s="27" t="s">
        <v>46</v>
      </c>
      <c r="E610" s="28" t="s">
        <v>30</v>
      </c>
      <c r="F610" s="29">
        <v>2090</v>
      </c>
      <c r="G610" s="30">
        <v>92</v>
      </c>
      <c r="H610" s="31">
        <v>72</v>
      </c>
      <c r="I610" s="32">
        <v>2110</v>
      </c>
      <c r="J610" s="33">
        <v>78.3</v>
      </c>
    </row>
    <row r="611" spans="1:10" ht="15.75" customHeight="1">
      <c r="A611" s="14" t="s">
        <v>7</v>
      </c>
      <c r="B611" s="15">
        <v>46078</v>
      </c>
      <c r="C611" s="16" t="s">
        <v>53</v>
      </c>
      <c r="D611" s="17" t="s">
        <v>46</v>
      </c>
      <c r="E611" s="18" t="s">
        <v>32</v>
      </c>
      <c r="F611" s="19">
        <v>1100</v>
      </c>
      <c r="G611" s="20">
        <v>69</v>
      </c>
      <c r="H611" s="21">
        <v>52</v>
      </c>
      <c r="I611" s="22">
        <v>1117</v>
      </c>
      <c r="J611" s="35">
        <v>75.400000000000006</v>
      </c>
    </row>
    <row r="612" spans="1:10" ht="15.75" customHeight="1">
      <c r="A612" s="24" t="s">
        <v>7</v>
      </c>
      <c r="B612" s="25">
        <v>46078</v>
      </c>
      <c r="C612" s="26" t="s">
        <v>53</v>
      </c>
      <c r="D612" s="27" t="s">
        <v>46</v>
      </c>
      <c r="E612" s="28" t="s">
        <v>34</v>
      </c>
      <c r="F612" s="29">
        <v>2038</v>
      </c>
      <c r="G612" s="30">
        <v>118</v>
      </c>
      <c r="H612" s="31">
        <v>78</v>
      </c>
      <c r="I612" s="32">
        <v>2078</v>
      </c>
      <c r="J612" s="34">
        <v>66.099999999999994</v>
      </c>
    </row>
    <row r="613" spans="1:10" ht="15.75" customHeight="1">
      <c r="A613" s="14" t="s">
        <v>7</v>
      </c>
      <c r="B613" s="15">
        <v>46078</v>
      </c>
      <c r="C613" s="16" t="s">
        <v>53</v>
      </c>
      <c r="D613" s="17" t="s">
        <v>46</v>
      </c>
      <c r="E613" s="18" t="s">
        <v>25</v>
      </c>
      <c r="F613" s="19">
        <v>1240</v>
      </c>
      <c r="G613" s="20">
        <v>100</v>
      </c>
      <c r="H613" s="21">
        <v>85</v>
      </c>
      <c r="I613" s="22">
        <v>1255</v>
      </c>
      <c r="J613" s="35">
        <v>85</v>
      </c>
    </row>
    <row r="614" spans="1:10" ht="15.75" customHeight="1">
      <c r="A614" s="24" t="s">
        <v>7</v>
      </c>
      <c r="B614" s="25">
        <v>46078</v>
      </c>
      <c r="C614" s="26" t="s">
        <v>53</v>
      </c>
      <c r="D614" s="27" t="s">
        <v>46</v>
      </c>
      <c r="E614" s="28" t="s">
        <v>35</v>
      </c>
      <c r="F614" s="29">
        <v>1375</v>
      </c>
      <c r="G614" s="30">
        <v>75</v>
      </c>
      <c r="H614" s="31">
        <v>55</v>
      </c>
      <c r="I614" s="32">
        <v>1395</v>
      </c>
      <c r="J614" s="34">
        <v>73.3</v>
      </c>
    </row>
    <row r="615" spans="1:10" ht="15.75" customHeight="1">
      <c r="A615" s="14" t="s">
        <v>7</v>
      </c>
      <c r="B615" s="15">
        <v>46078</v>
      </c>
      <c r="C615" s="16" t="s">
        <v>53</v>
      </c>
      <c r="D615" s="17" t="s">
        <v>46</v>
      </c>
      <c r="E615" s="18" t="s">
        <v>29</v>
      </c>
      <c r="F615" s="19">
        <v>1510</v>
      </c>
      <c r="G615" s="20">
        <v>121</v>
      </c>
      <c r="H615" s="21">
        <v>81</v>
      </c>
      <c r="I615" s="22">
        <v>1550</v>
      </c>
      <c r="J615" s="23">
        <v>66.900000000000006</v>
      </c>
    </row>
    <row r="616" spans="1:10" ht="15.75" customHeight="1">
      <c r="A616" s="24" t="s">
        <v>7</v>
      </c>
      <c r="B616" s="25">
        <v>46078</v>
      </c>
      <c r="C616" s="26" t="s">
        <v>53</v>
      </c>
      <c r="D616" s="27" t="s">
        <v>46</v>
      </c>
      <c r="E616" s="28" t="s">
        <v>31</v>
      </c>
      <c r="F616" s="29">
        <v>1745</v>
      </c>
      <c r="G616" s="30">
        <v>116</v>
      </c>
      <c r="H616" s="31">
        <v>88</v>
      </c>
      <c r="I616" s="32">
        <v>1773</v>
      </c>
      <c r="J616" s="33">
        <v>75.900000000000006</v>
      </c>
    </row>
    <row r="617" spans="1:10" ht="15.75" customHeight="1">
      <c r="A617" s="14" t="s">
        <v>7</v>
      </c>
      <c r="B617" s="15">
        <v>46078</v>
      </c>
      <c r="C617" s="16" t="s">
        <v>53</v>
      </c>
      <c r="D617" s="17" t="s">
        <v>46</v>
      </c>
      <c r="E617" s="18" t="s">
        <v>33</v>
      </c>
      <c r="F617" s="19">
        <v>792</v>
      </c>
      <c r="G617" s="20">
        <v>85</v>
      </c>
      <c r="H617" s="21">
        <v>82</v>
      </c>
      <c r="I617" s="22">
        <v>795</v>
      </c>
      <c r="J617" s="35">
        <v>96.5</v>
      </c>
    </row>
    <row r="618" spans="1:10" ht="15.75" customHeight="1">
      <c r="A618" s="24" t="s">
        <v>7</v>
      </c>
      <c r="B618" s="25">
        <v>46078</v>
      </c>
      <c r="C618" s="26" t="s">
        <v>53</v>
      </c>
      <c r="D618" s="27" t="s">
        <v>46</v>
      </c>
      <c r="E618" s="28" t="s">
        <v>36</v>
      </c>
      <c r="F618" s="29">
        <v>2298</v>
      </c>
      <c r="G618" s="30">
        <v>160</v>
      </c>
      <c r="H618" s="31">
        <v>119</v>
      </c>
      <c r="I618" s="32">
        <v>2339</v>
      </c>
      <c r="J618" s="34">
        <v>74.400000000000006</v>
      </c>
    </row>
    <row r="619" spans="1:10" ht="15.75" customHeight="1">
      <c r="A619" s="14" t="s">
        <v>7</v>
      </c>
      <c r="B619" s="15">
        <v>46079</v>
      </c>
      <c r="C619" s="16" t="s">
        <v>45</v>
      </c>
      <c r="D619" s="17" t="s">
        <v>46</v>
      </c>
      <c r="E619" s="18" t="s">
        <v>26</v>
      </c>
      <c r="F619" s="19">
        <v>1915</v>
      </c>
      <c r="G619" s="20">
        <v>129</v>
      </c>
      <c r="H619" s="21">
        <v>102</v>
      </c>
      <c r="I619" s="22">
        <v>1942</v>
      </c>
      <c r="J619" s="35">
        <v>79.099999999999994</v>
      </c>
    </row>
    <row r="620" spans="1:10" ht="15.75" customHeight="1">
      <c r="A620" s="24" t="s">
        <v>7</v>
      </c>
      <c r="B620" s="25">
        <v>46079</v>
      </c>
      <c r="C620" s="26" t="s">
        <v>45</v>
      </c>
      <c r="D620" s="27" t="s">
        <v>46</v>
      </c>
      <c r="E620" s="28" t="s">
        <v>27</v>
      </c>
      <c r="F620" s="29">
        <v>1360</v>
      </c>
      <c r="G620" s="30">
        <v>110</v>
      </c>
      <c r="H620" s="31">
        <v>87</v>
      </c>
      <c r="I620" s="32">
        <v>1383</v>
      </c>
      <c r="J620" s="33">
        <v>79.099999999999994</v>
      </c>
    </row>
    <row r="621" spans="1:10" ht="15.75" customHeight="1">
      <c r="A621" s="14" t="s">
        <v>7</v>
      </c>
      <c r="B621" s="15">
        <v>46079</v>
      </c>
      <c r="C621" s="16" t="s">
        <v>45</v>
      </c>
      <c r="D621" s="17" t="s">
        <v>46</v>
      </c>
      <c r="E621" s="18" t="s">
        <v>30</v>
      </c>
      <c r="F621" s="19">
        <v>2110</v>
      </c>
      <c r="G621" s="20">
        <v>154</v>
      </c>
      <c r="H621" s="21">
        <v>93</v>
      </c>
      <c r="I621" s="22">
        <v>2171</v>
      </c>
      <c r="J621" s="23">
        <v>60.4</v>
      </c>
    </row>
    <row r="622" spans="1:10" ht="15.75" customHeight="1">
      <c r="A622" s="24" t="s">
        <v>7</v>
      </c>
      <c r="B622" s="25">
        <v>46079</v>
      </c>
      <c r="C622" s="26" t="s">
        <v>45</v>
      </c>
      <c r="D622" s="27" t="s">
        <v>46</v>
      </c>
      <c r="E622" s="28" t="s">
        <v>32</v>
      </c>
      <c r="F622" s="29">
        <v>1117</v>
      </c>
      <c r="G622" s="30">
        <v>94</v>
      </c>
      <c r="H622" s="31">
        <v>75</v>
      </c>
      <c r="I622" s="32">
        <v>1136</v>
      </c>
      <c r="J622" s="33">
        <v>79.8</v>
      </c>
    </row>
    <row r="623" spans="1:10" ht="15.75" customHeight="1">
      <c r="A623" s="14" t="s">
        <v>7</v>
      </c>
      <c r="B623" s="15">
        <v>46079</v>
      </c>
      <c r="C623" s="16" t="s">
        <v>45</v>
      </c>
      <c r="D623" s="17" t="s">
        <v>46</v>
      </c>
      <c r="E623" s="18" t="s">
        <v>34</v>
      </c>
      <c r="F623" s="19">
        <v>2078</v>
      </c>
      <c r="G623" s="20">
        <v>122</v>
      </c>
      <c r="H623" s="21">
        <v>81</v>
      </c>
      <c r="I623" s="22">
        <v>2119</v>
      </c>
      <c r="J623" s="23">
        <v>66.400000000000006</v>
      </c>
    </row>
    <row r="624" spans="1:10" ht="15.75" customHeight="1">
      <c r="A624" s="24" t="s">
        <v>7</v>
      </c>
      <c r="B624" s="25">
        <v>46079</v>
      </c>
      <c r="C624" s="26" t="s">
        <v>45</v>
      </c>
      <c r="D624" s="27" t="s">
        <v>46</v>
      </c>
      <c r="E624" s="28" t="s">
        <v>25</v>
      </c>
      <c r="F624" s="29">
        <v>1255</v>
      </c>
      <c r="G624" s="30">
        <v>107</v>
      </c>
      <c r="H624" s="31">
        <v>81</v>
      </c>
      <c r="I624" s="32">
        <v>1281</v>
      </c>
      <c r="J624" s="33">
        <v>75.7</v>
      </c>
    </row>
    <row r="625" spans="1:10" ht="15.75" customHeight="1">
      <c r="A625" s="14" t="s">
        <v>7</v>
      </c>
      <c r="B625" s="15">
        <v>46079</v>
      </c>
      <c r="C625" s="16" t="s">
        <v>45</v>
      </c>
      <c r="D625" s="17" t="s">
        <v>46</v>
      </c>
      <c r="E625" s="18" t="s">
        <v>35</v>
      </c>
      <c r="F625" s="19">
        <v>1395</v>
      </c>
      <c r="G625" s="20">
        <v>97</v>
      </c>
      <c r="H625" s="21">
        <v>84</v>
      </c>
      <c r="I625" s="22">
        <v>1408</v>
      </c>
      <c r="J625" s="35">
        <v>86.6</v>
      </c>
    </row>
    <row r="626" spans="1:10" ht="15.75" customHeight="1">
      <c r="A626" s="24" t="s">
        <v>7</v>
      </c>
      <c r="B626" s="25">
        <v>46079</v>
      </c>
      <c r="C626" s="26" t="s">
        <v>45</v>
      </c>
      <c r="D626" s="27" t="s">
        <v>46</v>
      </c>
      <c r="E626" s="28" t="s">
        <v>29</v>
      </c>
      <c r="F626" s="29">
        <v>1550</v>
      </c>
      <c r="G626" s="30">
        <v>66</v>
      </c>
      <c r="H626" s="31">
        <v>49</v>
      </c>
      <c r="I626" s="32">
        <v>1567</v>
      </c>
      <c r="J626" s="34">
        <v>74.2</v>
      </c>
    </row>
    <row r="627" spans="1:10" ht="15.75" customHeight="1">
      <c r="A627" s="14" t="s">
        <v>7</v>
      </c>
      <c r="B627" s="15">
        <v>46079</v>
      </c>
      <c r="C627" s="16" t="s">
        <v>45</v>
      </c>
      <c r="D627" s="17" t="s">
        <v>46</v>
      </c>
      <c r="E627" s="18" t="s">
        <v>31</v>
      </c>
      <c r="F627" s="19">
        <v>1773</v>
      </c>
      <c r="G627" s="20">
        <v>102</v>
      </c>
      <c r="H627" s="21">
        <v>75</v>
      </c>
      <c r="I627" s="22">
        <v>1800</v>
      </c>
      <c r="J627" s="23">
        <v>73.5</v>
      </c>
    </row>
    <row r="628" spans="1:10" ht="15.75" customHeight="1">
      <c r="A628" s="24" t="s">
        <v>7</v>
      </c>
      <c r="B628" s="25">
        <v>46079</v>
      </c>
      <c r="C628" s="26" t="s">
        <v>45</v>
      </c>
      <c r="D628" s="27" t="s">
        <v>46</v>
      </c>
      <c r="E628" s="28" t="s">
        <v>33</v>
      </c>
      <c r="F628" s="29">
        <v>795</v>
      </c>
      <c r="G628" s="30">
        <v>94</v>
      </c>
      <c r="H628" s="31">
        <v>88</v>
      </c>
      <c r="I628" s="32">
        <v>801</v>
      </c>
      <c r="J628" s="33">
        <v>93.6</v>
      </c>
    </row>
    <row r="629" spans="1:10" ht="15.75" customHeight="1">
      <c r="A629" s="14" t="s">
        <v>7</v>
      </c>
      <c r="B629" s="15">
        <v>46079</v>
      </c>
      <c r="C629" s="16" t="s">
        <v>45</v>
      </c>
      <c r="D629" s="17" t="s">
        <v>46</v>
      </c>
      <c r="E629" s="18" t="s">
        <v>36</v>
      </c>
      <c r="F629" s="19">
        <v>2339</v>
      </c>
      <c r="G629" s="20">
        <v>163</v>
      </c>
      <c r="H629" s="21">
        <v>128</v>
      </c>
      <c r="I629" s="22">
        <v>2374</v>
      </c>
      <c r="J629" s="35">
        <v>78.5</v>
      </c>
    </row>
    <row r="630" spans="1:10" ht="15.75" customHeight="1">
      <c r="A630" s="24" t="s">
        <v>7</v>
      </c>
      <c r="B630" s="25">
        <v>46080</v>
      </c>
      <c r="C630" s="26" t="s">
        <v>47</v>
      </c>
      <c r="D630" s="27" t="s">
        <v>46</v>
      </c>
      <c r="E630" s="28" t="s">
        <v>26</v>
      </c>
      <c r="F630" s="29">
        <v>1942</v>
      </c>
      <c r="G630" s="30">
        <v>121</v>
      </c>
      <c r="H630" s="31">
        <v>80</v>
      </c>
      <c r="I630" s="32">
        <v>1983</v>
      </c>
      <c r="J630" s="34">
        <v>66.099999999999994</v>
      </c>
    </row>
    <row r="631" spans="1:10" ht="15.75" customHeight="1">
      <c r="A631" s="14" t="s">
        <v>7</v>
      </c>
      <c r="B631" s="15">
        <v>46080</v>
      </c>
      <c r="C631" s="16" t="s">
        <v>47</v>
      </c>
      <c r="D631" s="17" t="s">
        <v>46</v>
      </c>
      <c r="E631" s="18" t="s">
        <v>27</v>
      </c>
      <c r="F631" s="19">
        <v>1383</v>
      </c>
      <c r="G631" s="20">
        <v>126</v>
      </c>
      <c r="H631" s="21">
        <v>94</v>
      </c>
      <c r="I631" s="22">
        <v>1415</v>
      </c>
      <c r="J631" s="23">
        <v>74.599999999999994</v>
      </c>
    </row>
    <row r="632" spans="1:10" ht="15.75" customHeight="1">
      <c r="A632" s="24" t="s">
        <v>7</v>
      </c>
      <c r="B632" s="25">
        <v>46080</v>
      </c>
      <c r="C632" s="26" t="s">
        <v>47</v>
      </c>
      <c r="D632" s="27" t="s">
        <v>46</v>
      </c>
      <c r="E632" s="28" t="s">
        <v>30</v>
      </c>
      <c r="F632" s="29">
        <v>2171</v>
      </c>
      <c r="G632" s="30">
        <v>137</v>
      </c>
      <c r="H632" s="31">
        <v>103</v>
      </c>
      <c r="I632" s="32">
        <v>2205</v>
      </c>
      <c r="J632" s="33">
        <v>75.2</v>
      </c>
    </row>
    <row r="633" spans="1:10" ht="15.75" customHeight="1">
      <c r="A633" s="14" t="s">
        <v>7</v>
      </c>
      <c r="B633" s="15">
        <v>46080</v>
      </c>
      <c r="C633" s="16" t="s">
        <v>47</v>
      </c>
      <c r="D633" s="17" t="s">
        <v>46</v>
      </c>
      <c r="E633" s="18" t="s">
        <v>32</v>
      </c>
      <c r="F633" s="19">
        <v>1136</v>
      </c>
      <c r="G633" s="20">
        <v>106</v>
      </c>
      <c r="H633" s="21">
        <v>79</v>
      </c>
      <c r="I633" s="22">
        <v>1163</v>
      </c>
      <c r="J633" s="23">
        <v>74.5</v>
      </c>
    </row>
    <row r="634" spans="1:10" ht="15.75" customHeight="1">
      <c r="A634" s="24" t="s">
        <v>7</v>
      </c>
      <c r="B634" s="25">
        <v>46080</v>
      </c>
      <c r="C634" s="26" t="s">
        <v>47</v>
      </c>
      <c r="D634" s="27" t="s">
        <v>46</v>
      </c>
      <c r="E634" s="28" t="s">
        <v>34</v>
      </c>
      <c r="F634" s="29">
        <v>2119</v>
      </c>
      <c r="G634" s="30">
        <v>126</v>
      </c>
      <c r="H634" s="31">
        <v>87</v>
      </c>
      <c r="I634" s="32">
        <v>2158</v>
      </c>
      <c r="J634" s="34">
        <v>69</v>
      </c>
    </row>
    <row r="635" spans="1:10" ht="15.75" customHeight="1">
      <c r="A635" s="14" t="s">
        <v>7</v>
      </c>
      <c r="B635" s="15">
        <v>46080</v>
      </c>
      <c r="C635" s="16" t="s">
        <v>47</v>
      </c>
      <c r="D635" s="17" t="s">
        <v>46</v>
      </c>
      <c r="E635" s="18" t="s">
        <v>25</v>
      </c>
      <c r="F635" s="19">
        <v>1281</v>
      </c>
      <c r="G635" s="20">
        <v>81</v>
      </c>
      <c r="H635" s="21">
        <v>68</v>
      </c>
      <c r="I635" s="22">
        <v>1294</v>
      </c>
      <c r="J635" s="35">
        <v>84</v>
      </c>
    </row>
    <row r="636" spans="1:10" ht="15.75" customHeight="1">
      <c r="A636" s="24" t="s">
        <v>7</v>
      </c>
      <c r="B636" s="25">
        <v>46080</v>
      </c>
      <c r="C636" s="26" t="s">
        <v>47</v>
      </c>
      <c r="D636" s="27" t="s">
        <v>46</v>
      </c>
      <c r="E636" s="28" t="s">
        <v>35</v>
      </c>
      <c r="F636" s="29">
        <v>1408</v>
      </c>
      <c r="G636" s="30">
        <v>79</v>
      </c>
      <c r="H636" s="31">
        <v>71</v>
      </c>
      <c r="I636" s="32">
        <v>1416</v>
      </c>
      <c r="J636" s="33">
        <v>89.9</v>
      </c>
    </row>
    <row r="637" spans="1:10" ht="15.75" customHeight="1">
      <c r="A637" s="14" t="s">
        <v>7</v>
      </c>
      <c r="B637" s="15">
        <v>46080</v>
      </c>
      <c r="C637" s="16" t="s">
        <v>47</v>
      </c>
      <c r="D637" s="17" t="s">
        <v>46</v>
      </c>
      <c r="E637" s="18" t="s">
        <v>29</v>
      </c>
      <c r="F637" s="19">
        <v>1567</v>
      </c>
      <c r="G637" s="20">
        <v>94</v>
      </c>
      <c r="H637" s="21">
        <v>69</v>
      </c>
      <c r="I637" s="22">
        <v>1592</v>
      </c>
      <c r="J637" s="23">
        <v>73.400000000000006</v>
      </c>
    </row>
    <row r="638" spans="1:10" ht="15.75" customHeight="1">
      <c r="A638" s="24" t="s">
        <v>7</v>
      </c>
      <c r="B638" s="25">
        <v>46080</v>
      </c>
      <c r="C638" s="26" t="s">
        <v>47</v>
      </c>
      <c r="D638" s="27" t="s">
        <v>46</v>
      </c>
      <c r="E638" s="28" t="s">
        <v>31</v>
      </c>
      <c r="F638" s="29">
        <v>1800</v>
      </c>
      <c r="G638" s="30">
        <v>111</v>
      </c>
      <c r="H638" s="31">
        <v>83</v>
      </c>
      <c r="I638" s="32">
        <v>1828</v>
      </c>
      <c r="J638" s="34">
        <v>74.8</v>
      </c>
    </row>
    <row r="639" spans="1:10" ht="15.75" customHeight="1">
      <c r="A639" s="14" t="s">
        <v>7</v>
      </c>
      <c r="B639" s="15">
        <v>46080</v>
      </c>
      <c r="C639" s="16" t="s">
        <v>47</v>
      </c>
      <c r="D639" s="17" t="s">
        <v>46</v>
      </c>
      <c r="E639" s="18" t="s">
        <v>33</v>
      </c>
      <c r="F639" s="19">
        <v>801</v>
      </c>
      <c r="G639" s="20">
        <v>62</v>
      </c>
      <c r="H639" s="21">
        <v>57</v>
      </c>
      <c r="I639" s="22">
        <v>806</v>
      </c>
      <c r="J639" s="35">
        <v>91.9</v>
      </c>
    </row>
    <row r="640" spans="1:10" ht="15.75" customHeight="1">
      <c r="A640" s="24" t="s">
        <v>7</v>
      </c>
      <c r="B640" s="25">
        <v>46080</v>
      </c>
      <c r="C640" s="26" t="s">
        <v>47</v>
      </c>
      <c r="D640" s="27" t="s">
        <v>46</v>
      </c>
      <c r="E640" s="28" t="s">
        <v>36</v>
      </c>
      <c r="F640" s="29">
        <v>2374</v>
      </c>
      <c r="G640" s="30">
        <v>165</v>
      </c>
      <c r="H640" s="31">
        <v>124</v>
      </c>
      <c r="I640" s="32">
        <v>2415</v>
      </c>
      <c r="J640" s="33">
        <v>75.2</v>
      </c>
    </row>
    <row r="641" spans="1:10" ht="15.75" customHeight="1">
      <c r="A641" s="36" t="s">
        <v>7</v>
      </c>
      <c r="B641" s="37">
        <v>46081</v>
      </c>
      <c r="C641" s="38" t="s">
        <v>48</v>
      </c>
      <c r="D641" s="39" t="s">
        <v>49</v>
      </c>
      <c r="E641" s="40" t="s">
        <v>26</v>
      </c>
      <c r="F641" s="41">
        <v>1983</v>
      </c>
      <c r="G641" s="42">
        <v>43</v>
      </c>
      <c r="H641" s="43">
        <v>31</v>
      </c>
      <c r="I641" s="44">
        <v>1995</v>
      </c>
      <c r="J641" s="46">
        <v>72.099999999999994</v>
      </c>
    </row>
    <row r="642" spans="1:10" ht="15.75" customHeight="1">
      <c r="A642" s="36" t="s">
        <v>7</v>
      </c>
      <c r="B642" s="37">
        <v>46081</v>
      </c>
      <c r="C642" s="38" t="s">
        <v>48</v>
      </c>
      <c r="D642" s="39" t="s">
        <v>49</v>
      </c>
      <c r="E642" s="40" t="s">
        <v>27</v>
      </c>
      <c r="F642" s="41">
        <v>1415</v>
      </c>
      <c r="G642" s="42">
        <v>54</v>
      </c>
      <c r="H642" s="43">
        <v>41</v>
      </c>
      <c r="I642" s="44">
        <v>1428</v>
      </c>
      <c r="J642" s="45">
        <v>75.900000000000006</v>
      </c>
    </row>
    <row r="643" spans="1:10" ht="15.75" customHeight="1">
      <c r="A643" s="36" t="s">
        <v>7</v>
      </c>
      <c r="B643" s="37">
        <v>46081</v>
      </c>
      <c r="C643" s="38" t="s">
        <v>48</v>
      </c>
      <c r="D643" s="39" t="s">
        <v>49</v>
      </c>
      <c r="E643" s="40" t="s">
        <v>30</v>
      </c>
      <c r="F643" s="41">
        <v>2205</v>
      </c>
      <c r="G643" s="42">
        <v>78</v>
      </c>
      <c r="H643" s="43">
        <v>51</v>
      </c>
      <c r="I643" s="44">
        <v>2232</v>
      </c>
      <c r="J643" s="46">
        <v>65.400000000000006</v>
      </c>
    </row>
    <row r="644" spans="1:10" ht="15.75" customHeight="1">
      <c r="A644" s="36" t="s">
        <v>7</v>
      </c>
      <c r="B644" s="37">
        <v>46081</v>
      </c>
      <c r="C644" s="38" t="s">
        <v>48</v>
      </c>
      <c r="D644" s="39" t="s">
        <v>49</v>
      </c>
      <c r="E644" s="40" t="s">
        <v>32</v>
      </c>
      <c r="F644" s="41">
        <v>1163</v>
      </c>
      <c r="G644" s="42">
        <v>30</v>
      </c>
      <c r="H644" s="43">
        <v>22</v>
      </c>
      <c r="I644" s="44">
        <v>1171</v>
      </c>
      <c r="J644" s="46">
        <v>73.3</v>
      </c>
    </row>
    <row r="645" spans="1:10" ht="15.75" customHeight="1">
      <c r="A645" s="36" t="s">
        <v>7</v>
      </c>
      <c r="B645" s="37">
        <v>46081</v>
      </c>
      <c r="C645" s="38" t="s">
        <v>48</v>
      </c>
      <c r="D645" s="39" t="s">
        <v>49</v>
      </c>
      <c r="E645" s="40" t="s">
        <v>34</v>
      </c>
      <c r="F645" s="41">
        <v>2158</v>
      </c>
      <c r="G645" s="42">
        <v>59</v>
      </c>
      <c r="H645" s="43">
        <v>44</v>
      </c>
      <c r="I645" s="44">
        <v>2173</v>
      </c>
      <c r="J645" s="46">
        <v>74.599999999999994</v>
      </c>
    </row>
    <row r="646" spans="1:10" ht="15.75" customHeight="1">
      <c r="A646" s="36" t="s">
        <v>7</v>
      </c>
      <c r="B646" s="37">
        <v>46081</v>
      </c>
      <c r="C646" s="38" t="s">
        <v>48</v>
      </c>
      <c r="D646" s="39" t="s">
        <v>49</v>
      </c>
      <c r="E646" s="40" t="s">
        <v>25</v>
      </c>
      <c r="F646" s="41">
        <v>1294</v>
      </c>
      <c r="G646" s="42">
        <v>36</v>
      </c>
      <c r="H646" s="43">
        <v>30</v>
      </c>
      <c r="I646" s="44">
        <v>1300</v>
      </c>
      <c r="J646" s="45">
        <v>83.3</v>
      </c>
    </row>
    <row r="647" spans="1:10" ht="15.75" customHeight="1">
      <c r="A647" s="36" t="s">
        <v>7</v>
      </c>
      <c r="B647" s="37">
        <v>46081</v>
      </c>
      <c r="C647" s="38" t="s">
        <v>48</v>
      </c>
      <c r="D647" s="39" t="s">
        <v>49</v>
      </c>
      <c r="E647" s="40" t="s">
        <v>35</v>
      </c>
      <c r="F647" s="41">
        <v>1416</v>
      </c>
      <c r="G647" s="42">
        <v>35</v>
      </c>
      <c r="H647" s="43">
        <v>25</v>
      </c>
      <c r="I647" s="44">
        <v>1426</v>
      </c>
      <c r="J647" s="46">
        <v>71.400000000000006</v>
      </c>
    </row>
    <row r="648" spans="1:10" ht="15.75" customHeight="1">
      <c r="A648" s="36" t="s">
        <v>7</v>
      </c>
      <c r="B648" s="37">
        <v>46081</v>
      </c>
      <c r="C648" s="38" t="s">
        <v>48</v>
      </c>
      <c r="D648" s="39" t="s">
        <v>49</v>
      </c>
      <c r="E648" s="40" t="s">
        <v>29</v>
      </c>
      <c r="F648" s="41">
        <v>1592</v>
      </c>
      <c r="G648" s="42">
        <v>46</v>
      </c>
      <c r="H648" s="43">
        <v>36</v>
      </c>
      <c r="I648" s="44">
        <v>1602</v>
      </c>
      <c r="J648" s="45">
        <v>78.3</v>
      </c>
    </row>
    <row r="649" spans="1:10" ht="15.75" customHeight="1">
      <c r="A649" s="36" t="s">
        <v>7</v>
      </c>
      <c r="B649" s="37">
        <v>46081</v>
      </c>
      <c r="C649" s="38" t="s">
        <v>48</v>
      </c>
      <c r="D649" s="39" t="s">
        <v>49</v>
      </c>
      <c r="E649" s="40" t="s">
        <v>31</v>
      </c>
      <c r="F649" s="41">
        <v>1828</v>
      </c>
      <c r="G649" s="42">
        <v>60</v>
      </c>
      <c r="H649" s="43">
        <v>48</v>
      </c>
      <c r="I649" s="44">
        <v>1840</v>
      </c>
      <c r="J649" s="45">
        <v>80</v>
      </c>
    </row>
    <row r="650" spans="1:10" ht="15.75" customHeight="1">
      <c r="A650" s="36" t="s">
        <v>7</v>
      </c>
      <c r="B650" s="37">
        <v>46081</v>
      </c>
      <c r="C650" s="38" t="s">
        <v>48</v>
      </c>
      <c r="D650" s="39" t="s">
        <v>49</v>
      </c>
      <c r="E650" s="40" t="s">
        <v>33</v>
      </c>
      <c r="F650" s="41">
        <v>806</v>
      </c>
      <c r="G650" s="42">
        <v>40</v>
      </c>
      <c r="H650" s="43">
        <v>36</v>
      </c>
      <c r="I650" s="44">
        <v>810</v>
      </c>
      <c r="J650" s="45">
        <v>90</v>
      </c>
    </row>
    <row r="651" spans="1:10" ht="15.75" customHeight="1">
      <c r="A651" s="36" t="s">
        <v>7</v>
      </c>
      <c r="B651" s="37">
        <v>46081</v>
      </c>
      <c r="C651" s="38" t="s">
        <v>48</v>
      </c>
      <c r="D651" s="39" t="s">
        <v>49</v>
      </c>
      <c r="E651" s="40" t="s">
        <v>36</v>
      </c>
      <c r="F651" s="41">
        <v>2415</v>
      </c>
      <c r="G651" s="42">
        <v>74</v>
      </c>
      <c r="H651" s="43">
        <v>49</v>
      </c>
      <c r="I651" s="44">
        <v>2440</v>
      </c>
      <c r="J651" s="46">
        <v>66.2</v>
      </c>
    </row>
    <row r="652" spans="1:10" ht="15.75" customHeight="1">
      <c r="A652" s="36" t="s">
        <v>8</v>
      </c>
      <c r="B652" s="37">
        <v>46082</v>
      </c>
      <c r="C652" s="38" t="s">
        <v>50</v>
      </c>
      <c r="D652" s="39" t="s">
        <v>49</v>
      </c>
      <c r="E652" s="40" t="s">
        <v>26</v>
      </c>
      <c r="F652" s="41">
        <v>1995</v>
      </c>
      <c r="G652" s="42">
        <v>75</v>
      </c>
      <c r="H652" s="43">
        <v>50</v>
      </c>
      <c r="I652" s="44">
        <v>2020</v>
      </c>
      <c r="J652" s="46">
        <v>66.7</v>
      </c>
    </row>
    <row r="653" spans="1:10" ht="15.75" customHeight="1">
      <c r="A653" s="36" t="s">
        <v>8</v>
      </c>
      <c r="B653" s="37">
        <v>46082</v>
      </c>
      <c r="C653" s="38" t="s">
        <v>50</v>
      </c>
      <c r="D653" s="39" t="s">
        <v>49</v>
      </c>
      <c r="E653" s="40" t="s">
        <v>27</v>
      </c>
      <c r="F653" s="41">
        <v>1428</v>
      </c>
      <c r="G653" s="42">
        <v>51</v>
      </c>
      <c r="H653" s="43">
        <v>38</v>
      </c>
      <c r="I653" s="44">
        <v>1441</v>
      </c>
      <c r="J653" s="46">
        <v>74.5</v>
      </c>
    </row>
    <row r="654" spans="1:10" ht="15.75" customHeight="1">
      <c r="A654" s="36" t="s">
        <v>8</v>
      </c>
      <c r="B654" s="37">
        <v>46082</v>
      </c>
      <c r="C654" s="38" t="s">
        <v>50</v>
      </c>
      <c r="D654" s="39" t="s">
        <v>49</v>
      </c>
      <c r="E654" s="40" t="s">
        <v>30</v>
      </c>
      <c r="F654" s="41">
        <v>2232</v>
      </c>
      <c r="G654" s="42">
        <v>39</v>
      </c>
      <c r="H654" s="43">
        <v>23</v>
      </c>
      <c r="I654" s="44">
        <v>2248</v>
      </c>
      <c r="J654" s="46">
        <v>59</v>
      </c>
    </row>
    <row r="655" spans="1:10" ht="15.75" customHeight="1">
      <c r="A655" s="36" t="s">
        <v>8</v>
      </c>
      <c r="B655" s="37">
        <v>46082</v>
      </c>
      <c r="C655" s="38" t="s">
        <v>50</v>
      </c>
      <c r="D655" s="39" t="s">
        <v>49</v>
      </c>
      <c r="E655" s="40" t="s">
        <v>32</v>
      </c>
      <c r="F655" s="41">
        <v>1171</v>
      </c>
      <c r="G655" s="42">
        <v>50</v>
      </c>
      <c r="H655" s="43">
        <v>39</v>
      </c>
      <c r="I655" s="44">
        <v>1182</v>
      </c>
      <c r="J655" s="45">
        <v>78</v>
      </c>
    </row>
    <row r="656" spans="1:10" ht="15.75" customHeight="1">
      <c r="A656" s="36" t="s">
        <v>8</v>
      </c>
      <c r="B656" s="37">
        <v>46082</v>
      </c>
      <c r="C656" s="38" t="s">
        <v>50</v>
      </c>
      <c r="D656" s="39" t="s">
        <v>49</v>
      </c>
      <c r="E656" s="40" t="s">
        <v>34</v>
      </c>
      <c r="F656" s="41">
        <v>2173</v>
      </c>
      <c r="G656" s="42">
        <v>78</v>
      </c>
      <c r="H656" s="43">
        <v>51</v>
      </c>
      <c r="I656" s="44">
        <v>2200</v>
      </c>
      <c r="J656" s="46">
        <v>65.400000000000006</v>
      </c>
    </row>
    <row r="657" spans="1:10" ht="15.75" customHeight="1">
      <c r="A657" s="36" t="s">
        <v>8</v>
      </c>
      <c r="B657" s="37">
        <v>46082</v>
      </c>
      <c r="C657" s="38" t="s">
        <v>50</v>
      </c>
      <c r="D657" s="39" t="s">
        <v>49</v>
      </c>
      <c r="E657" s="40" t="s">
        <v>25</v>
      </c>
      <c r="F657" s="41">
        <v>1300</v>
      </c>
      <c r="G657" s="42">
        <v>34</v>
      </c>
      <c r="H657" s="43">
        <v>25</v>
      </c>
      <c r="I657" s="44">
        <v>1309</v>
      </c>
      <c r="J657" s="46">
        <v>73.5</v>
      </c>
    </row>
    <row r="658" spans="1:10" ht="15.75" customHeight="1">
      <c r="A658" s="36" t="s">
        <v>8</v>
      </c>
      <c r="B658" s="37">
        <v>46082</v>
      </c>
      <c r="C658" s="38" t="s">
        <v>50</v>
      </c>
      <c r="D658" s="39" t="s">
        <v>49</v>
      </c>
      <c r="E658" s="40" t="s">
        <v>35</v>
      </c>
      <c r="F658" s="41">
        <v>1426</v>
      </c>
      <c r="G658" s="42">
        <v>53</v>
      </c>
      <c r="H658" s="43">
        <v>47</v>
      </c>
      <c r="I658" s="44">
        <v>1432</v>
      </c>
      <c r="J658" s="45">
        <v>88.7</v>
      </c>
    </row>
    <row r="659" spans="1:10" ht="15.75" customHeight="1">
      <c r="A659" s="36" t="s">
        <v>8</v>
      </c>
      <c r="B659" s="37">
        <v>46082</v>
      </c>
      <c r="C659" s="38" t="s">
        <v>50</v>
      </c>
      <c r="D659" s="39" t="s">
        <v>49</v>
      </c>
      <c r="E659" s="40" t="s">
        <v>29</v>
      </c>
      <c r="F659" s="41">
        <v>1602</v>
      </c>
      <c r="G659" s="42">
        <v>43</v>
      </c>
      <c r="H659" s="43">
        <v>30</v>
      </c>
      <c r="I659" s="44">
        <v>1615</v>
      </c>
      <c r="J659" s="46">
        <v>69.8</v>
      </c>
    </row>
    <row r="660" spans="1:10" ht="15.75" customHeight="1">
      <c r="A660" s="36" t="s">
        <v>8</v>
      </c>
      <c r="B660" s="37">
        <v>46082</v>
      </c>
      <c r="C660" s="38" t="s">
        <v>50</v>
      </c>
      <c r="D660" s="39" t="s">
        <v>49</v>
      </c>
      <c r="E660" s="40" t="s">
        <v>31</v>
      </c>
      <c r="F660" s="41">
        <v>1840</v>
      </c>
      <c r="G660" s="42">
        <v>53</v>
      </c>
      <c r="H660" s="43">
        <v>41</v>
      </c>
      <c r="I660" s="44">
        <v>1852</v>
      </c>
      <c r="J660" s="45">
        <v>77.400000000000006</v>
      </c>
    </row>
    <row r="661" spans="1:10" ht="15.75" customHeight="1">
      <c r="A661" s="36" t="s">
        <v>8</v>
      </c>
      <c r="B661" s="37">
        <v>46082</v>
      </c>
      <c r="C661" s="38" t="s">
        <v>50</v>
      </c>
      <c r="D661" s="39" t="s">
        <v>49</v>
      </c>
      <c r="E661" s="40" t="s">
        <v>33</v>
      </c>
      <c r="F661" s="41">
        <v>810</v>
      </c>
      <c r="G661" s="42">
        <v>27</v>
      </c>
      <c r="H661" s="43">
        <v>25</v>
      </c>
      <c r="I661" s="44">
        <v>812</v>
      </c>
      <c r="J661" s="45">
        <v>92.6</v>
      </c>
    </row>
    <row r="662" spans="1:10" ht="15.75" customHeight="1">
      <c r="A662" s="36" t="s">
        <v>8</v>
      </c>
      <c r="B662" s="37">
        <v>46082</v>
      </c>
      <c r="C662" s="38" t="s">
        <v>50</v>
      </c>
      <c r="D662" s="39" t="s">
        <v>49</v>
      </c>
      <c r="E662" s="40" t="s">
        <v>36</v>
      </c>
      <c r="F662" s="41">
        <v>2440</v>
      </c>
      <c r="G662" s="42">
        <v>68</v>
      </c>
      <c r="H662" s="43">
        <v>54</v>
      </c>
      <c r="I662" s="44">
        <v>2454</v>
      </c>
      <c r="J662" s="45">
        <v>79.400000000000006</v>
      </c>
    </row>
    <row r="663" spans="1:10" ht="15.75" customHeight="1">
      <c r="A663" s="14" t="s">
        <v>8</v>
      </c>
      <c r="B663" s="15">
        <v>46083</v>
      </c>
      <c r="C663" s="16" t="s">
        <v>51</v>
      </c>
      <c r="D663" s="17" t="s">
        <v>46</v>
      </c>
      <c r="E663" s="18" t="s">
        <v>26</v>
      </c>
      <c r="F663" s="19">
        <v>2020</v>
      </c>
      <c r="G663" s="20">
        <v>149</v>
      </c>
      <c r="H663" s="21">
        <v>97</v>
      </c>
      <c r="I663" s="22">
        <v>2072</v>
      </c>
      <c r="J663" s="23">
        <v>65.099999999999994</v>
      </c>
    </row>
    <row r="664" spans="1:10" ht="15.75" customHeight="1">
      <c r="A664" s="24" t="s">
        <v>8</v>
      </c>
      <c r="B664" s="25">
        <v>46083</v>
      </c>
      <c r="C664" s="26" t="s">
        <v>51</v>
      </c>
      <c r="D664" s="27" t="s">
        <v>46</v>
      </c>
      <c r="E664" s="28" t="s">
        <v>27</v>
      </c>
      <c r="F664" s="29">
        <v>1441</v>
      </c>
      <c r="G664" s="30">
        <v>92</v>
      </c>
      <c r="H664" s="31">
        <v>66</v>
      </c>
      <c r="I664" s="32">
        <v>1467</v>
      </c>
      <c r="J664" s="34">
        <v>71.7</v>
      </c>
    </row>
    <row r="665" spans="1:10" ht="15.75" customHeight="1">
      <c r="A665" s="14" t="s">
        <v>8</v>
      </c>
      <c r="B665" s="15">
        <v>46083</v>
      </c>
      <c r="C665" s="16" t="s">
        <v>51</v>
      </c>
      <c r="D665" s="17" t="s">
        <v>46</v>
      </c>
      <c r="E665" s="18" t="s">
        <v>30</v>
      </c>
      <c r="F665" s="19">
        <v>2248</v>
      </c>
      <c r="G665" s="20">
        <v>123</v>
      </c>
      <c r="H665" s="21">
        <v>75</v>
      </c>
      <c r="I665" s="22">
        <v>2296</v>
      </c>
      <c r="J665" s="23">
        <v>61</v>
      </c>
    </row>
    <row r="666" spans="1:10" ht="15.75" customHeight="1">
      <c r="A666" s="24" t="s">
        <v>8</v>
      </c>
      <c r="B666" s="25">
        <v>46083</v>
      </c>
      <c r="C666" s="26" t="s">
        <v>51</v>
      </c>
      <c r="D666" s="27" t="s">
        <v>46</v>
      </c>
      <c r="E666" s="28" t="s">
        <v>32</v>
      </c>
      <c r="F666" s="29">
        <v>1182</v>
      </c>
      <c r="G666" s="30">
        <v>94</v>
      </c>
      <c r="H666" s="31">
        <v>76</v>
      </c>
      <c r="I666" s="32">
        <v>1200</v>
      </c>
      <c r="J666" s="33">
        <v>80.900000000000006</v>
      </c>
    </row>
    <row r="667" spans="1:10" ht="15.75" customHeight="1">
      <c r="A667" s="14" t="s">
        <v>8</v>
      </c>
      <c r="B667" s="15">
        <v>46083</v>
      </c>
      <c r="C667" s="16" t="s">
        <v>51</v>
      </c>
      <c r="D667" s="17" t="s">
        <v>46</v>
      </c>
      <c r="E667" s="18" t="s">
        <v>34</v>
      </c>
      <c r="F667" s="19">
        <v>2200</v>
      </c>
      <c r="G667" s="20">
        <v>105</v>
      </c>
      <c r="H667" s="21">
        <v>82</v>
      </c>
      <c r="I667" s="22">
        <v>2223</v>
      </c>
      <c r="J667" s="35">
        <v>78.099999999999994</v>
      </c>
    </row>
    <row r="668" spans="1:10" ht="15.75" customHeight="1">
      <c r="A668" s="24" t="s">
        <v>8</v>
      </c>
      <c r="B668" s="25">
        <v>46083</v>
      </c>
      <c r="C668" s="26" t="s">
        <v>51</v>
      </c>
      <c r="D668" s="27" t="s">
        <v>46</v>
      </c>
      <c r="E668" s="28" t="s">
        <v>25</v>
      </c>
      <c r="F668" s="29">
        <v>1309</v>
      </c>
      <c r="G668" s="30">
        <v>107</v>
      </c>
      <c r="H668" s="31">
        <v>88</v>
      </c>
      <c r="I668" s="32">
        <v>1328</v>
      </c>
      <c r="J668" s="33">
        <v>82.2</v>
      </c>
    </row>
    <row r="669" spans="1:10" ht="15.75" customHeight="1">
      <c r="A669" s="14" t="s">
        <v>8</v>
      </c>
      <c r="B669" s="15">
        <v>46083</v>
      </c>
      <c r="C669" s="16" t="s">
        <v>51</v>
      </c>
      <c r="D669" s="17" t="s">
        <v>46</v>
      </c>
      <c r="E669" s="18" t="s">
        <v>35</v>
      </c>
      <c r="F669" s="19">
        <v>1432</v>
      </c>
      <c r="G669" s="20">
        <v>133</v>
      </c>
      <c r="H669" s="21">
        <v>111</v>
      </c>
      <c r="I669" s="22">
        <v>1454</v>
      </c>
      <c r="J669" s="35">
        <v>83.5</v>
      </c>
    </row>
    <row r="670" spans="1:10" ht="15.75" customHeight="1">
      <c r="A670" s="24" t="s">
        <v>8</v>
      </c>
      <c r="B670" s="25">
        <v>46083</v>
      </c>
      <c r="C670" s="26" t="s">
        <v>51</v>
      </c>
      <c r="D670" s="27" t="s">
        <v>46</v>
      </c>
      <c r="E670" s="28" t="s">
        <v>29</v>
      </c>
      <c r="F670" s="29">
        <v>1615</v>
      </c>
      <c r="G670" s="30">
        <v>67</v>
      </c>
      <c r="H670" s="31">
        <v>46</v>
      </c>
      <c r="I670" s="32">
        <v>1636</v>
      </c>
      <c r="J670" s="34">
        <v>68.7</v>
      </c>
    </row>
    <row r="671" spans="1:10" ht="15.75" customHeight="1">
      <c r="A671" s="14" t="s">
        <v>8</v>
      </c>
      <c r="B671" s="15">
        <v>46083</v>
      </c>
      <c r="C671" s="16" t="s">
        <v>51</v>
      </c>
      <c r="D671" s="17" t="s">
        <v>46</v>
      </c>
      <c r="E671" s="18" t="s">
        <v>31</v>
      </c>
      <c r="F671" s="19">
        <v>1852</v>
      </c>
      <c r="G671" s="20">
        <v>121</v>
      </c>
      <c r="H671" s="21">
        <v>85</v>
      </c>
      <c r="I671" s="22">
        <v>1888</v>
      </c>
      <c r="J671" s="23">
        <v>70.2</v>
      </c>
    </row>
    <row r="672" spans="1:10" ht="15.75" customHeight="1">
      <c r="A672" s="24" t="s">
        <v>8</v>
      </c>
      <c r="B672" s="25">
        <v>46083</v>
      </c>
      <c r="C672" s="26" t="s">
        <v>51</v>
      </c>
      <c r="D672" s="27" t="s">
        <v>46</v>
      </c>
      <c r="E672" s="28" t="s">
        <v>33</v>
      </c>
      <c r="F672" s="29">
        <v>812</v>
      </c>
      <c r="G672" s="30">
        <v>76</v>
      </c>
      <c r="H672" s="31">
        <v>72</v>
      </c>
      <c r="I672" s="32">
        <v>816</v>
      </c>
      <c r="J672" s="33">
        <v>94.7</v>
      </c>
    </row>
    <row r="673" spans="1:10" ht="15.75" customHeight="1">
      <c r="A673" s="14" t="s">
        <v>8</v>
      </c>
      <c r="B673" s="15">
        <v>46083</v>
      </c>
      <c r="C673" s="16" t="s">
        <v>51</v>
      </c>
      <c r="D673" s="17" t="s">
        <v>46</v>
      </c>
      <c r="E673" s="18" t="s">
        <v>36</v>
      </c>
      <c r="F673" s="19">
        <v>2454</v>
      </c>
      <c r="G673" s="20">
        <v>129</v>
      </c>
      <c r="H673" s="21">
        <v>97</v>
      </c>
      <c r="I673" s="22">
        <v>2486</v>
      </c>
      <c r="J673" s="35">
        <v>75.2</v>
      </c>
    </row>
    <row r="674" spans="1:10" ht="15.75" customHeight="1">
      <c r="A674" s="24" t="s">
        <v>8</v>
      </c>
      <c r="B674" s="25">
        <v>46084</v>
      </c>
      <c r="C674" s="26" t="s">
        <v>52</v>
      </c>
      <c r="D674" s="27" t="s">
        <v>46</v>
      </c>
      <c r="E674" s="28" t="s">
        <v>26</v>
      </c>
      <c r="F674" s="29">
        <v>2072</v>
      </c>
      <c r="G674" s="30">
        <v>82</v>
      </c>
      <c r="H674" s="31">
        <v>58</v>
      </c>
      <c r="I674" s="32">
        <v>2096</v>
      </c>
      <c r="J674" s="34">
        <v>70.7</v>
      </c>
    </row>
    <row r="675" spans="1:10" ht="15.75" customHeight="1">
      <c r="A675" s="14" t="s">
        <v>8</v>
      </c>
      <c r="B675" s="15">
        <v>46084</v>
      </c>
      <c r="C675" s="16" t="s">
        <v>52</v>
      </c>
      <c r="D675" s="17" t="s">
        <v>46</v>
      </c>
      <c r="E675" s="18" t="s">
        <v>27</v>
      </c>
      <c r="F675" s="19">
        <v>1467</v>
      </c>
      <c r="G675" s="20">
        <v>129</v>
      </c>
      <c r="H675" s="21">
        <v>98</v>
      </c>
      <c r="I675" s="22">
        <v>1498</v>
      </c>
      <c r="J675" s="35">
        <v>76</v>
      </c>
    </row>
    <row r="676" spans="1:10" ht="15.75" customHeight="1">
      <c r="A676" s="24" t="s">
        <v>8</v>
      </c>
      <c r="B676" s="25">
        <v>46084</v>
      </c>
      <c r="C676" s="26" t="s">
        <v>52</v>
      </c>
      <c r="D676" s="27" t="s">
        <v>46</v>
      </c>
      <c r="E676" s="28" t="s">
        <v>30</v>
      </c>
      <c r="F676" s="29">
        <v>2296</v>
      </c>
      <c r="G676" s="30">
        <v>143</v>
      </c>
      <c r="H676" s="31">
        <v>104</v>
      </c>
      <c r="I676" s="32">
        <v>2335</v>
      </c>
      <c r="J676" s="34">
        <v>72.7</v>
      </c>
    </row>
    <row r="677" spans="1:10" ht="15.75" customHeight="1">
      <c r="A677" s="14" t="s">
        <v>8</v>
      </c>
      <c r="B677" s="15">
        <v>46084</v>
      </c>
      <c r="C677" s="16" t="s">
        <v>52</v>
      </c>
      <c r="D677" s="17" t="s">
        <v>46</v>
      </c>
      <c r="E677" s="18" t="s">
        <v>32</v>
      </c>
      <c r="F677" s="19">
        <v>1200</v>
      </c>
      <c r="G677" s="20">
        <v>91</v>
      </c>
      <c r="H677" s="21">
        <v>69</v>
      </c>
      <c r="I677" s="22">
        <v>1222</v>
      </c>
      <c r="J677" s="35">
        <v>75.8</v>
      </c>
    </row>
    <row r="678" spans="1:10" ht="15.75" customHeight="1">
      <c r="A678" s="24" t="s">
        <v>8</v>
      </c>
      <c r="B678" s="25">
        <v>46084</v>
      </c>
      <c r="C678" s="26" t="s">
        <v>52</v>
      </c>
      <c r="D678" s="27" t="s">
        <v>46</v>
      </c>
      <c r="E678" s="28" t="s">
        <v>34</v>
      </c>
      <c r="F678" s="29">
        <v>2223</v>
      </c>
      <c r="G678" s="30">
        <v>143</v>
      </c>
      <c r="H678" s="31">
        <v>97</v>
      </c>
      <c r="I678" s="32">
        <v>2269</v>
      </c>
      <c r="J678" s="34">
        <v>67.8</v>
      </c>
    </row>
    <row r="679" spans="1:10" ht="15.75" customHeight="1">
      <c r="A679" s="14" t="s">
        <v>8</v>
      </c>
      <c r="B679" s="15">
        <v>46084</v>
      </c>
      <c r="C679" s="16" t="s">
        <v>52</v>
      </c>
      <c r="D679" s="17" t="s">
        <v>46</v>
      </c>
      <c r="E679" s="18" t="s">
        <v>25</v>
      </c>
      <c r="F679" s="19">
        <v>1328</v>
      </c>
      <c r="G679" s="20">
        <v>83</v>
      </c>
      <c r="H679" s="21">
        <v>57</v>
      </c>
      <c r="I679" s="22">
        <v>1354</v>
      </c>
      <c r="J679" s="23">
        <v>68.7</v>
      </c>
    </row>
    <row r="680" spans="1:10" ht="15.75" customHeight="1">
      <c r="A680" s="24" t="s">
        <v>8</v>
      </c>
      <c r="B680" s="25">
        <v>46084</v>
      </c>
      <c r="C680" s="26" t="s">
        <v>52</v>
      </c>
      <c r="D680" s="27" t="s">
        <v>46</v>
      </c>
      <c r="E680" s="28" t="s">
        <v>35</v>
      </c>
      <c r="F680" s="29">
        <v>1454</v>
      </c>
      <c r="G680" s="30">
        <v>100</v>
      </c>
      <c r="H680" s="31">
        <v>87</v>
      </c>
      <c r="I680" s="32">
        <v>1467</v>
      </c>
      <c r="J680" s="33">
        <v>87</v>
      </c>
    </row>
    <row r="681" spans="1:10" ht="15.75" customHeight="1">
      <c r="A681" s="14" t="s">
        <v>8</v>
      </c>
      <c r="B681" s="15">
        <v>46084</v>
      </c>
      <c r="C681" s="16" t="s">
        <v>52</v>
      </c>
      <c r="D681" s="17" t="s">
        <v>46</v>
      </c>
      <c r="E681" s="18" t="s">
        <v>29</v>
      </c>
      <c r="F681" s="19">
        <v>1636</v>
      </c>
      <c r="G681" s="20">
        <v>73</v>
      </c>
      <c r="H681" s="21">
        <v>62</v>
      </c>
      <c r="I681" s="22">
        <v>1647</v>
      </c>
      <c r="J681" s="35">
        <v>84.9</v>
      </c>
    </row>
    <row r="682" spans="1:10" ht="15.75" customHeight="1">
      <c r="A682" s="24" t="s">
        <v>8</v>
      </c>
      <c r="B682" s="25">
        <v>46084</v>
      </c>
      <c r="C682" s="26" t="s">
        <v>52</v>
      </c>
      <c r="D682" s="27" t="s">
        <v>46</v>
      </c>
      <c r="E682" s="28" t="s">
        <v>31</v>
      </c>
      <c r="F682" s="29">
        <v>1888</v>
      </c>
      <c r="G682" s="30">
        <v>131</v>
      </c>
      <c r="H682" s="31">
        <v>105</v>
      </c>
      <c r="I682" s="32">
        <v>1914</v>
      </c>
      <c r="J682" s="33">
        <v>80.2</v>
      </c>
    </row>
    <row r="683" spans="1:10" ht="15.75" customHeight="1">
      <c r="A683" s="14" t="s">
        <v>8</v>
      </c>
      <c r="B683" s="15">
        <v>46084</v>
      </c>
      <c r="C683" s="16" t="s">
        <v>52</v>
      </c>
      <c r="D683" s="17" t="s">
        <v>46</v>
      </c>
      <c r="E683" s="18" t="s">
        <v>33</v>
      </c>
      <c r="F683" s="19">
        <v>816</v>
      </c>
      <c r="G683" s="20">
        <v>77</v>
      </c>
      <c r="H683" s="21">
        <v>71</v>
      </c>
      <c r="I683" s="22">
        <v>822</v>
      </c>
      <c r="J683" s="35">
        <v>92.2</v>
      </c>
    </row>
    <row r="684" spans="1:10" ht="15.75" customHeight="1">
      <c r="A684" s="24" t="s">
        <v>8</v>
      </c>
      <c r="B684" s="25">
        <v>46084</v>
      </c>
      <c r="C684" s="26" t="s">
        <v>52</v>
      </c>
      <c r="D684" s="27" t="s">
        <v>46</v>
      </c>
      <c r="E684" s="28" t="s">
        <v>36</v>
      </c>
      <c r="F684" s="29">
        <v>2486</v>
      </c>
      <c r="G684" s="30">
        <v>136</v>
      </c>
      <c r="H684" s="31">
        <v>109</v>
      </c>
      <c r="I684" s="32">
        <v>2513</v>
      </c>
      <c r="J684" s="33">
        <v>80.099999999999994</v>
      </c>
    </row>
    <row r="685" spans="1:10" ht="15.75" customHeight="1">
      <c r="A685" s="14" t="s">
        <v>8</v>
      </c>
      <c r="B685" s="15">
        <v>46085</v>
      </c>
      <c r="C685" s="16" t="s">
        <v>53</v>
      </c>
      <c r="D685" s="17" t="s">
        <v>46</v>
      </c>
      <c r="E685" s="18" t="s">
        <v>26</v>
      </c>
      <c r="F685" s="19">
        <v>2096</v>
      </c>
      <c r="G685" s="20">
        <v>121</v>
      </c>
      <c r="H685" s="21">
        <v>86</v>
      </c>
      <c r="I685" s="22">
        <v>2131</v>
      </c>
      <c r="J685" s="23">
        <v>71.099999999999994</v>
      </c>
    </row>
    <row r="686" spans="1:10" ht="15.75" customHeight="1">
      <c r="A686" s="24" t="s">
        <v>8</v>
      </c>
      <c r="B686" s="25">
        <v>46085</v>
      </c>
      <c r="C686" s="26" t="s">
        <v>53</v>
      </c>
      <c r="D686" s="27" t="s">
        <v>46</v>
      </c>
      <c r="E686" s="28" t="s">
        <v>27</v>
      </c>
      <c r="F686" s="29">
        <v>1498</v>
      </c>
      <c r="G686" s="30">
        <v>82</v>
      </c>
      <c r="H686" s="31">
        <v>73</v>
      </c>
      <c r="I686" s="32">
        <v>1507</v>
      </c>
      <c r="J686" s="33">
        <v>89</v>
      </c>
    </row>
    <row r="687" spans="1:10" ht="15.75" customHeight="1">
      <c r="A687" s="14" t="s">
        <v>8</v>
      </c>
      <c r="B687" s="15">
        <v>46085</v>
      </c>
      <c r="C687" s="16" t="s">
        <v>53</v>
      </c>
      <c r="D687" s="17" t="s">
        <v>46</v>
      </c>
      <c r="E687" s="18" t="s">
        <v>30</v>
      </c>
      <c r="F687" s="19">
        <v>2335</v>
      </c>
      <c r="G687" s="20">
        <v>132</v>
      </c>
      <c r="H687" s="21">
        <v>100</v>
      </c>
      <c r="I687" s="22">
        <v>2367</v>
      </c>
      <c r="J687" s="35">
        <v>75.8</v>
      </c>
    </row>
    <row r="688" spans="1:10" ht="15.75" customHeight="1">
      <c r="A688" s="24" t="s">
        <v>8</v>
      </c>
      <c r="B688" s="25">
        <v>46085</v>
      </c>
      <c r="C688" s="26" t="s">
        <v>53</v>
      </c>
      <c r="D688" s="27" t="s">
        <v>46</v>
      </c>
      <c r="E688" s="28" t="s">
        <v>32</v>
      </c>
      <c r="F688" s="29">
        <v>1222</v>
      </c>
      <c r="G688" s="30">
        <v>106</v>
      </c>
      <c r="H688" s="31">
        <v>100</v>
      </c>
      <c r="I688" s="32">
        <v>1228</v>
      </c>
      <c r="J688" s="33">
        <v>94.3</v>
      </c>
    </row>
    <row r="689" spans="1:10" ht="15.75" customHeight="1">
      <c r="A689" s="14" t="s">
        <v>8</v>
      </c>
      <c r="B689" s="15">
        <v>46085</v>
      </c>
      <c r="C689" s="16" t="s">
        <v>53</v>
      </c>
      <c r="D689" s="17" t="s">
        <v>46</v>
      </c>
      <c r="E689" s="18" t="s">
        <v>34</v>
      </c>
      <c r="F689" s="19">
        <v>2269</v>
      </c>
      <c r="G689" s="20">
        <v>131</v>
      </c>
      <c r="H689" s="21">
        <v>96</v>
      </c>
      <c r="I689" s="22">
        <v>2304</v>
      </c>
      <c r="J689" s="23">
        <v>73.3</v>
      </c>
    </row>
    <row r="690" spans="1:10" ht="15.75" customHeight="1">
      <c r="A690" s="24" t="s">
        <v>8</v>
      </c>
      <c r="B690" s="25">
        <v>46085</v>
      </c>
      <c r="C690" s="26" t="s">
        <v>53</v>
      </c>
      <c r="D690" s="27" t="s">
        <v>46</v>
      </c>
      <c r="E690" s="28" t="s">
        <v>25</v>
      </c>
      <c r="F690" s="29">
        <v>1354</v>
      </c>
      <c r="G690" s="30">
        <v>68</v>
      </c>
      <c r="H690" s="31">
        <v>57</v>
      </c>
      <c r="I690" s="32">
        <v>1365</v>
      </c>
      <c r="J690" s="33">
        <v>83.8</v>
      </c>
    </row>
    <row r="691" spans="1:10" ht="15.75" customHeight="1">
      <c r="A691" s="14" t="s">
        <v>8</v>
      </c>
      <c r="B691" s="15">
        <v>46085</v>
      </c>
      <c r="C691" s="16" t="s">
        <v>53</v>
      </c>
      <c r="D691" s="17" t="s">
        <v>46</v>
      </c>
      <c r="E691" s="18" t="s">
        <v>35</v>
      </c>
      <c r="F691" s="19">
        <v>1467</v>
      </c>
      <c r="G691" s="20">
        <v>103</v>
      </c>
      <c r="H691" s="21">
        <v>84</v>
      </c>
      <c r="I691" s="22">
        <v>1486</v>
      </c>
      <c r="J691" s="35">
        <v>81.599999999999994</v>
      </c>
    </row>
    <row r="692" spans="1:10" ht="15.75" customHeight="1">
      <c r="A692" s="24" t="s">
        <v>8</v>
      </c>
      <c r="B692" s="25">
        <v>46085</v>
      </c>
      <c r="C692" s="26" t="s">
        <v>53</v>
      </c>
      <c r="D692" s="27" t="s">
        <v>46</v>
      </c>
      <c r="E692" s="28" t="s">
        <v>29</v>
      </c>
      <c r="F692" s="29">
        <v>1647</v>
      </c>
      <c r="G692" s="30">
        <v>108</v>
      </c>
      <c r="H692" s="31">
        <v>86</v>
      </c>
      <c r="I692" s="32">
        <v>1669</v>
      </c>
      <c r="J692" s="33">
        <v>79.599999999999994</v>
      </c>
    </row>
    <row r="693" spans="1:10" ht="15.75" customHeight="1">
      <c r="A693" s="14" t="s">
        <v>8</v>
      </c>
      <c r="B693" s="15">
        <v>46085</v>
      </c>
      <c r="C693" s="16" t="s">
        <v>53</v>
      </c>
      <c r="D693" s="17" t="s">
        <v>46</v>
      </c>
      <c r="E693" s="18" t="s">
        <v>31</v>
      </c>
      <c r="F693" s="19">
        <v>1914</v>
      </c>
      <c r="G693" s="20">
        <v>129</v>
      </c>
      <c r="H693" s="21">
        <v>105</v>
      </c>
      <c r="I693" s="22">
        <v>1938</v>
      </c>
      <c r="J693" s="35">
        <v>81.400000000000006</v>
      </c>
    </row>
    <row r="694" spans="1:10" ht="15.75" customHeight="1">
      <c r="A694" s="24" t="s">
        <v>8</v>
      </c>
      <c r="B694" s="25">
        <v>46085</v>
      </c>
      <c r="C694" s="26" t="s">
        <v>53</v>
      </c>
      <c r="D694" s="27" t="s">
        <v>46</v>
      </c>
      <c r="E694" s="28" t="s">
        <v>33</v>
      </c>
      <c r="F694" s="29">
        <v>822</v>
      </c>
      <c r="G694" s="30">
        <v>82</v>
      </c>
      <c r="H694" s="31">
        <v>74</v>
      </c>
      <c r="I694" s="32">
        <v>830</v>
      </c>
      <c r="J694" s="33">
        <v>90.2</v>
      </c>
    </row>
    <row r="695" spans="1:10" ht="15.75" customHeight="1">
      <c r="A695" s="14" t="s">
        <v>8</v>
      </c>
      <c r="B695" s="15">
        <v>46085</v>
      </c>
      <c r="C695" s="16" t="s">
        <v>53</v>
      </c>
      <c r="D695" s="17" t="s">
        <v>46</v>
      </c>
      <c r="E695" s="18" t="s">
        <v>36</v>
      </c>
      <c r="F695" s="19">
        <v>2513</v>
      </c>
      <c r="G695" s="20">
        <v>158</v>
      </c>
      <c r="H695" s="21">
        <v>127</v>
      </c>
      <c r="I695" s="22">
        <v>2544</v>
      </c>
      <c r="J695" s="35">
        <v>80.400000000000006</v>
      </c>
    </row>
    <row r="696" spans="1:10" ht="15.75" customHeight="1">
      <c r="A696" s="24" t="s">
        <v>8</v>
      </c>
      <c r="B696" s="25">
        <v>46086</v>
      </c>
      <c r="C696" s="26" t="s">
        <v>45</v>
      </c>
      <c r="D696" s="27" t="s">
        <v>46</v>
      </c>
      <c r="E696" s="28" t="s">
        <v>26</v>
      </c>
      <c r="F696" s="29">
        <v>2131</v>
      </c>
      <c r="G696" s="30">
        <v>88</v>
      </c>
      <c r="H696" s="31">
        <v>65</v>
      </c>
      <c r="I696" s="32">
        <v>2154</v>
      </c>
      <c r="J696" s="34">
        <v>73.900000000000006</v>
      </c>
    </row>
    <row r="697" spans="1:10" ht="15.75" customHeight="1">
      <c r="A697" s="14" t="s">
        <v>8</v>
      </c>
      <c r="B697" s="15">
        <v>46086</v>
      </c>
      <c r="C697" s="16" t="s">
        <v>45</v>
      </c>
      <c r="D697" s="17" t="s">
        <v>46</v>
      </c>
      <c r="E697" s="18" t="s">
        <v>27</v>
      </c>
      <c r="F697" s="19">
        <v>1507</v>
      </c>
      <c r="G697" s="20">
        <v>88</v>
      </c>
      <c r="H697" s="21">
        <v>64</v>
      </c>
      <c r="I697" s="22">
        <v>1531</v>
      </c>
      <c r="J697" s="23">
        <v>72.7</v>
      </c>
    </row>
    <row r="698" spans="1:10" ht="15.75" customHeight="1">
      <c r="A698" s="24" t="s">
        <v>8</v>
      </c>
      <c r="B698" s="25">
        <v>46086</v>
      </c>
      <c r="C698" s="26" t="s">
        <v>45</v>
      </c>
      <c r="D698" s="27" t="s">
        <v>46</v>
      </c>
      <c r="E698" s="28" t="s">
        <v>30</v>
      </c>
      <c r="F698" s="29">
        <v>2367</v>
      </c>
      <c r="G698" s="30">
        <v>105</v>
      </c>
      <c r="H698" s="31">
        <v>68</v>
      </c>
      <c r="I698" s="32">
        <v>2404</v>
      </c>
      <c r="J698" s="34">
        <v>64.8</v>
      </c>
    </row>
    <row r="699" spans="1:10" ht="15.75" customHeight="1">
      <c r="A699" s="14" t="s">
        <v>8</v>
      </c>
      <c r="B699" s="15">
        <v>46086</v>
      </c>
      <c r="C699" s="16" t="s">
        <v>45</v>
      </c>
      <c r="D699" s="17" t="s">
        <v>46</v>
      </c>
      <c r="E699" s="18" t="s">
        <v>32</v>
      </c>
      <c r="F699" s="19">
        <v>1228</v>
      </c>
      <c r="G699" s="20">
        <v>91</v>
      </c>
      <c r="H699" s="21">
        <v>79</v>
      </c>
      <c r="I699" s="22">
        <v>1240</v>
      </c>
      <c r="J699" s="35">
        <v>86.8</v>
      </c>
    </row>
    <row r="700" spans="1:10" ht="15.75" customHeight="1">
      <c r="A700" s="24" t="s">
        <v>8</v>
      </c>
      <c r="B700" s="25">
        <v>46086</v>
      </c>
      <c r="C700" s="26" t="s">
        <v>45</v>
      </c>
      <c r="D700" s="27" t="s">
        <v>46</v>
      </c>
      <c r="E700" s="28" t="s">
        <v>34</v>
      </c>
      <c r="F700" s="29">
        <v>2304</v>
      </c>
      <c r="G700" s="30">
        <v>118</v>
      </c>
      <c r="H700" s="31">
        <v>94</v>
      </c>
      <c r="I700" s="32">
        <v>2328</v>
      </c>
      <c r="J700" s="33">
        <v>79.7</v>
      </c>
    </row>
    <row r="701" spans="1:10" ht="15.75" customHeight="1">
      <c r="A701" s="14" t="s">
        <v>8</v>
      </c>
      <c r="B701" s="15">
        <v>46086</v>
      </c>
      <c r="C701" s="16" t="s">
        <v>45</v>
      </c>
      <c r="D701" s="17" t="s">
        <v>46</v>
      </c>
      <c r="E701" s="18" t="s">
        <v>25</v>
      </c>
      <c r="F701" s="19">
        <v>1365</v>
      </c>
      <c r="G701" s="20">
        <v>90</v>
      </c>
      <c r="H701" s="21">
        <v>72</v>
      </c>
      <c r="I701" s="22">
        <v>1383</v>
      </c>
      <c r="J701" s="35">
        <v>80</v>
      </c>
    </row>
    <row r="702" spans="1:10" ht="15.75" customHeight="1">
      <c r="A702" s="24" t="s">
        <v>8</v>
      </c>
      <c r="B702" s="25">
        <v>46086</v>
      </c>
      <c r="C702" s="26" t="s">
        <v>45</v>
      </c>
      <c r="D702" s="27" t="s">
        <v>46</v>
      </c>
      <c r="E702" s="28" t="s">
        <v>35</v>
      </c>
      <c r="F702" s="29">
        <v>1486</v>
      </c>
      <c r="G702" s="30">
        <v>83</v>
      </c>
      <c r="H702" s="31">
        <v>65</v>
      </c>
      <c r="I702" s="32">
        <v>1504</v>
      </c>
      <c r="J702" s="33">
        <v>78.3</v>
      </c>
    </row>
    <row r="703" spans="1:10" ht="15.75" customHeight="1">
      <c r="A703" s="14" t="s">
        <v>8</v>
      </c>
      <c r="B703" s="15">
        <v>46086</v>
      </c>
      <c r="C703" s="16" t="s">
        <v>45</v>
      </c>
      <c r="D703" s="17" t="s">
        <v>46</v>
      </c>
      <c r="E703" s="18" t="s">
        <v>29</v>
      </c>
      <c r="F703" s="19">
        <v>1669</v>
      </c>
      <c r="G703" s="20">
        <v>87</v>
      </c>
      <c r="H703" s="21">
        <v>59</v>
      </c>
      <c r="I703" s="22">
        <v>1697</v>
      </c>
      <c r="J703" s="23">
        <v>67.8</v>
      </c>
    </row>
    <row r="704" spans="1:10" ht="15.75" customHeight="1">
      <c r="A704" s="24" t="s">
        <v>8</v>
      </c>
      <c r="B704" s="25">
        <v>46086</v>
      </c>
      <c r="C704" s="26" t="s">
        <v>45</v>
      </c>
      <c r="D704" s="27" t="s">
        <v>46</v>
      </c>
      <c r="E704" s="28" t="s">
        <v>31</v>
      </c>
      <c r="F704" s="29">
        <v>1938</v>
      </c>
      <c r="G704" s="30">
        <v>140</v>
      </c>
      <c r="H704" s="31">
        <v>92</v>
      </c>
      <c r="I704" s="32">
        <v>1986</v>
      </c>
      <c r="J704" s="34">
        <v>65.7</v>
      </c>
    </row>
    <row r="705" spans="1:10" ht="15.75" customHeight="1">
      <c r="A705" s="14" t="s">
        <v>8</v>
      </c>
      <c r="B705" s="15">
        <v>46086</v>
      </c>
      <c r="C705" s="16" t="s">
        <v>45</v>
      </c>
      <c r="D705" s="17" t="s">
        <v>46</v>
      </c>
      <c r="E705" s="18" t="s">
        <v>33</v>
      </c>
      <c r="F705" s="19">
        <v>830</v>
      </c>
      <c r="G705" s="20">
        <v>97</v>
      </c>
      <c r="H705" s="21">
        <v>95</v>
      </c>
      <c r="I705" s="22">
        <v>832</v>
      </c>
      <c r="J705" s="35">
        <v>97.9</v>
      </c>
    </row>
    <row r="706" spans="1:10" ht="15.75" customHeight="1">
      <c r="A706" s="24" t="s">
        <v>8</v>
      </c>
      <c r="B706" s="25">
        <v>46086</v>
      </c>
      <c r="C706" s="26" t="s">
        <v>45</v>
      </c>
      <c r="D706" s="27" t="s">
        <v>46</v>
      </c>
      <c r="E706" s="28" t="s">
        <v>36</v>
      </c>
      <c r="F706" s="29">
        <v>2544</v>
      </c>
      <c r="G706" s="30">
        <v>150</v>
      </c>
      <c r="H706" s="31">
        <v>92</v>
      </c>
      <c r="I706" s="32">
        <v>2602</v>
      </c>
      <c r="J706" s="34">
        <v>61.3</v>
      </c>
    </row>
    <row r="707" spans="1:10" ht="15.75" customHeight="1">
      <c r="A707" s="14" t="s">
        <v>8</v>
      </c>
      <c r="B707" s="15">
        <v>46087</v>
      </c>
      <c r="C707" s="16" t="s">
        <v>47</v>
      </c>
      <c r="D707" s="17" t="s">
        <v>46</v>
      </c>
      <c r="E707" s="18" t="s">
        <v>26</v>
      </c>
      <c r="F707" s="19">
        <v>2154</v>
      </c>
      <c r="G707" s="20">
        <v>100</v>
      </c>
      <c r="H707" s="21">
        <v>70</v>
      </c>
      <c r="I707" s="22">
        <v>2184</v>
      </c>
      <c r="J707" s="23">
        <v>70</v>
      </c>
    </row>
    <row r="708" spans="1:10" ht="15.75" customHeight="1">
      <c r="A708" s="24" t="s">
        <v>8</v>
      </c>
      <c r="B708" s="25">
        <v>46087</v>
      </c>
      <c r="C708" s="26" t="s">
        <v>47</v>
      </c>
      <c r="D708" s="27" t="s">
        <v>46</v>
      </c>
      <c r="E708" s="28" t="s">
        <v>27</v>
      </c>
      <c r="F708" s="29">
        <v>1531</v>
      </c>
      <c r="G708" s="30">
        <v>72</v>
      </c>
      <c r="H708" s="31">
        <v>60</v>
      </c>
      <c r="I708" s="32">
        <v>1543</v>
      </c>
      <c r="J708" s="33">
        <v>83.3</v>
      </c>
    </row>
    <row r="709" spans="1:10" ht="15.75" customHeight="1">
      <c r="A709" s="14" t="s">
        <v>8</v>
      </c>
      <c r="B709" s="15">
        <v>46087</v>
      </c>
      <c r="C709" s="16" t="s">
        <v>47</v>
      </c>
      <c r="D709" s="17" t="s">
        <v>46</v>
      </c>
      <c r="E709" s="18" t="s">
        <v>30</v>
      </c>
      <c r="F709" s="19">
        <v>2404</v>
      </c>
      <c r="G709" s="20">
        <v>90</v>
      </c>
      <c r="H709" s="21">
        <v>71</v>
      </c>
      <c r="I709" s="22">
        <v>2423</v>
      </c>
      <c r="J709" s="35">
        <v>78.900000000000006</v>
      </c>
    </row>
    <row r="710" spans="1:10" ht="15.75" customHeight="1">
      <c r="A710" s="24" t="s">
        <v>8</v>
      </c>
      <c r="B710" s="25">
        <v>46087</v>
      </c>
      <c r="C710" s="26" t="s">
        <v>47</v>
      </c>
      <c r="D710" s="27" t="s">
        <v>46</v>
      </c>
      <c r="E710" s="28" t="s">
        <v>32</v>
      </c>
      <c r="F710" s="29">
        <v>1240</v>
      </c>
      <c r="G710" s="30">
        <v>70</v>
      </c>
      <c r="H710" s="31">
        <v>64</v>
      </c>
      <c r="I710" s="32">
        <v>1246</v>
      </c>
      <c r="J710" s="33">
        <v>91.4</v>
      </c>
    </row>
    <row r="711" spans="1:10" ht="15.75" customHeight="1">
      <c r="A711" s="14" t="s">
        <v>8</v>
      </c>
      <c r="B711" s="15">
        <v>46087</v>
      </c>
      <c r="C711" s="16" t="s">
        <v>47</v>
      </c>
      <c r="D711" s="17" t="s">
        <v>46</v>
      </c>
      <c r="E711" s="18" t="s">
        <v>34</v>
      </c>
      <c r="F711" s="19">
        <v>2328</v>
      </c>
      <c r="G711" s="20">
        <v>115</v>
      </c>
      <c r="H711" s="21">
        <v>78</v>
      </c>
      <c r="I711" s="22">
        <v>2365</v>
      </c>
      <c r="J711" s="23">
        <v>67.8</v>
      </c>
    </row>
    <row r="712" spans="1:10" ht="15.75" customHeight="1">
      <c r="A712" s="24" t="s">
        <v>8</v>
      </c>
      <c r="B712" s="25">
        <v>46087</v>
      </c>
      <c r="C712" s="26" t="s">
        <v>47</v>
      </c>
      <c r="D712" s="27" t="s">
        <v>46</v>
      </c>
      <c r="E712" s="28" t="s">
        <v>25</v>
      </c>
      <c r="F712" s="29">
        <v>1383</v>
      </c>
      <c r="G712" s="30">
        <v>71</v>
      </c>
      <c r="H712" s="31">
        <v>48</v>
      </c>
      <c r="I712" s="32">
        <v>1406</v>
      </c>
      <c r="J712" s="34">
        <v>67.599999999999994</v>
      </c>
    </row>
    <row r="713" spans="1:10" ht="15.75" customHeight="1">
      <c r="A713" s="14" t="s">
        <v>8</v>
      </c>
      <c r="B713" s="15">
        <v>46087</v>
      </c>
      <c r="C713" s="16" t="s">
        <v>47</v>
      </c>
      <c r="D713" s="17" t="s">
        <v>46</v>
      </c>
      <c r="E713" s="18" t="s">
        <v>35</v>
      </c>
      <c r="F713" s="19">
        <v>1504</v>
      </c>
      <c r="G713" s="20">
        <v>105</v>
      </c>
      <c r="H713" s="21">
        <v>90</v>
      </c>
      <c r="I713" s="22">
        <v>1519</v>
      </c>
      <c r="J713" s="35">
        <v>85.7</v>
      </c>
    </row>
    <row r="714" spans="1:10" ht="15.75" customHeight="1">
      <c r="A714" s="24" t="s">
        <v>8</v>
      </c>
      <c r="B714" s="25">
        <v>46087</v>
      </c>
      <c r="C714" s="26" t="s">
        <v>47</v>
      </c>
      <c r="D714" s="27" t="s">
        <v>46</v>
      </c>
      <c r="E714" s="28" t="s">
        <v>29</v>
      </c>
      <c r="F714" s="29">
        <v>1697</v>
      </c>
      <c r="G714" s="30">
        <v>116</v>
      </c>
      <c r="H714" s="31">
        <v>88</v>
      </c>
      <c r="I714" s="32">
        <v>1725</v>
      </c>
      <c r="J714" s="33">
        <v>75.900000000000006</v>
      </c>
    </row>
    <row r="715" spans="1:10" ht="15.75" customHeight="1">
      <c r="A715" s="14" t="s">
        <v>8</v>
      </c>
      <c r="B715" s="15">
        <v>46087</v>
      </c>
      <c r="C715" s="16" t="s">
        <v>47</v>
      </c>
      <c r="D715" s="17" t="s">
        <v>46</v>
      </c>
      <c r="E715" s="18" t="s">
        <v>31</v>
      </c>
      <c r="F715" s="19">
        <v>1986</v>
      </c>
      <c r="G715" s="20">
        <v>129</v>
      </c>
      <c r="H715" s="21">
        <v>87</v>
      </c>
      <c r="I715" s="22">
        <v>2028</v>
      </c>
      <c r="J715" s="23">
        <v>67.400000000000006</v>
      </c>
    </row>
    <row r="716" spans="1:10" ht="15.75" customHeight="1">
      <c r="A716" s="24" t="s">
        <v>8</v>
      </c>
      <c r="B716" s="25">
        <v>46087</v>
      </c>
      <c r="C716" s="26" t="s">
        <v>47</v>
      </c>
      <c r="D716" s="27" t="s">
        <v>46</v>
      </c>
      <c r="E716" s="28" t="s">
        <v>33</v>
      </c>
      <c r="F716" s="29">
        <v>832</v>
      </c>
      <c r="G716" s="30">
        <v>75</v>
      </c>
      <c r="H716" s="31">
        <v>59</v>
      </c>
      <c r="I716" s="32">
        <v>848</v>
      </c>
      <c r="J716" s="33">
        <v>78.7</v>
      </c>
    </row>
    <row r="717" spans="1:10" ht="15.75" customHeight="1">
      <c r="A717" s="14" t="s">
        <v>8</v>
      </c>
      <c r="B717" s="15">
        <v>46087</v>
      </c>
      <c r="C717" s="16" t="s">
        <v>47</v>
      </c>
      <c r="D717" s="17" t="s">
        <v>46</v>
      </c>
      <c r="E717" s="18" t="s">
        <v>36</v>
      </c>
      <c r="F717" s="19">
        <v>2602</v>
      </c>
      <c r="G717" s="20">
        <v>112</v>
      </c>
      <c r="H717" s="21">
        <v>81</v>
      </c>
      <c r="I717" s="22">
        <v>2633</v>
      </c>
      <c r="J717" s="23">
        <v>72.3</v>
      </c>
    </row>
    <row r="718" spans="1:10" ht="15.75" customHeight="1">
      <c r="A718" s="36" t="s">
        <v>8</v>
      </c>
      <c r="B718" s="37">
        <v>46088</v>
      </c>
      <c r="C718" s="38" t="s">
        <v>48</v>
      </c>
      <c r="D718" s="39" t="s">
        <v>49</v>
      </c>
      <c r="E718" s="40" t="s">
        <v>26</v>
      </c>
      <c r="F718" s="41">
        <v>2184</v>
      </c>
      <c r="G718" s="42">
        <v>33</v>
      </c>
      <c r="H718" s="43">
        <v>22</v>
      </c>
      <c r="I718" s="44">
        <v>2195</v>
      </c>
      <c r="J718" s="46">
        <v>66.7</v>
      </c>
    </row>
    <row r="719" spans="1:10" ht="15.75" customHeight="1">
      <c r="A719" s="36" t="s">
        <v>8</v>
      </c>
      <c r="B719" s="37">
        <v>46088</v>
      </c>
      <c r="C719" s="38" t="s">
        <v>48</v>
      </c>
      <c r="D719" s="39" t="s">
        <v>49</v>
      </c>
      <c r="E719" s="40" t="s">
        <v>27</v>
      </c>
      <c r="F719" s="41">
        <v>1543</v>
      </c>
      <c r="G719" s="42">
        <v>50</v>
      </c>
      <c r="H719" s="43">
        <v>37</v>
      </c>
      <c r="I719" s="44">
        <v>1556</v>
      </c>
      <c r="J719" s="46">
        <v>74</v>
      </c>
    </row>
    <row r="720" spans="1:10" ht="15.75" customHeight="1">
      <c r="A720" s="36" t="s">
        <v>8</v>
      </c>
      <c r="B720" s="37">
        <v>46088</v>
      </c>
      <c r="C720" s="38" t="s">
        <v>48</v>
      </c>
      <c r="D720" s="39" t="s">
        <v>49</v>
      </c>
      <c r="E720" s="40" t="s">
        <v>30</v>
      </c>
      <c r="F720" s="41">
        <v>2423</v>
      </c>
      <c r="G720" s="42">
        <v>79</v>
      </c>
      <c r="H720" s="43">
        <v>61</v>
      </c>
      <c r="I720" s="44">
        <v>2441</v>
      </c>
      <c r="J720" s="45">
        <v>77.2</v>
      </c>
    </row>
    <row r="721" spans="1:10" ht="15.75" customHeight="1">
      <c r="A721" s="36" t="s">
        <v>8</v>
      </c>
      <c r="B721" s="37">
        <v>46088</v>
      </c>
      <c r="C721" s="38" t="s">
        <v>48</v>
      </c>
      <c r="D721" s="39" t="s">
        <v>49</v>
      </c>
      <c r="E721" s="40" t="s">
        <v>32</v>
      </c>
      <c r="F721" s="41">
        <v>1246</v>
      </c>
      <c r="G721" s="42">
        <v>57</v>
      </c>
      <c r="H721" s="43">
        <v>48</v>
      </c>
      <c r="I721" s="44">
        <v>1255</v>
      </c>
      <c r="J721" s="45">
        <v>84.2</v>
      </c>
    </row>
    <row r="722" spans="1:10" ht="15.75" customHeight="1">
      <c r="A722" s="36" t="s">
        <v>8</v>
      </c>
      <c r="B722" s="37">
        <v>46088</v>
      </c>
      <c r="C722" s="38" t="s">
        <v>48</v>
      </c>
      <c r="D722" s="39" t="s">
        <v>49</v>
      </c>
      <c r="E722" s="40" t="s">
        <v>34</v>
      </c>
      <c r="F722" s="41">
        <v>2365</v>
      </c>
      <c r="G722" s="42">
        <v>69</v>
      </c>
      <c r="H722" s="43">
        <v>42</v>
      </c>
      <c r="I722" s="44">
        <v>2392</v>
      </c>
      <c r="J722" s="46">
        <v>60.9</v>
      </c>
    </row>
    <row r="723" spans="1:10" ht="15.75" customHeight="1">
      <c r="A723" s="36" t="s">
        <v>8</v>
      </c>
      <c r="B723" s="37">
        <v>46088</v>
      </c>
      <c r="C723" s="38" t="s">
        <v>48</v>
      </c>
      <c r="D723" s="39" t="s">
        <v>49</v>
      </c>
      <c r="E723" s="40" t="s">
        <v>25</v>
      </c>
      <c r="F723" s="41">
        <v>1406</v>
      </c>
      <c r="G723" s="42">
        <v>23</v>
      </c>
      <c r="H723" s="43">
        <v>16</v>
      </c>
      <c r="I723" s="44">
        <v>1413</v>
      </c>
      <c r="J723" s="46">
        <v>69.599999999999994</v>
      </c>
    </row>
    <row r="724" spans="1:10" ht="15.75" customHeight="1">
      <c r="A724" s="36" t="s">
        <v>8</v>
      </c>
      <c r="B724" s="37">
        <v>46088</v>
      </c>
      <c r="C724" s="38" t="s">
        <v>48</v>
      </c>
      <c r="D724" s="39" t="s">
        <v>49</v>
      </c>
      <c r="E724" s="40" t="s">
        <v>35</v>
      </c>
      <c r="F724" s="41">
        <v>1519</v>
      </c>
      <c r="G724" s="42">
        <v>34</v>
      </c>
      <c r="H724" s="43">
        <v>26</v>
      </c>
      <c r="I724" s="44">
        <v>1527</v>
      </c>
      <c r="J724" s="45">
        <v>76.5</v>
      </c>
    </row>
    <row r="725" spans="1:10" ht="15.75" customHeight="1">
      <c r="A725" s="36" t="s">
        <v>8</v>
      </c>
      <c r="B725" s="37">
        <v>46088</v>
      </c>
      <c r="C725" s="38" t="s">
        <v>48</v>
      </c>
      <c r="D725" s="39" t="s">
        <v>49</v>
      </c>
      <c r="E725" s="40" t="s">
        <v>29</v>
      </c>
      <c r="F725" s="41">
        <v>1725</v>
      </c>
      <c r="G725" s="42">
        <v>27</v>
      </c>
      <c r="H725" s="43">
        <v>23</v>
      </c>
      <c r="I725" s="44">
        <v>1729</v>
      </c>
      <c r="J725" s="45">
        <v>85.2</v>
      </c>
    </row>
    <row r="726" spans="1:10" ht="15.75" customHeight="1">
      <c r="A726" s="36" t="s">
        <v>8</v>
      </c>
      <c r="B726" s="37">
        <v>46088</v>
      </c>
      <c r="C726" s="38" t="s">
        <v>48</v>
      </c>
      <c r="D726" s="39" t="s">
        <v>49</v>
      </c>
      <c r="E726" s="40" t="s">
        <v>31</v>
      </c>
      <c r="F726" s="41">
        <v>2028</v>
      </c>
      <c r="G726" s="42">
        <v>58</v>
      </c>
      <c r="H726" s="43">
        <v>40</v>
      </c>
      <c r="I726" s="44">
        <v>2046</v>
      </c>
      <c r="J726" s="46">
        <v>69</v>
      </c>
    </row>
    <row r="727" spans="1:10" ht="15.75" customHeight="1">
      <c r="A727" s="36" t="s">
        <v>8</v>
      </c>
      <c r="B727" s="37">
        <v>46088</v>
      </c>
      <c r="C727" s="38" t="s">
        <v>48</v>
      </c>
      <c r="D727" s="39" t="s">
        <v>49</v>
      </c>
      <c r="E727" s="40" t="s">
        <v>33</v>
      </c>
      <c r="F727" s="41">
        <v>848</v>
      </c>
      <c r="G727" s="42">
        <v>28</v>
      </c>
      <c r="H727" s="43">
        <v>25</v>
      </c>
      <c r="I727" s="44">
        <v>851</v>
      </c>
      <c r="J727" s="45">
        <v>89.3</v>
      </c>
    </row>
    <row r="728" spans="1:10" ht="15.75" customHeight="1">
      <c r="A728" s="36" t="s">
        <v>8</v>
      </c>
      <c r="B728" s="37">
        <v>46088</v>
      </c>
      <c r="C728" s="38" t="s">
        <v>48</v>
      </c>
      <c r="D728" s="39" t="s">
        <v>49</v>
      </c>
      <c r="E728" s="40" t="s">
        <v>36</v>
      </c>
      <c r="F728" s="41">
        <v>2633</v>
      </c>
      <c r="G728" s="42">
        <v>43</v>
      </c>
      <c r="H728" s="43">
        <v>30</v>
      </c>
      <c r="I728" s="44">
        <v>2646</v>
      </c>
      <c r="J728" s="46">
        <v>69.8</v>
      </c>
    </row>
    <row r="729" spans="1:10" ht="15.75" customHeight="1">
      <c r="A729" s="36" t="s">
        <v>8</v>
      </c>
      <c r="B729" s="37">
        <v>46089</v>
      </c>
      <c r="C729" s="38" t="s">
        <v>50</v>
      </c>
      <c r="D729" s="39" t="s">
        <v>49</v>
      </c>
      <c r="E729" s="40" t="s">
        <v>26</v>
      </c>
      <c r="F729" s="41">
        <v>2195</v>
      </c>
      <c r="G729" s="42">
        <v>40</v>
      </c>
      <c r="H729" s="43">
        <v>32</v>
      </c>
      <c r="I729" s="44">
        <v>2203</v>
      </c>
      <c r="J729" s="45">
        <v>80</v>
      </c>
    </row>
    <row r="730" spans="1:10" ht="15.75" customHeight="1">
      <c r="A730" s="36" t="s">
        <v>8</v>
      </c>
      <c r="B730" s="37">
        <v>46089</v>
      </c>
      <c r="C730" s="38" t="s">
        <v>50</v>
      </c>
      <c r="D730" s="39" t="s">
        <v>49</v>
      </c>
      <c r="E730" s="40" t="s">
        <v>27</v>
      </c>
      <c r="F730" s="41">
        <v>1556</v>
      </c>
      <c r="G730" s="42">
        <v>59</v>
      </c>
      <c r="H730" s="43">
        <v>52</v>
      </c>
      <c r="I730" s="44">
        <v>1563</v>
      </c>
      <c r="J730" s="45">
        <v>88.1</v>
      </c>
    </row>
    <row r="731" spans="1:10" ht="15.75" customHeight="1">
      <c r="A731" s="36" t="s">
        <v>8</v>
      </c>
      <c r="B731" s="37">
        <v>46089</v>
      </c>
      <c r="C731" s="38" t="s">
        <v>50</v>
      </c>
      <c r="D731" s="39" t="s">
        <v>49</v>
      </c>
      <c r="E731" s="40" t="s">
        <v>30</v>
      </c>
      <c r="F731" s="41">
        <v>2441</v>
      </c>
      <c r="G731" s="42">
        <v>51</v>
      </c>
      <c r="H731" s="43">
        <v>31</v>
      </c>
      <c r="I731" s="44">
        <v>2461</v>
      </c>
      <c r="J731" s="46">
        <v>60.8</v>
      </c>
    </row>
    <row r="732" spans="1:10" ht="15.75" customHeight="1">
      <c r="A732" s="36" t="s">
        <v>8</v>
      </c>
      <c r="B732" s="37">
        <v>46089</v>
      </c>
      <c r="C732" s="38" t="s">
        <v>50</v>
      </c>
      <c r="D732" s="39" t="s">
        <v>49</v>
      </c>
      <c r="E732" s="40" t="s">
        <v>32</v>
      </c>
      <c r="F732" s="41">
        <v>1255</v>
      </c>
      <c r="G732" s="42">
        <v>51</v>
      </c>
      <c r="H732" s="43">
        <v>43</v>
      </c>
      <c r="I732" s="44">
        <v>1263</v>
      </c>
      <c r="J732" s="45">
        <v>84.3</v>
      </c>
    </row>
    <row r="733" spans="1:10" ht="15.75" customHeight="1">
      <c r="A733" s="36" t="s">
        <v>8</v>
      </c>
      <c r="B733" s="37">
        <v>46089</v>
      </c>
      <c r="C733" s="38" t="s">
        <v>50</v>
      </c>
      <c r="D733" s="39" t="s">
        <v>49</v>
      </c>
      <c r="E733" s="40" t="s">
        <v>34</v>
      </c>
      <c r="F733" s="41">
        <v>2392</v>
      </c>
      <c r="G733" s="42">
        <v>72</v>
      </c>
      <c r="H733" s="43">
        <v>50</v>
      </c>
      <c r="I733" s="44">
        <v>2414</v>
      </c>
      <c r="J733" s="46">
        <v>69.400000000000006</v>
      </c>
    </row>
    <row r="734" spans="1:10" ht="15.75" customHeight="1">
      <c r="A734" s="36" t="s">
        <v>8</v>
      </c>
      <c r="B734" s="37">
        <v>46089</v>
      </c>
      <c r="C734" s="38" t="s">
        <v>50</v>
      </c>
      <c r="D734" s="39" t="s">
        <v>49</v>
      </c>
      <c r="E734" s="40" t="s">
        <v>25</v>
      </c>
      <c r="F734" s="41">
        <v>1413</v>
      </c>
      <c r="G734" s="42">
        <v>44</v>
      </c>
      <c r="H734" s="43">
        <v>34</v>
      </c>
      <c r="I734" s="44">
        <v>1423</v>
      </c>
      <c r="J734" s="45">
        <v>77.3</v>
      </c>
    </row>
    <row r="735" spans="1:10" ht="15.75" customHeight="1">
      <c r="A735" s="36" t="s">
        <v>8</v>
      </c>
      <c r="B735" s="37">
        <v>46089</v>
      </c>
      <c r="C735" s="38" t="s">
        <v>50</v>
      </c>
      <c r="D735" s="39" t="s">
        <v>49</v>
      </c>
      <c r="E735" s="40" t="s">
        <v>35</v>
      </c>
      <c r="F735" s="41">
        <v>1527</v>
      </c>
      <c r="G735" s="42">
        <v>52</v>
      </c>
      <c r="H735" s="43">
        <v>39</v>
      </c>
      <c r="I735" s="44">
        <v>1540</v>
      </c>
      <c r="J735" s="45">
        <v>75</v>
      </c>
    </row>
    <row r="736" spans="1:10" ht="15.75" customHeight="1">
      <c r="A736" s="36" t="s">
        <v>8</v>
      </c>
      <c r="B736" s="37">
        <v>46089</v>
      </c>
      <c r="C736" s="38" t="s">
        <v>50</v>
      </c>
      <c r="D736" s="39" t="s">
        <v>49</v>
      </c>
      <c r="E736" s="40" t="s">
        <v>29</v>
      </c>
      <c r="F736" s="41">
        <v>1729</v>
      </c>
      <c r="G736" s="42">
        <v>48</v>
      </c>
      <c r="H736" s="43">
        <v>32</v>
      </c>
      <c r="I736" s="44">
        <v>1745</v>
      </c>
      <c r="J736" s="46">
        <v>66.7</v>
      </c>
    </row>
    <row r="737" spans="1:10" ht="15.75" customHeight="1">
      <c r="A737" s="36" t="s">
        <v>8</v>
      </c>
      <c r="B737" s="37">
        <v>46089</v>
      </c>
      <c r="C737" s="38" t="s">
        <v>50</v>
      </c>
      <c r="D737" s="39" t="s">
        <v>49</v>
      </c>
      <c r="E737" s="40" t="s">
        <v>31</v>
      </c>
      <c r="F737" s="41">
        <v>2046</v>
      </c>
      <c r="G737" s="42">
        <v>74</v>
      </c>
      <c r="H737" s="43">
        <v>48</v>
      </c>
      <c r="I737" s="44">
        <v>2072</v>
      </c>
      <c r="J737" s="46">
        <v>64.900000000000006</v>
      </c>
    </row>
    <row r="738" spans="1:10" ht="15.75" customHeight="1">
      <c r="A738" s="36" t="s">
        <v>8</v>
      </c>
      <c r="B738" s="37">
        <v>46089</v>
      </c>
      <c r="C738" s="38" t="s">
        <v>50</v>
      </c>
      <c r="D738" s="39" t="s">
        <v>49</v>
      </c>
      <c r="E738" s="40" t="s">
        <v>33</v>
      </c>
      <c r="F738" s="41">
        <v>851</v>
      </c>
      <c r="G738" s="42">
        <v>46</v>
      </c>
      <c r="H738" s="43">
        <v>41</v>
      </c>
      <c r="I738" s="44">
        <v>856</v>
      </c>
      <c r="J738" s="45">
        <v>89.1</v>
      </c>
    </row>
    <row r="739" spans="1:10" ht="15.75" customHeight="1">
      <c r="A739" s="36" t="s">
        <v>8</v>
      </c>
      <c r="B739" s="37">
        <v>46089</v>
      </c>
      <c r="C739" s="38" t="s">
        <v>50</v>
      </c>
      <c r="D739" s="39" t="s">
        <v>49</v>
      </c>
      <c r="E739" s="40" t="s">
        <v>36</v>
      </c>
      <c r="F739" s="41">
        <v>2646</v>
      </c>
      <c r="G739" s="42">
        <v>85</v>
      </c>
      <c r="H739" s="43">
        <v>53</v>
      </c>
      <c r="I739" s="44">
        <v>2678</v>
      </c>
      <c r="J739" s="46">
        <v>62.4</v>
      </c>
    </row>
    <row r="740" spans="1:10" ht="15.75" customHeight="1">
      <c r="A740" s="24" t="s">
        <v>8</v>
      </c>
      <c r="B740" s="25">
        <v>46090</v>
      </c>
      <c r="C740" s="26" t="s">
        <v>51</v>
      </c>
      <c r="D740" s="27" t="s">
        <v>46</v>
      </c>
      <c r="E740" s="28" t="s">
        <v>26</v>
      </c>
      <c r="F740" s="29">
        <v>2203</v>
      </c>
      <c r="G740" s="30">
        <v>89</v>
      </c>
      <c r="H740" s="31">
        <v>74</v>
      </c>
      <c r="I740" s="32">
        <v>2218</v>
      </c>
      <c r="J740" s="33">
        <v>83.1</v>
      </c>
    </row>
    <row r="741" spans="1:10" ht="15.75" customHeight="1">
      <c r="A741" s="14" t="s">
        <v>8</v>
      </c>
      <c r="B741" s="15">
        <v>46090</v>
      </c>
      <c r="C741" s="16" t="s">
        <v>51</v>
      </c>
      <c r="D741" s="17" t="s">
        <v>46</v>
      </c>
      <c r="E741" s="18" t="s">
        <v>27</v>
      </c>
      <c r="F741" s="19">
        <v>1563</v>
      </c>
      <c r="G741" s="20">
        <v>91</v>
      </c>
      <c r="H741" s="21">
        <v>63</v>
      </c>
      <c r="I741" s="22">
        <v>1591</v>
      </c>
      <c r="J741" s="23">
        <v>69.2</v>
      </c>
    </row>
    <row r="742" spans="1:10" ht="15.75" customHeight="1">
      <c r="A742" s="24" t="s">
        <v>8</v>
      </c>
      <c r="B742" s="25">
        <v>46090</v>
      </c>
      <c r="C742" s="26" t="s">
        <v>51</v>
      </c>
      <c r="D742" s="27" t="s">
        <v>46</v>
      </c>
      <c r="E742" s="28" t="s">
        <v>30</v>
      </c>
      <c r="F742" s="29">
        <v>2461</v>
      </c>
      <c r="G742" s="30">
        <v>113</v>
      </c>
      <c r="H742" s="31">
        <v>80</v>
      </c>
      <c r="I742" s="32">
        <v>2494</v>
      </c>
      <c r="J742" s="34">
        <v>70.8</v>
      </c>
    </row>
    <row r="743" spans="1:10" ht="15.75" customHeight="1">
      <c r="A743" s="14" t="s">
        <v>8</v>
      </c>
      <c r="B743" s="15">
        <v>46090</v>
      </c>
      <c r="C743" s="16" t="s">
        <v>51</v>
      </c>
      <c r="D743" s="17" t="s">
        <v>46</v>
      </c>
      <c r="E743" s="18" t="s">
        <v>32</v>
      </c>
      <c r="F743" s="19">
        <v>1263</v>
      </c>
      <c r="G743" s="20">
        <v>86</v>
      </c>
      <c r="H743" s="21">
        <v>76</v>
      </c>
      <c r="I743" s="22">
        <v>1273</v>
      </c>
      <c r="J743" s="35">
        <v>88.4</v>
      </c>
    </row>
    <row r="744" spans="1:10" ht="15.75" customHeight="1">
      <c r="A744" s="24" t="s">
        <v>8</v>
      </c>
      <c r="B744" s="25">
        <v>46090</v>
      </c>
      <c r="C744" s="26" t="s">
        <v>51</v>
      </c>
      <c r="D744" s="27" t="s">
        <v>46</v>
      </c>
      <c r="E744" s="28" t="s">
        <v>34</v>
      </c>
      <c r="F744" s="29">
        <v>2414</v>
      </c>
      <c r="G744" s="30">
        <v>157</v>
      </c>
      <c r="H744" s="31">
        <v>115</v>
      </c>
      <c r="I744" s="32">
        <v>2456</v>
      </c>
      <c r="J744" s="34">
        <v>73.2</v>
      </c>
    </row>
    <row r="745" spans="1:10" ht="15.75" customHeight="1">
      <c r="A745" s="14" t="s">
        <v>8</v>
      </c>
      <c r="B745" s="15">
        <v>46090</v>
      </c>
      <c r="C745" s="16" t="s">
        <v>51</v>
      </c>
      <c r="D745" s="17" t="s">
        <v>46</v>
      </c>
      <c r="E745" s="18" t="s">
        <v>25</v>
      </c>
      <c r="F745" s="19">
        <v>1423</v>
      </c>
      <c r="G745" s="20">
        <v>69</v>
      </c>
      <c r="H745" s="21">
        <v>58</v>
      </c>
      <c r="I745" s="22">
        <v>1434</v>
      </c>
      <c r="J745" s="35">
        <v>84.1</v>
      </c>
    </row>
    <row r="746" spans="1:10" ht="15.75" customHeight="1">
      <c r="A746" s="24" t="s">
        <v>8</v>
      </c>
      <c r="B746" s="25">
        <v>46090</v>
      </c>
      <c r="C746" s="26" t="s">
        <v>51</v>
      </c>
      <c r="D746" s="27" t="s">
        <v>46</v>
      </c>
      <c r="E746" s="28" t="s">
        <v>35</v>
      </c>
      <c r="F746" s="29">
        <v>1540</v>
      </c>
      <c r="G746" s="30">
        <v>122</v>
      </c>
      <c r="H746" s="31">
        <v>103</v>
      </c>
      <c r="I746" s="32">
        <v>1559</v>
      </c>
      <c r="J746" s="33">
        <v>84.4</v>
      </c>
    </row>
    <row r="747" spans="1:10" ht="15.75" customHeight="1">
      <c r="A747" s="14" t="s">
        <v>8</v>
      </c>
      <c r="B747" s="15">
        <v>46090</v>
      </c>
      <c r="C747" s="16" t="s">
        <v>51</v>
      </c>
      <c r="D747" s="17" t="s">
        <v>46</v>
      </c>
      <c r="E747" s="18" t="s">
        <v>29</v>
      </c>
      <c r="F747" s="19">
        <v>1745</v>
      </c>
      <c r="G747" s="20">
        <v>95</v>
      </c>
      <c r="H747" s="21">
        <v>69</v>
      </c>
      <c r="I747" s="22">
        <v>1771</v>
      </c>
      <c r="J747" s="23">
        <v>72.599999999999994</v>
      </c>
    </row>
    <row r="748" spans="1:10" ht="15.75" customHeight="1">
      <c r="A748" s="24" t="s">
        <v>8</v>
      </c>
      <c r="B748" s="25">
        <v>46090</v>
      </c>
      <c r="C748" s="26" t="s">
        <v>51</v>
      </c>
      <c r="D748" s="27" t="s">
        <v>46</v>
      </c>
      <c r="E748" s="28" t="s">
        <v>31</v>
      </c>
      <c r="F748" s="29">
        <v>2072</v>
      </c>
      <c r="G748" s="30">
        <v>145</v>
      </c>
      <c r="H748" s="31">
        <v>102</v>
      </c>
      <c r="I748" s="32">
        <v>2115</v>
      </c>
      <c r="J748" s="34">
        <v>70.3</v>
      </c>
    </row>
    <row r="749" spans="1:10" ht="15.75" customHeight="1">
      <c r="A749" s="14" t="s">
        <v>8</v>
      </c>
      <c r="B749" s="15">
        <v>46090</v>
      </c>
      <c r="C749" s="16" t="s">
        <v>51</v>
      </c>
      <c r="D749" s="17" t="s">
        <v>46</v>
      </c>
      <c r="E749" s="18" t="s">
        <v>33</v>
      </c>
      <c r="F749" s="19">
        <v>856</v>
      </c>
      <c r="G749" s="20">
        <v>97</v>
      </c>
      <c r="H749" s="21">
        <v>87</v>
      </c>
      <c r="I749" s="22">
        <v>866</v>
      </c>
      <c r="J749" s="35">
        <v>89.7</v>
      </c>
    </row>
    <row r="750" spans="1:10" ht="15.75" customHeight="1">
      <c r="A750" s="24" t="s">
        <v>8</v>
      </c>
      <c r="B750" s="25">
        <v>46090</v>
      </c>
      <c r="C750" s="26" t="s">
        <v>51</v>
      </c>
      <c r="D750" s="27" t="s">
        <v>46</v>
      </c>
      <c r="E750" s="28" t="s">
        <v>36</v>
      </c>
      <c r="F750" s="29">
        <v>2678</v>
      </c>
      <c r="G750" s="30">
        <v>105</v>
      </c>
      <c r="H750" s="31">
        <v>72</v>
      </c>
      <c r="I750" s="32">
        <v>2711</v>
      </c>
      <c r="J750" s="34">
        <v>68.599999999999994</v>
      </c>
    </row>
    <row r="751" spans="1:10" ht="15.75" customHeight="1">
      <c r="A751" s="14" t="s">
        <v>8</v>
      </c>
      <c r="B751" s="15">
        <v>46091</v>
      </c>
      <c r="C751" s="16" t="s">
        <v>52</v>
      </c>
      <c r="D751" s="17" t="s">
        <v>46</v>
      </c>
      <c r="E751" s="18" t="s">
        <v>26</v>
      </c>
      <c r="F751" s="19">
        <v>2218</v>
      </c>
      <c r="G751" s="20">
        <v>134</v>
      </c>
      <c r="H751" s="21">
        <v>110</v>
      </c>
      <c r="I751" s="22">
        <v>2242</v>
      </c>
      <c r="J751" s="35">
        <v>82.1</v>
      </c>
    </row>
    <row r="752" spans="1:10" ht="15.75" customHeight="1">
      <c r="A752" s="24" t="s">
        <v>8</v>
      </c>
      <c r="B752" s="25">
        <v>46091</v>
      </c>
      <c r="C752" s="26" t="s">
        <v>52</v>
      </c>
      <c r="D752" s="27" t="s">
        <v>46</v>
      </c>
      <c r="E752" s="28" t="s">
        <v>27</v>
      </c>
      <c r="F752" s="29">
        <v>1591</v>
      </c>
      <c r="G752" s="30">
        <v>72</v>
      </c>
      <c r="H752" s="31">
        <v>57</v>
      </c>
      <c r="I752" s="32">
        <v>1606</v>
      </c>
      <c r="J752" s="33">
        <v>79.2</v>
      </c>
    </row>
    <row r="753" spans="1:10" ht="15.75" customHeight="1">
      <c r="A753" s="14" t="s">
        <v>8</v>
      </c>
      <c r="B753" s="15">
        <v>46091</v>
      </c>
      <c r="C753" s="16" t="s">
        <v>52</v>
      </c>
      <c r="D753" s="17" t="s">
        <v>46</v>
      </c>
      <c r="E753" s="18" t="s">
        <v>30</v>
      </c>
      <c r="F753" s="19">
        <v>2494</v>
      </c>
      <c r="G753" s="20">
        <v>113</v>
      </c>
      <c r="H753" s="21">
        <v>81</v>
      </c>
      <c r="I753" s="22">
        <v>2526</v>
      </c>
      <c r="J753" s="23">
        <v>71.7</v>
      </c>
    </row>
    <row r="754" spans="1:10" ht="15.75" customHeight="1">
      <c r="A754" s="24" t="s">
        <v>8</v>
      </c>
      <c r="B754" s="25">
        <v>46091</v>
      </c>
      <c r="C754" s="26" t="s">
        <v>52</v>
      </c>
      <c r="D754" s="27" t="s">
        <v>46</v>
      </c>
      <c r="E754" s="28" t="s">
        <v>32</v>
      </c>
      <c r="F754" s="29">
        <v>1273</v>
      </c>
      <c r="G754" s="30">
        <v>119</v>
      </c>
      <c r="H754" s="31">
        <v>99</v>
      </c>
      <c r="I754" s="32">
        <v>1293</v>
      </c>
      <c r="J754" s="33">
        <v>83.2</v>
      </c>
    </row>
    <row r="755" spans="1:10" ht="15.75" customHeight="1">
      <c r="A755" s="14" t="s">
        <v>8</v>
      </c>
      <c r="B755" s="15">
        <v>46091</v>
      </c>
      <c r="C755" s="16" t="s">
        <v>52</v>
      </c>
      <c r="D755" s="17" t="s">
        <v>46</v>
      </c>
      <c r="E755" s="18" t="s">
        <v>34</v>
      </c>
      <c r="F755" s="19">
        <v>2456</v>
      </c>
      <c r="G755" s="20">
        <v>107</v>
      </c>
      <c r="H755" s="21">
        <v>66</v>
      </c>
      <c r="I755" s="22">
        <v>2497</v>
      </c>
      <c r="J755" s="23">
        <v>61.7</v>
      </c>
    </row>
    <row r="756" spans="1:10" ht="15.75" customHeight="1">
      <c r="A756" s="24" t="s">
        <v>8</v>
      </c>
      <c r="B756" s="25">
        <v>46091</v>
      </c>
      <c r="C756" s="26" t="s">
        <v>52</v>
      </c>
      <c r="D756" s="27" t="s">
        <v>46</v>
      </c>
      <c r="E756" s="28" t="s">
        <v>25</v>
      </c>
      <c r="F756" s="29">
        <v>1434</v>
      </c>
      <c r="G756" s="30">
        <v>78</v>
      </c>
      <c r="H756" s="31">
        <v>54</v>
      </c>
      <c r="I756" s="32">
        <v>1458</v>
      </c>
      <c r="J756" s="34">
        <v>69.2</v>
      </c>
    </row>
    <row r="757" spans="1:10" ht="15.75" customHeight="1">
      <c r="A757" s="14" t="s">
        <v>8</v>
      </c>
      <c r="B757" s="15">
        <v>46091</v>
      </c>
      <c r="C757" s="16" t="s">
        <v>52</v>
      </c>
      <c r="D757" s="17" t="s">
        <v>46</v>
      </c>
      <c r="E757" s="18" t="s">
        <v>35</v>
      </c>
      <c r="F757" s="19">
        <v>1559</v>
      </c>
      <c r="G757" s="20">
        <v>114</v>
      </c>
      <c r="H757" s="21">
        <v>84</v>
      </c>
      <c r="I757" s="22">
        <v>1589</v>
      </c>
      <c r="J757" s="23">
        <v>73.7</v>
      </c>
    </row>
    <row r="758" spans="1:10" ht="15.75" customHeight="1">
      <c r="A758" s="24" t="s">
        <v>8</v>
      </c>
      <c r="B758" s="25">
        <v>46091</v>
      </c>
      <c r="C758" s="26" t="s">
        <v>52</v>
      </c>
      <c r="D758" s="27" t="s">
        <v>46</v>
      </c>
      <c r="E758" s="28" t="s">
        <v>29</v>
      </c>
      <c r="F758" s="29">
        <v>1771</v>
      </c>
      <c r="G758" s="30">
        <v>90</v>
      </c>
      <c r="H758" s="31">
        <v>75</v>
      </c>
      <c r="I758" s="32">
        <v>1786</v>
      </c>
      <c r="J758" s="33">
        <v>83.3</v>
      </c>
    </row>
    <row r="759" spans="1:10" ht="15.75" customHeight="1">
      <c r="A759" s="14" t="s">
        <v>8</v>
      </c>
      <c r="B759" s="15">
        <v>46091</v>
      </c>
      <c r="C759" s="16" t="s">
        <v>52</v>
      </c>
      <c r="D759" s="17" t="s">
        <v>46</v>
      </c>
      <c r="E759" s="18" t="s">
        <v>31</v>
      </c>
      <c r="F759" s="19">
        <v>2115</v>
      </c>
      <c r="G759" s="20">
        <v>102</v>
      </c>
      <c r="H759" s="21">
        <v>75</v>
      </c>
      <c r="I759" s="22">
        <v>2142</v>
      </c>
      <c r="J759" s="23">
        <v>73.5</v>
      </c>
    </row>
    <row r="760" spans="1:10" ht="15.75" customHeight="1">
      <c r="A760" s="24" t="s">
        <v>8</v>
      </c>
      <c r="B760" s="25">
        <v>46091</v>
      </c>
      <c r="C760" s="26" t="s">
        <v>52</v>
      </c>
      <c r="D760" s="27" t="s">
        <v>46</v>
      </c>
      <c r="E760" s="28" t="s">
        <v>33</v>
      </c>
      <c r="F760" s="29">
        <v>866</v>
      </c>
      <c r="G760" s="30">
        <v>66</v>
      </c>
      <c r="H760" s="31">
        <v>55</v>
      </c>
      <c r="I760" s="32">
        <v>877</v>
      </c>
      <c r="J760" s="33">
        <v>83.3</v>
      </c>
    </row>
    <row r="761" spans="1:10" ht="15.75" customHeight="1">
      <c r="A761" s="14" t="s">
        <v>8</v>
      </c>
      <c r="B761" s="15">
        <v>46091</v>
      </c>
      <c r="C761" s="16" t="s">
        <v>52</v>
      </c>
      <c r="D761" s="17" t="s">
        <v>46</v>
      </c>
      <c r="E761" s="18" t="s">
        <v>36</v>
      </c>
      <c r="F761" s="19">
        <v>2711</v>
      </c>
      <c r="G761" s="20">
        <v>112</v>
      </c>
      <c r="H761" s="21">
        <v>89</v>
      </c>
      <c r="I761" s="22">
        <v>2734</v>
      </c>
      <c r="J761" s="35">
        <v>79.5</v>
      </c>
    </row>
    <row r="762" spans="1:10" ht="15.75" customHeight="1">
      <c r="A762" s="24" t="s">
        <v>8</v>
      </c>
      <c r="B762" s="25">
        <v>46092</v>
      </c>
      <c r="C762" s="26" t="s">
        <v>53</v>
      </c>
      <c r="D762" s="27" t="s">
        <v>46</v>
      </c>
      <c r="E762" s="28" t="s">
        <v>26</v>
      </c>
      <c r="F762" s="29">
        <v>2242</v>
      </c>
      <c r="G762" s="30">
        <v>128</v>
      </c>
      <c r="H762" s="31">
        <v>98</v>
      </c>
      <c r="I762" s="32">
        <v>2272</v>
      </c>
      <c r="J762" s="33">
        <v>76.599999999999994</v>
      </c>
    </row>
    <row r="763" spans="1:10" ht="15.75" customHeight="1">
      <c r="A763" s="14" t="s">
        <v>8</v>
      </c>
      <c r="B763" s="15">
        <v>46092</v>
      </c>
      <c r="C763" s="16" t="s">
        <v>53</v>
      </c>
      <c r="D763" s="17" t="s">
        <v>46</v>
      </c>
      <c r="E763" s="18" t="s">
        <v>27</v>
      </c>
      <c r="F763" s="19">
        <v>1606</v>
      </c>
      <c r="G763" s="20">
        <v>89</v>
      </c>
      <c r="H763" s="21">
        <v>68</v>
      </c>
      <c r="I763" s="22">
        <v>1627</v>
      </c>
      <c r="J763" s="35">
        <v>76.400000000000006</v>
      </c>
    </row>
    <row r="764" spans="1:10" ht="15.75" customHeight="1">
      <c r="A764" s="24" t="s">
        <v>8</v>
      </c>
      <c r="B764" s="25">
        <v>46092</v>
      </c>
      <c r="C764" s="26" t="s">
        <v>53</v>
      </c>
      <c r="D764" s="27" t="s">
        <v>46</v>
      </c>
      <c r="E764" s="28" t="s">
        <v>30</v>
      </c>
      <c r="F764" s="29">
        <v>2526</v>
      </c>
      <c r="G764" s="30">
        <v>158</v>
      </c>
      <c r="H764" s="31">
        <v>99</v>
      </c>
      <c r="I764" s="32">
        <v>2585</v>
      </c>
      <c r="J764" s="34">
        <v>62.7</v>
      </c>
    </row>
    <row r="765" spans="1:10" ht="15.75" customHeight="1">
      <c r="A765" s="14" t="s">
        <v>8</v>
      </c>
      <c r="B765" s="15">
        <v>46092</v>
      </c>
      <c r="C765" s="16" t="s">
        <v>53</v>
      </c>
      <c r="D765" s="17" t="s">
        <v>46</v>
      </c>
      <c r="E765" s="18" t="s">
        <v>32</v>
      </c>
      <c r="F765" s="19">
        <v>1293</v>
      </c>
      <c r="G765" s="20">
        <v>78</v>
      </c>
      <c r="H765" s="21">
        <v>66</v>
      </c>
      <c r="I765" s="22">
        <v>1305</v>
      </c>
      <c r="J765" s="35">
        <v>84.6</v>
      </c>
    </row>
    <row r="766" spans="1:10" ht="15.75" customHeight="1">
      <c r="A766" s="24" t="s">
        <v>8</v>
      </c>
      <c r="B766" s="25">
        <v>46092</v>
      </c>
      <c r="C766" s="26" t="s">
        <v>53</v>
      </c>
      <c r="D766" s="27" t="s">
        <v>46</v>
      </c>
      <c r="E766" s="28" t="s">
        <v>34</v>
      </c>
      <c r="F766" s="29">
        <v>2497</v>
      </c>
      <c r="G766" s="30">
        <v>117</v>
      </c>
      <c r="H766" s="31">
        <v>84</v>
      </c>
      <c r="I766" s="32">
        <v>2530</v>
      </c>
      <c r="J766" s="34">
        <v>71.8</v>
      </c>
    </row>
    <row r="767" spans="1:10" ht="15.75" customHeight="1">
      <c r="A767" s="14" t="s">
        <v>8</v>
      </c>
      <c r="B767" s="15">
        <v>46092</v>
      </c>
      <c r="C767" s="16" t="s">
        <v>53</v>
      </c>
      <c r="D767" s="17" t="s">
        <v>46</v>
      </c>
      <c r="E767" s="18" t="s">
        <v>25</v>
      </c>
      <c r="F767" s="19">
        <v>1458</v>
      </c>
      <c r="G767" s="20">
        <v>67</v>
      </c>
      <c r="H767" s="21">
        <v>54</v>
      </c>
      <c r="I767" s="22">
        <v>1471</v>
      </c>
      <c r="J767" s="35">
        <v>80.599999999999994</v>
      </c>
    </row>
    <row r="768" spans="1:10" ht="15.75" customHeight="1">
      <c r="A768" s="24" t="s">
        <v>8</v>
      </c>
      <c r="B768" s="25">
        <v>46092</v>
      </c>
      <c r="C768" s="26" t="s">
        <v>53</v>
      </c>
      <c r="D768" s="27" t="s">
        <v>46</v>
      </c>
      <c r="E768" s="28" t="s">
        <v>35</v>
      </c>
      <c r="F768" s="29">
        <v>1589</v>
      </c>
      <c r="G768" s="30">
        <v>81</v>
      </c>
      <c r="H768" s="31">
        <v>61</v>
      </c>
      <c r="I768" s="32">
        <v>1609</v>
      </c>
      <c r="J768" s="33">
        <v>75.3</v>
      </c>
    </row>
    <row r="769" spans="1:10" ht="15.75" customHeight="1">
      <c r="A769" s="14" t="s">
        <v>8</v>
      </c>
      <c r="B769" s="15">
        <v>46092</v>
      </c>
      <c r="C769" s="16" t="s">
        <v>53</v>
      </c>
      <c r="D769" s="17" t="s">
        <v>46</v>
      </c>
      <c r="E769" s="18" t="s">
        <v>29</v>
      </c>
      <c r="F769" s="19">
        <v>1786</v>
      </c>
      <c r="G769" s="20">
        <v>72</v>
      </c>
      <c r="H769" s="21">
        <v>50</v>
      </c>
      <c r="I769" s="22">
        <v>1808</v>
      </c>
      <c r="J769" s="23">
        <v>69.400000000000006</v>
      </c>
    </row>
    <row r="770" spans="1:10" ht="15.75" customHeight="1">
      <c r="A770" s="24" t="s">
        <v>8</v>
      </c>
      <c r="B770" s="25">
        <v>46092</v>
      </c>
      <c r="C770" s="26" t="s">
        <v>53</v>
      </c>
      <c r="D770" s="27" t="s">
        <v>46</v>
      </c>
      <c r="E770" s="28" t="s">
        <v>31</v>
      </c>
      <c r="F770" s="29">
        <v>2142</v>
      </c>
      <c r="G770" s="30">
        <v>144</v>
      </c>
      <c r="H770" s="31">
        <v>117</v>
      </c>
      <c r="I770" s="32">
        <v>2169</v>
      </c>
      <c r="J770" s="33">
        <v>81.2</v>
      </c>
    </row>
    <row r="771" spans="1:10" ht="15.75" customHeight="1">
      <c r="A771" s="14" t="s">
        <v>8</v>
      </c>
      <c r="B771" s="15">
        <v>46092</v>
      </c>
      <c r="C771" s="16" t="s">
        <v>53</v>
      </c>
      <c r="D771" s="17" t="s">
        <v>46</v>
      </c>
      <c r="E771" s="18" t="s">
        <v>33</v>
      </c>
      <c r="F771" s="19">
        <v>877</v>
      </c>
      <c r="G771" s="20">
        <v>58</v>
      </c>
      <c r="H771" s="21">
        <v>48</v>
      </c>
      <c r="I771" s="22">
        <v>887</v>
      </c>
      <c r="J771" s="35">
        <v>82.8</v>
      </c>
    </row>
    <row r="772" spans="1:10" ht="15.75" customHeight="1">
      <c r="A772" s="24" t="s">
        <v>8</v>
      </c>
      <c r="B772" s="25">
        <v>46092</v>
      </c>
      <c r="C772" s="26" t="s">
        <v>53</v>
      </c>
      <c r="D772" s="27" t="s">
        <v>46</v>
      </c>
      <c r="E772" s="28" t="s">
        <v>36</v>
      </c>
      <c r="F772" s="29">
        <v>2734</v>
      </c>
      <c r="G772" s="30">
        <v>111</v>
      </c>
      <c r="H772" s="31">
        <v>79</v>
      </c>
      <c r="I772" s="32">
        <v>2766</v>
      </c>
      <c r="J772" s="34">
        <v>71.2</v>
      </c>
    </row>
    <row r="773" spans="1:10" ht="15.75" customHeight="1">
      <c r="A773" s="14" t="s">
        <v>8</v>
      </c>
      <c r="B773" s="15">
        <v>46093</v>
      </c>
      <c r="C773" s="16" t="s">
        <v>45</v>
      </c>
      <c r="D773" s="17" t="s">
        <v>46</v>
      </c>
      <c r="E773" s="18" t="s">
        <v>26</v>
      </c>
      <c r="F773" s="19">
        <v>2272</v>
      </c>
      <c r="G773" s="20">
        <v>104</v>
      </c>
      <c r="H773" s="21">
        <v>72</v>
      </c>
      <c r="I773" s="22">
        <v>2304</v>
      </c>
      <c r="J773" s="23">
        <v>69.2</v>
      </c>
    </row>
    <row r="774" spans="1:10" ht="15.75" customHeight="1">
      <c r="A774" s="24" t="s">
        <v>8</v>
      </c>
      <c r="B774" s="25">
        <v>46093</v>
      </c>
      <c r="C774" s="26" t="s">
        <v>45</v>
      </c>
      <c r="D774" s="27" t="s">
        <v>46</v>
      </c>
      <c r="E774" s="28" t="s">
        <v>27</v>
      </c>
      <c r="F774" s="29">
        <v>1627</v>
      </c>
      <c r="G774" s="30">
        <v>91</v>
      </c>
      <c r="H774" s="31">
        <v>80</v>
      </c>
      <c r="I774" s="32">
        <v>1638</v>
      </c>
      <c r="J774" s="33">
        <v>87.9</v>
      </c>
    </row>
    <row r="775" spans="1:10" ht="15.75" customHeight="1">
      <c r="A775" s="14" t="s">
        <v>8</v>
      </c>
      <c r="B775" s="15">
        <v>46093</v>
      </c>
      <c r="C775" s="16" t="s">
        <v>45</v>
      </c>
      <c r="D775" s="17" t="s">
        <v>46</v>
      </c>
      <c r="E775" s="18" t="s">
        <v>30</v>
      </c>
      <c r="F775" s="19">
        <v>2585</v>
      </c>
      <c r="G775" s="20">
        <v>124</v>
      </c>
      <c r="H775" s="21">
        <v>97</v>
      </c>
      <c r="I775" s="22">
        <v>2612</v>
      </c>
      <c r="J775" s="35">
        <v>78.2</v>
      </c>
    </row>
    <row r="776" spans="1:10" ht="15.75" customHeight="1">
      <c r="A776" s="24" t="s">
        <v>8</v>
      </c>
      <c r="B776" s="25">
        <v>46093</v>
      </c>
      <c r="C776" s="26" t="s">
        <v>45</v>
      </c>
      <c r="D776" s="27" t="s">
        <v>46</v>
      </c>
      <c r="E776" s="28" t="s">
        <v>32</v>
      </c>
      <c r="F776" s="29">
        <v>1305</v>
      </c>
      <c r="G776" s="30">
        <v>83</v>
      </c>
      <c r="H776" s="31">
        <v>73</v>
      </c>
      <c r="I776" s="32">
        <v>1315</v>
      </c>
      <c r="J776" s="33">
        <v>88</v>
      </c>
    </row>
    <row r="777" spans="1:10" ht="15.75" customHeight="1">
      <c r="A777" s="14" t="s">
        <v>8</v>
      </c>
      <c r="B777" s="15">
        <v>46093</v>
      </c>
      <c r="C777" s="16" t="s">
        <v>45</v>
      </c>
      <c r="D777" s="17" t="s">
        <v>46</v>
      </c>
      <c r="E777" s="18" t="s">
        <v>34</v>
      </c>
      <c r="F777" s="19">
        <v>2530</v>
      </c>
      <c r="G777" s="20">
        <v>174</v>
      </c>
      <c r="H777" s="21">
        <v>128</v>
      </c>
      <c r="I777" s="22">
        <v>2576</v>
      </c>
      <c r="J777" s="23">
        <v>73.599999999999994</v>
      </c>
    </row>
    <row r="778" spans="1:10" ht="15.75" customHeight="1">
      <c r="A778" s="24" t="s">
        <v>8</v>
      </c>
      <c r="B778" s="25">
        <v>46093</v>
      </c>
      <c r="C778" s="26" t="s">
        <v>45</v>
      </c>
      <c r="D778" s="27" t="s">
        <v>46</v>
      </c>
      <c r="E778" s="28" t="s">
        <v>25</v>
      </c>
      <c r="F778" s="29">
        <v>1471</v>
      </c>
      <c r="G778" s="30">
        <v>76</v>
      </c>
      <c r="H778" s="31">
        <v>65</v>
      </c>
      <c r="I778" s="32">
        <v>1482</v>
      </c>
      <c r="J778" s="33">
        <v>85.5</v>
      </c>
    </row>
    <row r="779" spans="1:10" ht="15.75" customHeight="1">
      <c r="A779" s="14" t="s">
        <v>8</v>
      </c>
      <c r="B779" s="15">
        <v>46093</v>
      </c>
      <c r="C779" s="16" t="s">
        <v>45</v>
      </c>
      <c r="D779" s="17" t="s">
        <v>46</v>
      </c>
      <c r="E779" s="18" t="s">
        <v>35</v>
      </c>
      <c r="F779" s="19">
        <v>1609</v>
      </c>
      <c r="G779" s="20">
        <v>109</v>
      </c>
      <c r="H779" s="21">
        <v>94</v>
      </c>
      <c r="I779" s="22">
        <v>1624</v>
      </c>
      <c r="J779" s="35">
        <v>86.2</v>
      </c>
    </row>
    <row r="780" spans="1:10" ht="15.75" customHeight="1">
      <c r="A780" s="24" t="s">
        <v>8</v>
      </c>
      <c r="B780" s="25">
        <v>46093</v>
      </c>
      <c r="C780" s="26" t="s">
        <v>45</v>
      </c>
      <c r="D780" s="27" t="s">
        <v>46</v>
      </c>
      <c r="E780" s="28" t="s">
        <v>29</v>
      </c>
      <c r="F780" s="29">
        <v>1808</v>
      </c>
      <c r="G780" s="30">
        <v>69</v>
      </c>
      <c r="H780" s="31">
        <v>45</v>
      </c>
      <c r="I780" s="32">
        <v>1832</v>
      </c>
      <c r="J780" s="34">
        <v>65.2</v>
      </c>
    </row>
    <row r="781" spans="1:10" ht="15.75" customHeight="1">
      <c r="A781" s="14" t="s">
        <v>8</v>
      </c>
      <c r="B781" s="15">
        <v>46093</v>
      </c>
      <c r="C781" s="16" t="s">
        <v>45</v>
      </c>
      <c r="D781" s="17" t="s">
        <v>46</v>
      </c>
      <c r="E781" s="18" t="s">
        <v>31</v>
      </c>
      <c r="F781" s="19">
        <v>2169</v>
      </c>
      <c r="G781" s="20">
        <v>139</v>
      </c>
      <c r="H781" s="21">
        <v>97</v>
      </c>
      <c r="I781" s="22">
        <v>2211</v>
      </c>
      <c r="J781" s="23">
        <v>69.8</v>
      </c>
    </row>
    <row r="782" spans="1:10" ht="15.75" customHeight="1">
      <c r="A782" s="24" t="s">
        <v>8</v>
      </c>
      <c r="B782" s="25">
        <v>46093</v>
      </c>
      <c r="C782" s="26" t="s">
        <v>45</v>
      </c>
      <c r="D782" s="27" t="s">
        <v>46</v>
      </c>
      <c r="E782" s="28" t="s">
        <v>33</v>
      </c>
      <c r="F782" s="29">
        <v>887</v>
      </c>
      <c r="G782" s="30">
        <v>58</v>
      </c>
      <c r="H782" s="31">
        <v>48</v>
      </c>
      <c r="I782" s="32">
        <v>897</v>
      </c>
      <c r="J782" s="33">
        <v>82.8</v>
      </c>
    </row>
    <row r="783" spans="1:10" ht="15.75" customHeight="1">
      <c r="A783" s="14" t="s">
        <v>8</v>
      </c>
      <c r="B783" s="15">
        <v>46093</v>
      </c>
      <c r="C783" s="16" t="s">
        <v>45</v>
      </c>
      <c r="D783" s="17" t="s">
        <v>46</v>
      </c>
      <c r="E783" s="18" t="s">
        <v>36</v>
      </c>
      <c r="F783" s="19">
        <v>2766</v>
      </c>
      <c r="G783" s="20">
        <v>127</v>
      </c>
      <c r="H783" s="21">
        <v>90</v>
      </c>
      <c r="I783" s="22">
        <v>2803</v>
      </c>
      <c r="J783" s="23">
        <v>70.900000000000006</v>
      </c>
    </row>
    <row r="784" spans="1:10" ht="15.75" customHeight="1">
      <c r="A784" s="24" t="s">
        <v>8</v>
      </c>
      <c r="B784" s="25">
        <v>46094</v>
      </c>
      <c r="C784" s="26" t="s">
        <v>47</v>
      </c>
      <c r="D784" s="27" t="s">
        <v>46</v>
      </c>
      <c r="E784" s="28" t="s">
        <v>26</v>
      </c>
      <c r="F784" s="29">
        <v>2304</v>
      </c>
      <c r="G784" s="30">
        <v>123</v>
      </c>
      <c r="H784" s="31">
        <v>88</v>
      </c>
      <c r="I784" s="32">
        <v>2339</v>
      </c>
      <c r="J784" s="34">
        <v>71.5</v>
      </c>
    </row>
    <row r="785" spans="1:10" ht="15.75" customHeight="1">
      <c r="A785" s="14" t="s">
        <v>8</v>
      </c>
      <c r="B785" s="15">
        <v>46094</v>
      </c>
      <c r="C785" s="16" t="s">
        <v>47</v>
      </c>
      <c r="D785" s="17" t="s">
        <v>46</v>
      </c>
      <c r="E785" s="18" t="s">
        <v>27</v>
      </c>
      <c r="F785" s="19">
        <v>1638</v>
      </c>
      <c r="G785" s="20">
        <v>82</v>
      </c>
      <c r="H785" s="21">
        <v>70</v>
      </c>
      <c r="I785" s="22">
        <v>1650</v>
      </c>
      <c r="J785" s="35">
        <v>85.4</v>
      </c>
    </row>
    <row r="786" spans="1:10" ht="15.75" customHeight="1">
      <c r="A786" s="24" t="s">
        <v>8</v>
      </c>
      <c r="B786" s="25">
        <v>46094</v>
      </c>
      <c r="C786" s="26" t="s">
        <v>47</v>
      </c>
      <c r="D786" s="27" t="s">
        <v>46</v>
      </c>
      <c r="E786" s="28" t="s">
        <v>30</v>
      </c>
      <c r="F786" s="29">
        <v>2612</v>
      </c>
      <c r="G786" s="30">
        <v>147</v>
      </c>
      <c r="H786" s="31">
        <v>104</v>
      </c>
      <c r="I786" s="32">
        <v>2655</v>
      </c>
      <c r="J786" s="34">
        <v>70.7</v>
      </c>
    </row>
    <row r="787" spans="1:10" ht="15.75" customHeight="1">
      <c r="A787" s="14" t="s">
        <v>8</v>
      </c>
      <c r="B787" s="15">
        <v>46094</v>
      </c>
      <c r="C787" s="16" t="s">
        <v>47</v>
      </c>
      <c r="D787" s="17" t="s">
        <v>46</v>
      </c>
      <c r="E787" s="18" t="s">
        <v>32</v>
      </c>
      <c r="F787" s="19">
        <v>1315</v>
      </c>
      <c r="G787" s="20">
        <v>76</v>
      </c>
      <c r="H787" s="21">
        <v>68</v>
      </c>
      <c r="I787" s="22">
        <v>1323</v>
      </c>
      <c r="J787" s="35">
        <v>89.5</v>
      </c>
    </row>
    <row r="788" spans="1:10" ht="15.75" customHeight="1">
      <c r="A788" s="24" t="s">
        <v>8</v>
      </c>
      <c r="B788" s="25">
        <v>46094</v>
      </c>
      <c r="C788" s="26" t="s">
        <v>47</v>
      </c>
      <c r="D788" s="27" t="s">
        <v>46</v>
      </c>
      <c r="E788" s="28" t="s">
        <v>34</v>
      </c>
      <c r="F788" s="29">
        <v>2576</v>
      </c>
      <c r="G788" s="30">
        <v>132</v>
      </c>
      <c r="H788" s="31">
        <v>108</v>
      </c>
      <c r="I788" s="32">
        <v>2600</v>
      </c>
      <c r="J788" s="33">
        <v>81.8</v>
      </c>
    </row>
    <row r="789" spans="1:10" ht="15.75" customHeight="1">
      <c r="A789" s="14" t="s">
        <v>8</v>
      </c>
      <c r="B789" s="15">
        <v>46094</v>
      </c>
      <c r="C789" s="16" t="s">
        <v>47</v>
      </c>
      <c r="D789" s="17" t="s">
        <v>46</v>
      </c>
      <c r="E789" s="18" t="s">
        <v>25</v>
      </c>
      <c r="F789" s="19">
        <v>1482</v>
      </c>
      <c r="G789" s="20">
        <v>73</v>
      </c>
      <c r="H789" s="21">
        <v>56</v>
      </c>
      <c r="I789" s="22">
        <v>1499</v>
      </c>
      <c r="J789" s="35">
        <v>76.7</v>
      </c>
    </row>
    <row r="790" spans="1:10" ht="15.75" customHeight="1">
      <c r="A790" s="24" t="s">
        <v>8</v>
      </c>
      <c r="B790" s="25">
        <v>46094</v>
      </c>
      <c r="C790" s="26" t="s">
        <v>47</v>
      </c>
      <c r="D790" s="27" t="s">
        <v>46</v>
      </c>
      <c r="E790" s="28" t="s">
        <v>35</v>
      </c>
      <c r="F790" s="29">
        <v>1624</v>
      </c>
      <c r="G790" s="30">
        <v>81</v>
      </c>
      <c r="H790" s="31">
        <v>69</v>
      </c>
      <c r="I790" s="32">
        <v>1636</v>
      </c>
      <c r="J790" s="33">
        <v>85.2</v>
      </c>
    </row>
    <row r="791" spans="1:10" ht="15.75" customHeight="1">
      <c r="A791" s="14" t="s">
        <v>8</v>
      </c>
      <c r="B791" s="15">
        <v>46094</v>
      </c>
      <c r="C791" s="16" t="s">
        <v>47</v>
      </c>
      <c r="D791" s="17" t="s">
        <v>46</v>
      </c>
      <c r="E791" s="18" t="s">
        <v>29</v>
      </c>
      <c r="F791" s="19">
        <v>1832</v>
      </c>
      <c r="G791" s="20">
        <v>108</v>
      </c>
      <c r="H791" s="21">
        <v>71</v>
      </c>
      <c r="I791" s="22">
        <v>1869</v>
      </c>
      <c r="J791" s="23">
        <v>65.7</v>
      </c>
    </row>
    <row r="792" spans="1:10" ht="15.75" customHeight="1">
      <c r="A792" s="24" t="s">
        <v>8</v>
      </c>
      <c r="B792" s="25">
        <v>46094</v>
      </c>
      <c r="C792" s="26" t="s">
        <v>47</v>
      </c>
      <c r="D792" s="27" t="s">
        <v>46</v>
      </c>
      <c r="E792" s="28" t="s">
        <v>31</v>
      </c>
      <c r="F792" s="29">
        <v>2211</v>
      </c>
      <c r="G792" s="30">
        <v>107</v>
      </c>
      <c r="H792" s="31">
        <v>82</v>
      </c>
      <c r="I792" s="32">
        <v>2236</v>
      </c>
      <c r="J792" s="33">
        <v>76.599999999999994</v>
      </c>
    </row>
    <row r="793" spans="1:10" ht="15.75" customHeight="1">
      <c r="A793" s="14" t="s">
        <v>8</v>
      </c>
      <c r="B793" s="15">
        <v>46094</v>
      </c>
      <c r="C793" s="16" t="s">
        <v>47</v>
      </c>
      <c r="D793" s="17" t="s">
        <v>46</v>
      </c>
      <c r="E793" s="18" t="s">
        <v>33</v>
      </c>
      <c r="F793" s="19">
        <v>897</v>
      </c>
      <c r="G793" s="20">
        <v>57</v>
      </c>
      <c r="H793" s="21">
        <v>46</v>
      </c>
      <c r="I793" s="22">
        <v>908</v>
      </c>
      <c r="J793" s="35">
        <v>80.7</v>
      </c>
    </row>
    <row r="794" spans="1:10" ht="15.75" customHeight="1">
      <c r="A794" s="24" t="s">
        <v>8</v>
      </c>
      <c r="B794" s="25">
        <v>46094</v>
      </c>
      <c r="C794" s="26" t="s">
        <v>47</v>
      </c>
      <c r="D794" s="27" t="s">
        <v>46</v>
      </c>
      <c r="E794" s="28" t="s">
        <v>36</v>
      </c>
      <c r="F794" s="29">
        <v>2803</v>
      </c>
      <c r="G794" s="30">
        <v>98</v>
      </c>
      <c r="H794" s="31">
        <v>61</v>
      </c>
      <c r="I794" s="32">
        <v>2840</v>
      </c>
      <c r="J794" s="34">
        <v>62.2</v>
      </c>
    </row>
    <row r="795" spans="1:10" ht="15.75" customHeight="1">
      <c r="A795" s="36" t="s">
        <v>8</v>
      </c>
      <c r="B795" s="37">
        <v>46095</v>
      </c>
      <c r="C795" s="38" t="s">
        <v>48</v>
      </c>
      <c r="D795" s="39" t="s">
        <v>49</v>
      </c>
      <c r="E795" s="40" t="s">
        <v>26</v>
      </c>
      <c r="F795" s="41">
        <v>2339</v>
      </c>
      <c r="G795" s="42">
        <v>64</v>
      </c>
      <c r="H795" s="43">
        <v>41</v>
      </c>
      <c r="I795" s="44">
        <v>2362</v>
      </c>
      <c r="J795" s="46">
        <v>64.099999999999994</v>
      </c>
    </row>
    <row r="796" spans="1:10" ht="15.75" customHeight="1">
      <c r="A796" s="36" t="s">
        <v>8</v>
      </c>
      <c r="B796" s="37">
        <v>46095</v>
      </c>
      <c r="C796" s="38" t="s">
        <v>48</v>
      </c>
      <c r="D796" s="39" t="s">
        <v>49</v>
      </c>
      <c r="E796" s="40" t="s">
        <v>27</v>
      </c>
      <c r="F796" s="41">
        <v>1650</v>
      </c>
      <c r="G796" s="42">
        <v>28</v>
      </c>
      <c r="H796" s="43">
        <v>23</v>
      </c>
      <c r="I796" s="44">
        <v>1655</v>
      </c>
      <c r="J796" s="45">
        <v>82.1</v>
      </c>
    </row>
    <row r="797" spans="1:10" ht="15.75" customHeight="1">
      <c r="A797" s="36" t="s">
        <v>8</v>
      </c>
      <c r="B797" s="37">
        <v>46095</v>
      </c>
      <c r="C797" s="38" t="s">
        <v>48</v>
      </c>
      <c r="D797" s="39" t="s">
        <v>49</v>
      </c>
      <c r="E797" s="40" t="s">
        <v>30</v>
      </c>
      <c r="F797" s="41">
        <v>2655</v>
      </c>
      <c r="G797" s="42">
        <v>69</v>
      </c>
      <c r="H797" s="43">
        <v>53</v>
      </c>
      <c r="I797" s="44">
        <v>2671</v>
      </c>
      <c r="J797" s="45">
        <v>76.8</v>
      </c>
    </row>
    <row r="798" spans="1:10" ht="15.75" customHeight="1">
      <c r="A798" s="36" t="s">
        <v>8</v>
      </c>
      <c r="B798" s="37">
        <v>46095</v>
      </c>
      <c r="C798" s="38" t="s">
        <v>48</v>
      </c>
      <c r="D798" s="39" t="s">
        <v>49</v>
      </c>
      <c r="E798" s="40" t="s">
        <v>32</v>
      </c>
      <c r="F798" s="41">
        <v>1323</v>
      </c>
      <c r="G798" s="42">
        <v>32</v>
      </c>
      <c r="H798" s="43">
        <v>25</v>
      </c>
      <c r="I798" s="44">
        <v>1330</v>
      </c>
      <c r="J798" s="45">
        <v>78.099999999999994</v>
      </c>
    </row>
    <row r="799" spans="1:10" ht="15.75" customHeight="1">
      <c r="A799" s="36" t="s">
        <v>8</v>
      </c>
      <c r="B799" s="37">
        <v>46095</v>
      </c>
      <c r="C799" s="38" t="s">
        <v>48</v>
      </c>
      <c r="D799" s="39" t="s">
        <v>49</v>
      </c>
      <c r="E799" s="40" t="s">
        <v>34</v>
      </c>
      <c r="F799" s="41">
        <v>2600</v>
      </c>
      <c r="G799" s="42">
        <v>82</v>
      </c>
      <c r="H799" s="43">
        <v>53</v>
      </c>
      <c r="I799" s="44">
        <v>2629</v>
      </c>
      <c r="J799" s="46">
        <v>64.599999999999994</v>
      </c>
    </row>
    <row r="800" spans="1:10" ht="15.75" customHeight="1">
      <c r="A800" s="36" t="s">
        <v>8</v>
      </c>
      <c r="B800" s="37">
        <v>46095</v>
      </c>
      <c r="C800" s="38" t="s">
        <v>48</v>
      </c>
      <c r="D800" s="39" t="s">
        <v>49</v>
      </c>
      <c r="E800" s="40" t="s">
        <v>25</v>
      </c>
      <c r="F800" s="41">
        <v>1499</v>
      </c>
      <c r="G800" s="42">
        <v>45</v>
      </c>
      <c r="H800" s="43">
        <v>39</v>
      </c>
      <c r="I800" s="44">
        <v>1505</v>
      </c>
      <c r="J800" s="45">
        <v>86.7</v>
      </c>
    </row>
    <row r="801" spans="1:10" ht="15.75" customHeight="1">
      <c r="A801" s="36" t="s">
        <v>8</v>
      </c>
      <c r="B801" s="37">
        <v>46095</v>
      </c>
      <c r="C801" s="38" t="s">
        <v>48</v>
      </c>
      <c r="D801" s="39" t="s">
        <v>49</v>
      </c>
      <c r="E801" s="40" t="s">
        <v>35</v>
      </c>
      <c r="F801" s="41">
        <v>1636</v>
      </c>
      <c r="G801" s="42">
        <v>44</v>
      </c>
      <c r="H801" s="43">
        <v>40</v>
      </c>
      <c r="I801" s="44">
        <v>1640</v>
      </c>
      <c r="J801" s="45">
        <v>90.9</v>
      </c>
    </row>
    <row r="802" spans="1:10" ht="15.75" customHeight="1">
      <c r="A802" s="36" t="s">
        <v>8</v>
      </c>
      <c r="B802" s="37">
        <v>46095</v>
      </c>
      <c r="C802" s="38" t="s">
        <v>48</v>
      </c>
      <c r="D802" s="39" t="s">
        <v>49</v>
      </c>
      <c r="E802" s="40" t="s">
        <v>29</v>
      </c>
      <c r="F802" s="41">
        <v>1869</v>
      </c>
      <c r="G802" s="42">
        <v>38</v>
      </c>
      <c r="H802" s="43">
        <v>32</v>
      </c>
      <c r="I802" s="44">
        <v>1875</v>
      </c>
      <c r="J802" s="45">
        <v>84.2</v>
      </c>
    </row>
    <row r="803" spans="1:10" ht="15.75" customHeight="1">
      <c r="A803" s="36" t="s">
        <v>8</v>
      </c>
      <c r="B803" s="37">
        <v>46095</v>
      </c>
      <c r="C803" s="38" t="s">
        <v>48</v>
      </c>
      <c r="D803" s="39" t="s">
        <v>49</v>
      </c>
      <c r="E803" s="40" t="s">
        <v>31</v>
      </c>
      <c r="F803" s="41">
        <v>2236</v>
      </c>
      <c r="G803" s="42">
        <v>45</v>
      </c>
      <c r="H803" s="43">
        <v>28</v>
      </c>
      <c r="I803" s="44">
        <v>2253</v>
      </c>
      <c r="J803" s="46">
        <v>62.2</v>
      </c>
    </row>
    <row r="804" spans="1:10" ht="15.75" customHeight="1">
      <c r="A804" s="36" t="s">
        <v>8</v>
      </c>
      <c r="B804" s="37">
        <v>46095</v>
      </c>
      <c r="C804" s="38" t="s">
        <v>48</v>
      </c>
      <c r="D804" s="39" t="s">
        <v>49</v>
      </c>
      <c r="E804" s="40" t="s">
        <v>33</v>
      </c>
      <c r="F804" s="41">
        <v>908</v>
      </c>
      <c r="G804" s="42">
        <v>50</v>
      </c>
      <c r="H804" s="43">
        <v>40</v>
      </c>
      <c r="I804" s="44">
        <v>918</v>
      </c>
      <c r="J804" s="45">
        <v>80</v>
      </c>
    </row>
    <row r="805" spans="1:10" ht="15.75" customHeight="1">
      <c r="A805" s="36" t="s">
        <v>8</v>
      </c>
      <c r="B805" s="37">
        <v>46095</v>
      </c>
      <c r="C805" s="38" t="s">
        <v>48</v>
      </c>
      <c r="D805" s="39" t="s">
        <v>49</v>
      </c>
      <c r="E805" s="40" t="s">
        <v>36</v>
      </c>
      <c r="F805" s="41">
        <v>2840</v>
      </c>
      <c r="G805" s="42">
        <v>68</v>
      </c>
      <c r="H805" s="43">
        <v>51</v>
      </c>
      <c r="I805" s="44">
        <v>2857</v>
      </c>
      <c r="J805" s="45">
        <v>75</v>
      </c>
    </row>
    <row r="806" spans="1:10" ht="15.75" customHeight="1">
      <c r="A806" s="36" t="s">
        <v>8</v>
      </c>
      <c r="B806" s="37">
        <v>46096</v>
      </c>
      <c r="C806" s="38" t="s">
        <v>50</v>
      </c>
      <c r="D806" s="39" t="s">
        <v>49</v>
      </c>
      <c r="E806" s="40" t="s">
        <v>26</v>
      </c>
      <c r="F806" s="41">
        <v>2362</v>
      </c>
      <c r="G806" s="42">
        <v>34</v>
      </c>
      <c r="H806" s="43">
        <v>22</v>
      </c>
      <c r="I806" s="44">
        <v>2374</v>
      </c>
      <c r="J806" s="46">
        <v>64.7</v>
      </c>
    </row>
    <row r="807" spans="1:10" ht="15.75" customHeight="1">
      <c r="A807" s="36" t="s">
        <v>8</v>
      </c>
      <c r="B807" s="37">
        <v>46096</v>
      </c>
      <c r="C807" s="38" t="s">
        <v>50</v>
      </c>
      <c r="D807" s="39" t="s">
        <v>49</v>
      </c>
      <c r="E807" s="40" t="s">
        <v>27</v>
      </c>
      <c r="F807" s="41">
        <v>1655</v>
      </c>
      <c r="G807" s="42">
        <v>29</v>
      </c>
      <c r="H807" s="43">
        <v>25</v>
      </c>
      <c r="I807" s="44">
        <v>1659</v>
      </c>
      <c r="J807" s="45">
        <v>86.2</v>
      </c>
    </row>
    <row r="808" spans="1:10" ht="15.75" customHeight="1">
      <c r="A808" s="36" t="s">
        <v>8</v>
      </c>
      <c r="B808" s="37">
        <v>46096</v>
      </c>
      <c r="C808" s="38" t="s">
        <v>50</v>
      </c>
      <c r="D808" s="39" t="s">
        <v>49</v>
      </c>
      <c r="E808" s="40" t="s">
        <v>30</v>
      </c>
      <c r="F808" s="41">
        <v>2671</v>
      </c>
      <c r="G808" s="42">
        <v>68</v>
      </c>
      <c r="H808" s="43">
        <v>54</v>
      </c>
      <c r="I808" s="44">
        <v>2685</v>
      </c>
      <c r="J808" s="45">
        <v>79.400000000000006</v>
      </c>
    </row>
    <row r="809" spans="1:10" ht="15.75" customHeight="1">
      <c r="A809" s="36" t="s">
        <v>8</v>
      </c>
      <c r="B809" s="37">
        <v>46096</v>
      </c>
      <c r="C809" s="38" t="s">
        <v>50</v>
      </c>
      <c r="D809" s="39" t="s">
        <v>49</v>
      </c>
      <c r="E809" s="40" t="s">
        <v>32</v>
      </c>
      <c r="F809" s="41">
        <v>1330</v>
      </c>
      <c r="G809" s="42">
        <v>41</v>
      </c>
      <c r="H809" s="43">
        <v>38</v>
      </c>
      <c r="I809" s="44">
        <v>1333</v>
      </c>
      <c r="J809" s="45">
        <v>92.7</v>
      </c>
    </row>
    <row r="810" spans="1:10" ht="15.75" customHeight="1">
      <c r="A810" s="36" t="s">
        <v>8</v>
      </c>
      <c r="B810" s="37">
        <v>46096</v>
      </c>
      <c r="C810" s="38" t="s">
        <v>50</v>
      </c>
      <c r="D810" s="39" t="s">
        <v>49</v>
      </c>
      <c r="E810" s="40" t="s">
        <v>34</v>
      </c>
      <c r="F810" s="41">
        <v>2629</v>
      </c>
      <c r="G810" s="42">
        <v>82</v>
      </c>
      <c r="H810" s="43">
        <v>65</v>
      </c>
      <c r="I810" s="44">
        <v>2646</v>
      </c>
      <c r="J810" s="45">
        <v>79.3</v>
      </c>
    </row>
    <row r="811" spans="1:10" ht="15.75" customHeight="1">
      <c r="A811" s="36" t="s">
        <v>8</v>
      </c>
      <c r="B811" s="37">
        <v>46096</v>
      </c>
      <c r="C811" s="38" t="s">
        <v>50</v>
      </c>
      <c r="D811" s="39" t="s">
        <v>49</v>
      </c>
      <c r="E811" s="40" t="s">
        <v>25</v>
      </c>
      <c r="F811" s="41">
        <v>1505</v>
      </c>
      <c r="G811" s="42">
        <v>37</v>
      </c>
      <c r="H811" s="43">
        <v>25</v>
      </c>
      <c r="I811" s="44">
        <v>1517</v>
      </c>
      <c r="J811" s="46">
        <v>67.599999999999994</v>
      </c>
    </row>
    <row r="812" spans="1:10" ht="15.75" customHeight="1">
      <c r="A812" s="36" t="s">
        <v>8</v>
      </c>
      <c r="B812" s="37">
        <v>46096</v>
      </c>
      <c r="C812" s="38" t="s">
        <v>50</v>
      </c>
      <c r="D812" s="39" t="s">
        <v>49</v>
      </c>
      <c r="E812" s="40" t="s">
        <v>35</v>
      </c>
      <c r="F812" s="41">
        <v>1640</v>
      </c>
      <c r="G812" s="42">
        <v>60</v>
      </c>
      <c r="H812" s="43">
        <v>54</v>
      </c>
      <c r="I812" s="44">
        <v>1646</v>
      </c>
      <c r="J812" s="45">
        <v>90</v>
      </c>
    </row>
    <row r="813" spans="1:10" ht="15.75" customHeight="1">
      <c r="A813" s="36" t="s">
        <v>8</v>
      </c>
      <c r="B813" s="37">
        <v>46096</v>
      </c>
      <c r="C813" s="38" t="s">
        <v>50</v>
      </c>
      <c r="D813" s="39" t="s">
        <v>49</v>
      </c>
      <c r="E813" s="40" t="s">
        <v>29</v>
      </c>
      <c r="F813" s="41">
        <v>1875</v>
      </c>
      <c r="G813" s="42">
        <v>60</v>
      </c>
      <c r="H813" s="43">
        <v>44</v>
      </c>
      <c r="I813" s="44">
        <v>1891</v>
      </c>
      <c r="J813" s="46">
        <v>73.3</v>
      </c>
    </row>
    <row r="814" spans="1:10" ht="15.75" customHeight="1">
      <c r="A814" s="36" t="s">
        <v>8</v>
      </c>
      <c r="B814" s="37">
        <v>46096</v>
      </c>
      <c r="C814" s="38" t="s">
        <v>50</v>
      </c>
      <c r="D814" s="39" t="s">
        <v>49</v>
      </c>
      <c r="E814" s="40" t="s">
        <v>31</v>
      </c>
      <c r="F814" s="41">
        <v>2253</v>
      </c>
      <c r="G814" s="42">
        <v>77</v>
      </c>
      <c r="H814" s="43">
        <v>61</v>
      </c>
      <c r="I814" s="44">
        <v>2269</v>
      </c>
      <c r="J814" s="45">
        <v>79.2</v>
      </c>
    </row>
    <row r="815" spans="1:10" ht="15.75" customHeight="1">
      <c r="A815" s="36" t="s">
        <v>8</v>
      </c>
      <c r="B815" s="37">
        <v>46096</v>
      </c>
      <c r="C815" s="38" t="s">
        <v>50</v>
      </c>
      <c r="D815" s="39" t="s">
        <v>49</v>
      </c>
      <c r="E815" s="40" t="s">
        <v>33</v>
      </c>
      <c r="F815" s="41">
        <v>918</v>
      </c>
      <c r="G815" s="42">
        <v>45</v>
      </c>
      <c r="H815" s="43">
        <v>35</v>
      </c>
      <c r="I815" s="44">
        <v>928</v>
      </c>
      <c r="J815" s="45">
        <v>77.8</v>
      </c>
    </row>
    <row r="816" spans="1:10" ht="15.75" customHeight="1">
      <c r="A816" s="36" t="s">
        <v>8</v>
      </c>
      <c r="B816" s="37">
        <v>46096</v>
      </c>
      <c r="C816" s="38" t="s">
        <v>50</v>
      </c>
      <c r="D816" s="39" t="s">
        <v>49</v>
      </c>
      <c r="E816" s="40" t="s">
        <v>36</v>
      </c>
      <c r="F816" s="41">
        <v>2857</v>
      </c>
      <c r="G816" s="42">
        <v>58</v>
      </c>
      <c r="H816" s="43">
        <v>40</v>
      </c>
      <c r="I816" s="44">
        <v>2875</v>
      </c>
      <c r="J816" s="46">
        <v>69</v>
      </c>
    </row>
    <row r="817" spans="1:10" ht="15.75" customHeight="1">
      <c r="A817" s="14" t="s">
        <v>8</v>
      </c>
      <c r="B817" s="15">
        <v>46097</v>
      </c>
      <c r="C817" s="16" t="s">
        <v>51</v>
      </c>
      <c r="D817" s="17" t="s">
        <v>46</v>
      </c>
      <c r="E817" s="18" t="s">
        <v>26</v>
      </c>
      <c r="F817" s="19">
        <v>2374</v>
      </c>
      <c r="G817" s="20">
        <v>82</v>
      </c>
      <c r="H817" s="21">
        <v>58</v>
      </c>
      <c r="I817" s="22">
        <v>2398</v>
      </c>
      <c r="J817" s="23">
        <v>70.7</v>
      </c>
    </row>
    <row r="818" spans="1:10" ht="15.75" customHeight="1">
      <c r="A818" s="24" t="s">
        <v>8</v>
      </c>
      <c r="B818" s="25">
        <v>46097</v>
      </c>
      <c r="C818" s="26" t="s">
        <v>51</v>
      </c>
      <c r="D818" s="27" t="s">
        <v>46</v>
      </c>
      <c r="E818" s="28" t="s">
        <v>27</v>
      </c>
      <c r="F818" s="29">
        <v>1659</v>
      </c>
      <c r="G818" s="30">
        <v>125</v>
      </c>
      <c r="H818" s="31">
        <v>101</v>
      </c>
      <c r="I818" s="32">
        <v>1683</v>
      </c>
      <c r="J818" s="33">
        <v>80.8</v>
      </c>
    </row>
    <row r="819" spans="1:10" ht="15.75" customHeight="1">
      <c r="A819" s="14" t="s">
        <v>8</v>
      </c>
      <c r="B819" s="15">
        <v>46097</v>
      </c>
      <c r="C819" s="16" t="s">
        <v>51</v>
      </c>
      <c r="D819" s="17" t="s">
        <v>46</v>
      </c>
      <c r="E819" s="18" t="s">
        <v>30</v>
      </c>
      <c r="F819" s="19">
        <v>2685</v>
      </c>
      <c r="G819" s="20">
        <v>91</v>
      </c>
      <c r="H819" s="21">
        <v>69</v>
      </c>
      <c r="I819" s="22">
        <v>2707</v>
      </c>
      <c r="J819" s="35">
        <v>75.8</v>
      </c>
    </row>
    <row r="820" spans="1:10" ht="15.75" customHeight="1">
      <c r="A820" s="24" t="s">
        <v>8</v>
      </c>
      <c r="B820" s="25">
        <v>46097</v>
      </c>
      <c r="C820" s="26" t="s">
        <v>51</v>
      </c>
      <c r="D820" s="27" t="s">
        <v>46</v>
      </c>
      <c r="E820" s="28" t="s">
        <v>32</v>
      </c>
      <c r="F820" s="29">
        <v>1333</v>
      </c>
      <c r="G820" s="30">
        <v>107</v>
      </c>
      <c r="H820" s="31">
        <v>100</v>
      </c>
      <c r="I820" s="32">
        <v>1340</v>
      </c>
      <c r="J820" s="33">
        <v>93.5</v>
      </c>
    </row>
    <row r="821" spans="1:10" ht="15.75" customHeight="1">
      <c r="A821" s="14" t="s">
        <v>8</v>
      </c>
      <c r="B821" s="15">
        <v>46097</v>
      </c>
      <c r="C821" s="16" t="s">
        <v>51</v>
      </c>
      <c r="D821" s="17" t="s">
        <v>46</v>
      </c>
      <c r="E821" s="18" t="s">
        <v>34</v>
      </c>
      <c r="F821" s="19">
        <v>2646</v>
      </c>
      <c r="G821" s="20">
        <v>158</v>
      </c>
      <c r="H821" s="21">
        <v>129</v>
      </c>
      <c r="I821" s="22">
        <v>2675</v>
      </c>
      <c r="J821" s="35">
        <v>81.599999999999994</v>
      </c>
    </row>
    <row r="822" spans="1:10" ht="15.75" customHeight="1">
      <c r="A822" s="24" t="s">
        <v>8</v>
      </c>
      <c r="B822" s="25">
        <v>46097</v>
      </c>
      <c r="C822" s="26" t="s">
        <v>51</v>
      </c>
      <c r="D822" s="27" t="s">
        <v>46</v>
      </c>
      <c r="E822" s="28" t="s">
        <v>25</v>
      </c>
      <c r="F822" s="29">
        <v>1517</v>
      </c>
      <c r="G822" s="30">
        <v>109</v>
      </c>
      <c r="H822" s="31">
        <v>79</v>
      </c>
      <c r="I822" s="32">
        <v>1547</v>
      </c>
      <c r="J822" s="34">
        <v>72.5</v>
      </c>
    </row>
    <row r="823" spans="1:10" ht="15.75" customHeight="1">
      <c r="A823" s="14" t="s">
        <v>8</v>
      </c>
      <c r="B823" s="15">
        <v>46097</v>
      </c>
      <c r="C823" s="16" t="s">
        <v>51</v>
      </c>
      <c r="D823" s="17" t="s">
        <v>46</v>
      </c>
      <c r="E823" s="18" t="s">
        <v>35</v>
      </c>
      <c r="F823" s="19">
        <v>1646</v>
      </c>
      <c r="G823" s="20">
        <v>128</v>
      </c>
      <c r="H823" s="21">
        <v>112</v>
      </c>
      <c r="I823" s="22">
        <v>1662</v>
      </c>
      <c r="J823" s="35">
        <v>87.5</v>
      </c>
    </row>
    <row r="824" spans="1:10" ht="15.75" customHeight="1">
      <c r="A824" s="24" t="s">
        <v>8</v>
      </c>
      <c r="B824" s="25">
        <v>46097</v>
      </c>
      <c r="C824" s="26" t="s">
        <v>51</v>
      </c>
      <c r="D824" s="27" t="s">
        <v>46</v>
      </c>
      <c r="E824" s="28" t="s">
        <v>29</v>
      </c>
      <c r="F824" s="29">
        <v>1891</v>
      </c>
      <c r="G824" s="30">
        <v>113</v>
      </c>
      <c r="H824" s="31">
        <v>86</v>
      </c>
      <c r="I824" s="32">
        <v>1918</v>
      </c>
      <c r="J824" s="33">
        <v>76.099999999999994</v>
      </c>
    </row>
    <row r="825" spans="1:10" ht="15.75" customHeight="1">
      <c r="A825" s="14" t="s">
        <v>8</v>
      </c>
      <c r="B825" s="15">
        <v>46097</v>
      </c>
      <c r="C825" s="16" t="s">
        <v>51</v>
      </c>
      <c r="D825" s="17" t="s">
        <v>46</v>
      </c>
      <c r="E825" s="18" t="s">
        <v>31</v>
      </c>
      <c r="F825" s="19">
        <v>2269</v>
      </c>
      <c r="G825" s="20">
        <v>131</v>
      </c>
      <c r="H825" s="21">
        <v>105</v>
      </c>
      <c r="I825" s="22">
        <v>2295</v>
      </c>
      <c r="J825" s="35">
        <v>80.2</v>
      </c>
    </row>
    <row r="826" spans="1:10" ht="15.75" customHeight="1">
      <c r="A826" s="24" t="s">
        <v>8</v>
      </c>
      <c r="B826" s="25">
        <v>46097</v>
      </c>
      <c r="C826" s="26" t="s">
        <v>51</v>
      </c>
      <c r="D826" s="27" t="s">
        <v>46</v>
      </c>
      <c r="E826" s="28" t="s">
        <v>33</v>
      </c>
      <c r="F826" s="29">
        <v>928</v>
      </c>
      <c r="G826" s="30">
        <v>94</v>
      </c>
      <c r="H826" s="31">
        <v>88</v>
      </c>
      <c r="I826" s="32">
        <v>934</v>
      </c>
      <c r="J826" s="33">
        <v>93.6</v>
      </c>
    </row>
    <row r="827" spans="1:10" ht="15.75" customHeight="1">
      <c r="A827" s="14" t="s">
        <v>8</v>
      </c>
      <c r="B827" s="15">
        <v>46097</v>
      </c>
      <c r="C827" s="16" t="s">
        <v>51</v>
      </c>
      <c r="D827" s="17" t="s">
        <v>46</v>
      </c>
      <c r="E827" s="18" t="s">
        <v>36</v>
      </c>
      <c r="F827" s="19">
        <v>2875</v>
      </c>
      <c r="G827" s="20">
        <v>163</v>
      </c>
      <c r="H827" s="21">
        <v>122</v>
      </c>
      <c r="I827" s="22">
        <v>2916</v>
      </c>
      <c r="J827" s="23">
        <v>74.8</v>
      </c>
    </row>
    <row r="828" spans="1:10" ht="15.75" customHeight="1">
      <c r="A828" s="24" t="s">
        <v>8</v>
      </c>
      <c r="B828" s="25">
        <v>46098</v>
      </c>
      <c r="C828" s="26" t="s">
        <v>52</v>
      </c>
      <c r="D828" s="27" t="s">
        <v>46</v>
      </c>
      <c r="E828" s="28" t="s">
        <v>26</v>
      </c>
      <c r="F828" s="29">
        <v>2398</v>
      </c>
      <c r="G828" s="30">
        <v>128</v>
      </c>
      <c r="H828" s="31">
        <v>107</v>
      </c>
      <c r="I828" s="32">
        <v>2419</v>
      </c>
      <c r="J828" s="33">
        <v>83.6</v>
      </c>
    </row>
    <row r="829" spans="1:10" ht="15.75" customHeight="1">
      <c r="A829" s="14" t="s">
        <v>8</v>
      </c>
      <c r="B829" s="15">
        <v>46098</v>
      </c>
      <c r="C829" s="16" t="s">
        <v>52</v>
      </c>
      <c r="D829" s="17" t="s">
        <v>46</v>
      </c>
      <c r="E829" s="18" t="s">
        <v>27</v>
      </c>
      <c r="F829" s="19">
        <v>1683</v>
      </c>
      <c r="G829" s="20">
        <v>82</v>
      </c>
      <c r="H829" s="21">
        <v>62</v>
      </c>
      <c r="I829" s="22">
        <v>1703</v>
      </c>
      <c r="J829" s="35">
        <v>75.599999999999994</v>
      </c>
    </row>
    <row r="830" spans="1:10" ht="15.75" customHeight="1">
      <c r="A830" s="24" t="s">
        <v>8</v>
      </c>
      <c r="B830" s="25">
        <v>46098</v>
      </c>
      <c r="C830" s="26" t="s">
        <v>52</v>
      </c>
      <c r="D830" s="27" t="s">
        <v>46</v>
      </c>
      <c r="E830" s="28" t="s">
        <v>30</v>
      </c>
      <c r="F830" s="29">
        <v>2707</v>
      </c>
      <c r="G830" s="30">
        <v>93</v>
      </c>
      <c r="H830" s="31">
        <v>60</v>
      </c>
      <c r="I830" s="32">
        <v>2740</v>
      </c>
      <c r="J830" s="34">
        <v>64.5</v>
      </c>
    </row>
    <row r="831" spans="1:10" ht="15.75" customHeight="1">
      <c r="A831" s="14" t="s">
        <v>8</v>
      </c>
      <c r="B831" s="15">
        <v>46098</v>
      </c>
      <c r="C831" s="16" t="s">
        <v>52</v>
      </c>
      <c r="D831" s="17" t="s">
        <v>46</v>
      </c>
      <c r="E831" s="18" t="s">
        <v>32</v>
      </c>
      <c r="F831" s="19">
        <v>1340</v>
      </c>
      <c r="G831" s="20">
        <v>119</v>
      </c>
      <c r="H831" s="21">
        <v>110</v>
      </c>
      <c r="I831" s="22">
        <v>1349</v>
      </c>
      <c r="J831" s="35">
        <v>92.4</v>
      </c>
    </row>
    <row r="832" spans="1:10" ht="15.75" customHeight="1">
      <c r="A832" s="24" t="s">
        <v>8</v>
      </c>
      <c r="B832" s="25">
        <v>46098</v>
      </c>
      <c r="C832" s="26" t="s">
        <v>52</v>
      </c>
      <c r="D832" s="27" t="s">
        <v>46</v>
      </c>
      <c r="E832" s="28" t="s">
        <v>34</v>
      </c>
      <c r="F832" s="29">
        <v>2675</v>
      </c>
      <c r="G832" s="30">
        <v>140</v>
      </c>
      <c r="H832" s="31">
        <v>112</v>
      </c>
      <c r="I832" s="32">
        <v>2703</v>
      </c>
      <c r="J832" s="33">
        <v>80</v>
      </c>
    </row>
    <row r="833" spans="1:10" ht="15.75" customHeight="1">
      <c r="A833" s="14" t="s">
        <v>8</v>
      </c>
      <c r="B833" s="15">
        <v>46098</v>
      </c>
      <c r="C833" s="16" t="s">
        <v>52</v>
      </c>
      <c r="D833" s="17" t="s">
        <v>46</v>
      </c>
      <c r="E833" s="18" t="s">
        <v>25</v>
      </c>
      <c r="F833" s="19">
        <v>1547</v>
      </c>
      <c r="G833" s="20">
        <v>56</v>
      </c>
      <c r="H833" s="21">
        <v>47</v>
      </c>
      <c r="I833" s="22">
        <v>1556</v>
      </c>
      <c r="J833" s="35">
        <v>83.9</v>
      </c>
    </row>
    <row r="834" spans="1:10" ht="15.75" customHeight="1">
      <c r="A834" s="24" t="s">
        <v>8</v>
      </c>
      <c r="B834" s="25">
        <v>46098</v>
      </c>
      <c r="C834" s="26" t="s">
        <v>52</v>
      </c>
      <c r="D834" s="27" t="s">
        <v>46</v>
      </c>
      <c r="E834" s="28" t="s">
        <v>35</v>
      </c>
      <c r="F834" s="29">
        <v>1662</v>
      </c>
      <c r="G834" s="30">
        <v>136</v>
      </c>
      <c r="H834" s="31">
        <v>119</v>
      </c>
      <c r="I834" s="32">
        <v>1679</v>
      </c>
      <c r="J834" s="33">
        <v>87.5</v>
      </c>
    </row>
    <row r="835" spans="1:10" ht="15.75" customHeight="1">
      <c r="A835" s="14" t="s">
        <v>8</v>
      </c>
      <c r="B835" s="15">
        <v>46098</v>
      </c>
      <c r="C835" s="16" t="s">
        <v>52</v>
      </c>
      <c r="D835" s="17" t="s">
        <v>46</v>
      </c>
      <c r="E835" s="18" t="s">
        <v>29</v>
      </c>
      <c r="F835" s="19">
        <v>1918</v>
      </c>
      <c r="G835" s="20">
        <v>82</v>
      </c>
      <c r="H835" s="21">
        <v>56</v>
      </c>
      <c r="I835" s="22">
        <v>1944</v>
      </c>
      <c r="J835" s="23">
        <v>68.3</v>
      </c>
    </row>
    <row r="836" spans="1:10" ht="15.75" customHeight="1">
      <c r="A836" s="24" t="s">
        <v>8</v>
      </c>
      <c r="B836" s="25">
        <v>46098</v>
      </c>
      <c r="C836" s="26" t="s">
        <v>52</v>
      </c>
      <c r="D836" s="27" t="s">
        <v>46</v>
      </c>
      <c r="E836" s="28" t="s">
        <v>31</v>
      </c>
      <c r="F836" s="29">
        <v>2295</v>
      </c>
      <c r="G836" s="30">
        <v>123</v>
      </c>
      <c r="H836" s="31">
        <v>88</v>
      </c>
      <c r="I836" s="32">
        <v>2330</v>
      </c>
      <c r="J836" s="34">
        <v>71.5</v>
      </c>
    </row>
    <row r="837" spans="1:10" ht="15.75" customHeight="1">
      <c r="A837" s="14" t="s">
        <v>8</v>
      </c>
      <c r="B837" s="15">
        <v>46098</v>
      </c>
      <c r="C837" s="16" t="s">
        <v>52</v>
      </c>
      <c r="D837" s="17" t="s">
        <v>46</v>
      </c>
      <c r="E837" s="18" t="s">
        <v>33</v>
      </c>
      <c r="F837" s="19">
        <v>934</v>
      </c>
      <c r="G837" s="20">
        <v>104</v>
      </c>
      <c r="H837" s="21">
        <v>99</v>
      </c>
      <c r="I837" s="22">
        <v>939</v>
      </c>
      <c r="J837" s="35">
        <v>95.2</v>
      </c>
    </row>
    <row r="838" spans="1:10" ht="15.75" customHeight="1">
      <c r="A838" s="24" t="s">
        <v>8</v>
      </c>
      <c r="B838" s="25">
        <v>46098</v>
      </c>
      <c r="C838" s="26" t="s">
        <v>52</v>
      </c>
      <c r="D838" s="27" t="s">
        <v>46</v>
      </c>
      <c r="E838" s="28" t="s">
        <v>36</v>
      </c>
      <c r="F838" s="29">
        <v>2916</v>
      </c>
      <c r="G838" s="30">
        <v>108</v>
      </c>
      <c r="H838" s="31">
        <v>73</v>
      </c>
      <c r="I838" s="32">
        <v>2951</v>
      </c>
      <c r="J838" s="34">
        <v>67.599999999999994</v>
      </c>
    </row>
    <row r="839" spans="1:10" ht="15.75" customHeight="1">
      <c r="A839" s="14" t="s">
        <v>8</v>
      </c>
      <c r="B839" s="15">
        <v>46099</v>
      </c>
      <c r="C839" s="16" t="s">
        <v>53</v>
      </c>
      <c r="D839" s="17" t="s">
        <v>46</v>
      </c>
      <c r="E839" s="18" t="s">
        <v>26</v>
      </c>
      <c r="F839" s="19">
        <v>2419</v>
      </c>
      <c r="G839" s="20">
        <v>150</v>
      </c>
      <c r="H839" s="21">
        <v>121</v>
      </c>
      <c r="I839" s="22">
        <v>2448</v>
      </c>
      <c r="J839" s="35">
        <v>80.7</v>
      </c>
    </row>
    <row r="840" spans="1:10" ht="15.75" customHeight="1">
      <c r="A840" s="24" t="s">
        <v>8</v>
      </c>
      <c r="B840" s="25">
        <v>46099</v>
      </c>
      <c r="C840" s="26" t="s">
        <v>53</v>
      </c>
      <c r="D840" s="27" t="s">
        <v>46</v>
      </c>
      <c r="E840" s="28" t="s">
        <v>27</v>
      </c>
      <c r="F840" s="29">
        <v>1703</v>
      </c>
      <c r="G840" s="30">
        <v>92</v>
      </c>
      <c r="H840" s="31">
        <v>68</v>
      </c>
      <c r="I840" s="32">
        <v>1727</v>
      </c>
      <c r="J840" s="34">
        <v>73.900000000000006</v>
      </c>
    </row>
    <row r="841" spans="1:10" ht="15.75" customHeight="1">
      <c r="A841" s="14" t="s">
        <v>8</v>
      </c>
      <c r="B841" s="15">
        <v>46099</v>
      </c>
      <c r="C841" s="16" t="s">
        <v>53</v>
      </c>
      <c r="D841" s="17" t="s">
        <v>46</v>
      </c>
      <c r="E841" s="18" t="s">
        <v>30</v>
      </c>
      <c r="F841" s="19">
        <v>2740</v>
      </c>
      <c r="G841" s="20">
        <v>142</v>
      </c>
      <c r="H841" s="21">
        <v>108</v>
      </c>
      <c r="I841" s="22">
        <v>2774</v>
      </c>
      <c r="J841" s="35">
        <v>76.099999999999994</v>
      </c>
    </row>
    <row r="842" spans="1:10" ht="15.75" customHeight="1">
      <c r="A842" s="24" t="s">
        <v>8</v>
      </c>
      <c r="B842" s="25">
        <v>46099</v>
      </c>
      <c r="C842" s="26" t="s">
        <v>53</v>
      </c>
      <c r="D842" s="27" t="s">
        <v>46</v>
      </c>
      <c r="E842" s="28" t="s">
        <v>32</v>
      </c>
      <c r="F842" s="29">
        <v>1349</v>
      </c>
      <c r="G842" s="30">
        <v>63</v>
      </c>
      <c r="H842" s="31">
        <v>47</v>
      </c>
      <c r="I842" s="32">
        <v>1365</v>
      </c>
      <c r="J842" s="34">
        <v>74.599999999999994</v>
      </c>
    </row>
    <row r="843" spans="1:10" ht="15.75" customHeight="1">
      <c r="A843" s="14" t="s">
        <v>8</v>
      </c>
      <c r="B843" s="15">
        <v>46099</v>
      </c>
      <c r="C843" s="16" t="s">
        <v>53</v>
      </c>
      <c r="D843" s="17" t="s">
        <v>46</v>
      </c>
      <c r="E843" s="18" t="s">
        <v>34</v>
      </c>
      <c r="F843" s="19">
        <v>2703</v>
      </c>
      <c r="G843" s="20">
        <v>178</v>
      </c>
      <c r="H843" s="21">
        <v>136</v>
      </c>
      <c r="I843" s="22">
        <v>2745</v>
      </c>
      <c r="J843" s="35">
        <v>76.400000000000006</v>
      </c>
    </row>
    <row r="844" spans="1:10" ht="15.75" customHeight="1">
      <c r="A844" s="24" t="s">
        <v>8</v>
      </c>
      <c r="B844" s="25">
        <v>46099</v>
      </c>
      <c r="C844" s="26" t="s">
        <v>53</v>
      </c>
      <c r="D844" s="27" t="s">
        <v>46</v>
      </c>
      <c r="E844" s="28" t="s">
        <v>25</v>
      </c>
      <c r="F844" s="29">
        <v>1556</v>
      </c>
      <c r="G844" s="30">
        <v>92</v>
      </c>
      <c r="H844" s="31">
        <v>64</v>
      </c>
      <c r="I844" s="32">
        <v>1584</v>
      </c>
      <c r="J844" s="34">
        <v>69.599999999999994</v>
      </c>
    </row>
    <row r="845" spans="1:10" ht="15.75" customHeight="1">
      <c r="A845" s="14" t="s">
        <v>8</v>
      </c>
      <c r="B845" s="15">
        <v>46099</v>
      </c>
      <c r="C845" s="16" t="s">
        <v>53</v>
      </c>
      <c r="D845" s="17" t="s">
        <v>46</v>
      </c>
      <c r="E845" s="18" t="s">
        <v>35</v>
      </c>
      <c r="F845" s="19">
        <v>1679</v>
      </c>
      <c r="G845" s="20">
        <v>109</v>
      </c>
      <c r="H845" s="21">
        <v>83</v>
      </c>
      <c r="I845" s="22">
        <v>1705</v>
      </c>
      <c r="J845" s="35">
        <v>76.099999999999994</v>
      </c>
    </row>
    <row r="846" spans="1:10" ht="15.75" customHeight="1">
      <c r="A846" s="24" t="s">
        <v>8</v>
      </c>
      <c r="B846" s="25">
        <v>46099</v>
      </c>
      <c r="C846" s="26" t="s">
        <v>53</v>
      </c>
      <c r="D846" s="27" t="s">
        <v>46</v>
      </c>
      <c r="E846" s="28" t="s">
        <v>29</v>
      </c>
      <c r="F846" s="29">
        <v>1944</v>
      </c>
      <c r="G846" s="30">
        <v>106</v>
      </c>
      <c r="H846" s="31">
        <v>73</v>
      </c>
      <c r="I846" s="32">
        <v>1977</v>
      </c>
      <c r="J846" s="34">
        <v>68.900000000000006</v>
      </c>
    </row>
    <row r="847" spans="1:10" ht="15.75" customHeight="1">
      <c r="A847" s="14" t="s">
        <v>8</v>
      </c>
      <c r="B847" s="15">
        <v>46099</v>
      </c>
      <c r="C847" s="16" t="s">
        <v>53</v>
      </c>
      <c r="D847" s="17" t="s">
        <v>46</v>
      </c>
      <c r="E847" s="18" t="s">
        <v>31</v>
      </c>
      <c r="F847" s="19">
        <v>2330</v>
      </c>
      <c r="G847" s="20">
        <v>111</v>
      </c>
      <c r="H847" s="21">
        <v>79</v>
      </c>
      <c r="I847" s="22">
        <v>2362</v>
      </c>
      <c r="J847" s="23">
        <v>71.2</v>
      </c>
    </row>
    <row r="848" spans="1:10" ht="15.75" customHeight="1">
      <c r="A848" s="24" t="s">
        <v>8</v>
      </c>
      <c r="B848" s="25">
        <v>46099</v>
      </c>
      <c r="C848" s="26" t="s">
        <v>53</v>
      </c>
      <c r="D848" s="27" t="s">
        <v>46</v>
      </c>
      <c r="E848" s="28" t="s">
        <v>33</v>
      </c>
      <c r="F848" s="29">
        <v>939</v>
      </c>
      <c r="G848" s="30">
        <v>85</v>
      </c>
      <c r="H848" s="31">
        <v>68</v>
      </c>
      <c r="I848" s="32">
        <v>956</v>
      </c>
      <c r="J848" s="33">
        <v>80</v>
      </c>
    </row>
    <row r="849" spans="1:10" ht="15.75" customHeight="1">
      <c r="A849" s="14" t="s">
        <v>8</v>
      </c>
      <c r="B849" s="15">
        <v>46099</v>
      </c>
      <c r="C849" s="16" t="s">
        <v>53</v>
      </c>
      <c r="D849" s="17" t="s">
        <v>46</v>
      </c>
      <c r="E849" s="18" t="s">
        <v>36</v>
      </c>
      <c r="F849" s="19">
        <v>2951</v>
      </c>
      <c r="G849" s="20">
        <v>140</v>
      </c>
      <c r="H849" s="21">
        <v>109</v>
      </c>
      <c r="I849" s="22">
        <v>2982</v>
      </c>
      <c r="J849" s="35">
        <v>77.900000000000006</v>
      </c>
    </row>
    <row r="850" spans="1:10" ht="15.75" customHeight="1">
      <c r="A850" s="24" t="s">
        <v>8</v>
      </c>
      <c r="B850" s="25">
        <v>46100</v>
      </c>
      <c r="C850" s="26" t="s">
        <v>45</v>
      </c>
      <c r="D850" s="27" t="s">
        <v>46</v>
      </c>
      <c r="E850" s="28" t="s">
        <v>26</v>
      </c>
      <c r="F850" s="29">
        <v>2448</v>
      </c>
      <c r="G850" s="30">
        <v>137</v>
      </c>
      <c r="H850" s="31">
        <v>108</v>
      </c>
      <c r="I850" s="32">
        <v>2477</v>
      </c>
      <c r="J850" s="33">
        <v>78.8</v>
      </c>
    </row>
    <row r="851" spans="1:10" ht="15.75" customHeight="1">
      <c r="A851" s="14" t="s">
        <v>8</v>
      </c>
      <c r="B851" s="15">
        <v>46100</v>
      </c>
      <c r="C851" s="16" t="s">
        <v>45</v>
      </c>
      <c r="D851" s="17" t="s">
        <v>46</v>
      </c>
      <c r="E851" s="18" t="s">
        <v>27</v>
      </c>
      <c r="F851" s="19">
        <v>1727</v>
      </c>
      <c r="G851" s="20">
        <v>83</v>
      </c>
      <c r="H851" s="21">
        <v>68</v>
      </c>
      <c r="I851" s="22">
        <v>1742</v>
      </c>
      <c r="J851" s="35">
        <v>81.900000000000006</v>
      </c>
    </row>
    <row r="852" spans="1:10" ht="15.75" customHeight="1">
      <c r="A852" s="24" t="s">
        <v>8</v>
      </c>
      <c r="B852" s="25">
        <v>46100</v>
      </c>
      <c r="C852" s="26" t="s">
        <v>45</v>
      </c>
      <c r="D852" s="27" t="s">
        <v>46</v>
      </c>
      <c r="E852" s="28" t="s">
        <v>30</v>
      </c>
      <c r="F852" s="29">
        <v>2774</v>
      </c>
      <c r="G852" s="30">
        <v>120</v>
      </c>
      <c r="H852" s="31">
        <v>82</v>
      </c>
      <c r="I852" s="32">
        <v>2812</v>
      </c>
      <c r="J852" s="34">
        <v>68.3</v>
      </c>
    </row>
    <row r="853" spans="1:10" ht="15.75" customHeight="1">
      <c r="A853" s="14" t="s">
        <v>8</v>
      </c>
      <c r="B853" s="15">
        <v>46100</v>
      </c>
      <c r="C853" s="16" t="s">
        <v>45</v>
      </c>
      <c r="D853" s="17" t="s">
        <v>46</v>
      </c>
      <c r="E853" s="18" t="s">
        <v>32</v>
      </c>
      <c r="F853" s="19">
        <v>1365</v>
      </c>
      <c r="G853" s="20">
        <v>64</v>
      </c>
      <c r="H853" s="21">
        <v>58</v>
      </c>
      <c r="I853" s="22">
        <v>1371</v>
      </c>
      <c r="J853" s="35">
        <v>90.6</v>
      </c>
    </row>
    <row r="854" spans="1:10" ht="15.75" customHeight="1">
      <c r="A854" s="24" t="s">
        <v>8</v>
      </c>
      <c r="B854" s="25">
        <v>46100</v>
      </c>
      <c r="C854" s="26" t="s">
        <v>45</v>
      </c>
      <c r="D854" s="27" t="s">
        <v>46</v>
      </c>
      <c r="E854" s="28" t="s">
        <v>34</v>
      </c>
      <c r="F854" s="29">
        <v>2745</v>
      </c>
      <c r="G854" s="30">
        <v>137</v>
      </c>
      <c r="H854" s="31">
        <v>103</v>
      </c>
      <c r="I854" s="32">
        <v>2779</v>
      </c>
      <c r="J854" s="33">
        <v>75.2</v>
      </c>
    </row>
    <row r="855" spans="1:10" ht="15.75" customHeight="1">
      <c r="A855" s="14" t="s">
        <v>8</v>
      </c>
      <c r="B855" s="15">
        <v>46100</v>
      </c>
      <c r="C855" s="16" t="s">
        <v>45</v>
      </c>
      <c r="D855" s="17" t="s">
        <v>46</v>
      </c>
      <c r="E855" s="18" t="s">
        <v>25</v>
      </c>
      <c r="F855" s="19">
        <v>1584</v>
      </c>
      <c r="G855" s="20">
        <v>97</v>
      </c>
      <c r="H855" s="21">
        <v>78</v>
      </c>
      <c r="I855" s="22">
        <v>1603</v>
      </c>
      <c r="J855" s="35">
        <v>80.400000000000006</v>
      </c>
    </row>
    <row r="856" spans="1:10" ht="15.75" customHeight="1">
      <c r="A856" s="24" t="s">
        <v>8</v>
      </c>
      <c r="B856" s="25">
        <v>46100</v>
      </c>
      <c r="C856" s="26" t="s">
        <v>45</v>
      </c>
      <c r="D856" s="27" t="s">
        <v>46</v>
      </c>
      <c r="E856" s="28" t="s">
        <v>35</v>
      </c>
      <c r="F856" s="29">
        <v>1705</v>
      </c>
      <c r="G856" s="30">
        <v>127</v>
      </c>
      <c r="H856" s="31">
        <v>114</v>
      </c>
      <c r="I856" s="32">
        <v>1718</v>
      </c>
      <c r="J856" s="33">
        <v>89.8</v>
      </c>
    </row>
    <row r="857" spans="1:10" ht="15.75" customHeight="1">
      <c r="A857" s="14" t="s">
        <v>8</v>
      </c>
      <c r="B857" s="15">
        <v>46100</v>
      </c>
      <c r="C857" s="16" t="s">
        <v>45</v>
      </c>
      <c r="D857" s="17" t="s">
        <v>46</v>
      </c>
      <c r="E857" s="18" t="s">
        <v>29</v>
      </c>
      <c r="F857" s="19">
        <v>1977</v>
      </c>
      <c r="G857" s="20">
        <v>79</v>
      </c>
      <c r="H857" s="21">
        <v>60</v>
      </c>
      <c r="I857" s="22">
        <v>1996</v>
      </c>
      <c r="J857" s="35">
        <v>75.900000000000006</v>
      </c>
    </row>
    <row r="858" spans="1:10" ht="15.75" customHeight="1">
      <c r="A858" s="24" t="s">
        <v>8</v>
      </c>
      <c r="B858" s="25">
        <v>46100</v>
      </c>
      <c r="C858" s="26" t="s">
        <v>45</v>
      </c>
      <c r="D858" s="27" t="s">
        <v>46</v>
      </c>
      <c r="E858" s="28" t="s">
        <v>31</v>
      </c>
      <c r="F858" s="29">
        <v>2362</v>
      </c>
      <c r="G858" s="30">
        <v>107</v>
      </c>
      <c r="H858" s="31">
        <v>71</v>
      </c>
      <c r="I858" s="32">
        <v>2398</v>
      </c>
      <c r="J858" s="34">
        <v>66.400000000000006</v>
      </c>
    </row>
    <row r="859" spans="1:10" ht="15.75" customHeight="1">
      <c r="A859" s="14" t="s">
        <v>8</v>
      </c>
      <c r="B859" s="15">
        <v>46100</v>
      </c>
      <c r="C859" s="16" t="s">
        <v>45</v>
      </c>
      <c r="D859" s="17" t="s">
        <v>46</v>
      </c>
      <c r="E859" s="18" t="s">
        <v>33</v>
      </c>
      <c r="F859" s="19">
        <v>956</v>
      </c>
      <c r="G859" s="20">
        <v>78</v>
      </c>
      <c r="H859" s="21">
        <v>76</v>
      </c>
      <c r="I859" s="22">
        <v>958</v>
      </c>
      <c r="J859" s="35">
        <v>97.4</v>
      </c>
    </row>
    <row r="860" spans="1:10" ht="15.75" customHeight="1">
      <c r="A860" s="24" t="s">
        <v>8</v>
      </c>
      <c r="B860" s="25">
        <v>46100</v>
      </c>
      <c r="C860" s="26" t="s">
        <v>45</v>
      </c>
      <c r="D860" s="27" t="s">
        <v>46</v>
      </c>
      <c r="E860" s="28" t="s">
        <v>36</v>
      </c>
      <c r="F860" s="29">
        <v>2982</v>
      </c>
      <c r="G860" s="30">
        <v>129</v>
      </c>
      <c r="H860" s="31">
        <v>86</v>
      </c>
      <c r="I860" s="32">
        <v>3025</v>
      </c>
      <c r="J860" s="34">
        <v>66.7</v>
      </c>
    </row>
    <row r="861" spans="1:10" ht="15.75" customHeight="1">
      <c r="A861" s="14" t="s">
        <v>8</v>
      </c>
      <c r="B861" s="15">
        <v>46101</v>
      </c>
      <c r="C861" s="16" t="s">
        <v>47</v>
      </c>
      <c r="D861" s="17" t="s">
        <v>46</v>
      </c>
      <c r="E861" s="18" t="s">
        <v>26</v>
      </c>
      <c r="F861" s="19">
        <v>2477</v>
      </c>
      <c r="G861" s="20">
        <v>98</v>
      </c>
      <c r="H861" s="21">
        <v>64</v>
      </c>
      <c r="I861" s="22">
        <v>2511</v>
      </c>
      <c r="J861" s="23">
        <v>65.3</v>
      </c>
    </row>
    <row r="862" spans="1:10" ht="15.75" customHeight="1">
      <c r="A862" s="24" t="s">
        <v>8</v>
      </c>
      <c r="B862" s="25">
        <v>46101</v>
      </c>
      <c r="C862" s="26" t="s">
        <v>47</v>
      </c>
      <c r="D862" s="27" t="s">
        <v>46</v>
      </c>
      <c r="E862" s="28" t="s">
        <v>27</v>
      </c>
      <c r="F862" s="29">
        <v>1742</v>
      </c>
      <c r="G862" s="30">
        <v>107</v>
      </c>
      <c r="H862" s="31">
        <v>86</v>
      </c>
      <c r="I862" s="32">
        <v>1763</v>
      </c>
      <c r="J862" s="33">
        <v>80.400000000000006</v>
      </c>
    </row>
    <row r="863" spans="1:10" ht="15.75" customHeight="1">
      <c r="A863" s="14" t="s">
        <v>8</v>
      </c>
      <c r="B863" s="15">
        <v>46101</v>
      </c>
      <c r="C863" s="16" t="s">
        <v>47</v>
      </c>
      <c r="D863" s="17" t="s">
        <v>46</v>
      </c>
      <c r="E863" s="18" t="s">
        <v>30</v>
      </c>
      <c r="F863" s="19">
        <v>2812</v>
      </c>
      <c r="G863" s="20">
        <v>100</v>
      </c>
      <c r="H863" s="21">
        <v>75</v>
      </c>
      <c r="I863" s="22">
        <v>2837</v>
      </c>
      <c r="J863" s="35">
        <v>75</v>
      </c>
    </row>
    <row r="864" spans="1:10" ht="15.75" customHeight="1">
      <c r="A864" s="24" t="s">
        <v>8</v>
      </c>
      <c r="B864" s="25">
        <v>46101</v>
      </c>
      <c r="C864" s="26" t="s">
        <v>47</v>
      </c>
      <c r="D864" s="27" t="s">
        <v>46</v>
      </c>
      <c r="E864" s="28" t="s">
        <v>32</v>
      </c>
      <c r="F864" s="29">
        <v>1371</v>
      </c>
      <c r="G864" s="30">
        <v>66</v>
      </c>
      <c r="H864" s="31">
        <v>59</v>
      </c>
      <c r="I864" s="32">
        <v>1378</v>
      </c>
      <c r="J864" s="33">
        <v>89.4</v>
      </c>
    </row>
    <row r="865" spans="1:10" ht="15.75" customHeight="1">
      <c r="A865" s="14" t="s">
        <v>8</v>
      </c>
      <c r="B865" s="15">
        <v>46101</v>
      </c>
      <c r="C865" s="16" t="s">
        <v>47</v>
      </c>
      <c r="D865" s="17" t="s">
        <v>46</v>
      </c>
      <c r="E865" s="18" t="s">
        <v>34</v>
      </c>
      <c r="F865" s="19">
        <v>2779</v>
      </c>
      <c r="G865" s="20">
        <v>131</v>
      </c>
      <c r="H865" s="21">
        <v>96</v>
      </c>
      <c r="I865" s="22">
        <v>2814</v>
      </c>
      <c r="J865" s="23">
        <v>73.3</v>
      </c>
    </row>
    <row r="866" spans="1:10" ht="15.75" customHeight="1">
      <c r="A866" s="24" t="s">
        <v>8</v>
      </c>
      <c r="B866" s="25">
        <v>46101</v>
      </c>
      <c r="C866" s="26" t="s">
        <v>47</v>
      </c>
      <c r="D866" s="27" t="s">
        <v>46</v>
      </c>
      <c r="E866" s="28" t="s">
        <v>25</v>
      </c>
      <c r="F866" s="29">
        <v>1603</v>
      </c>
      <c r="G866" s="30">
        <v>74</v>
      </c>
      <c r="H866" s="31">
        <v>52</v>
      </c>
      <c r="I866" s="32">
        <v>1625</v>
      </c>
      <c r="J866" s="34">
        <v>70.3</v>
      </c>
    </row>
    <row r="867" spans="1:10" ht="15.75" customHeight="1">
      <c r="A867" s="14" t="s">
        <v>8</v>
      </c>
      <c r="B867" s="15">
        <v>46101</v>
      </c>
      <c r="C867" s="16" t="s">
        <v>47</v>
      </c>
      <c r="D867" s="17" t="s">
        <v>46</v>
      </c>
      <c r="E867" s="18" t="s">
        <v>35</v>
      </c>
      <c r="F867" s="19">
        <v>1718</v>
      </c>
      <c r="G867" s="20">
        <v>84</v>
      </c>
      <c r="H867" s="21">
        <v>66</v>
      </c>
      <c r="I867" s="22">
        <v>1736</v>
      </c>
      <c r="J867" s="35">
        <v>78.599999999999994</v>
      </c>
    </row>
    <row r="868" spans="1:10" ht="15.75" customHeight="1">
      <c r="A868" s="24" t="s">
        <v>8</v>
      </c>
      <c r="B868" s="25">
        <v>46101</v>
      </c>
      <c r="C868" s="26" t="s">
        <v>47</v>
      </c>
      <c r="D868" s="27" t="s">
        <v>46</v>
      </c>
      <c r="E868" s="28" t="s">
        <v>29</v>
      </c>
      <c r="F868" s="29">
        <v>1996</v>
      </c>
      <c r="G868" s="30">
        <v>119</v>
      </c>
      <c r="H868" s="31">
        <v>96</v>
      </c>
      <c r="I868" s="32">
        <v>2019</v>
      </c>
      <c r="J868" s="33">
        <v>80.7</v>
      </c>
    </row>
    <row r="869" spans="1:10" ht="15.75" customHeight="1">
      <c r="A869" s="14" t="s">
        <v>8</v>
      </c>
      <c r="B869" s="15">
        <v>46101</v>
      </c>
      <c r="C869" s="16" t="s">
        <v>47</v>
      </c>
      <c r="D869" s="17" t="s">
        <v>46</v>
      </c>
      <c r="E869" s="18" t="s">
        <v>31</v>
      </c>
      <c r="F869" s="19">
        <v>2398</v>
      </c>
      <c r="G869" s="20">
        <v>122</v>
      </c>
      <c r="H869" s="21">
        <v>89</v>
      </c>
      <c r="I869" s="22">
        <v>2431</v>
      </c>
      <c r="J869" s="23">
        <v>73</v>
      </c>
    </row>
    <row r="870" spans="1:10" ht="15.75" customHeight="1">
      <c r="A870" s="24" t="s">
        <v>8</v>
      </c>
      <c r="B870" s="25">
        <v>46101</v>
      </c>
      <c r="C870" s="26" t="s">
        <v>47</v>
      </c>
      <c r="D870" s="27" t="s">
        <v>46</v>
      </c>
      <c r="E870" s="28" t="s">
        <v>33</v>
      </c>
      <c r="F870" s="29">
        <v>958</v>
      </c>
      <c r="G870" s="30">
        <v>80</v>
      </c>
      <c r="H870" s="31">
        <v>64</v>
      </c>
      <c r="I870" s="32">
        <v>974</v>
      </c>
      <c r="J870" s="33">
        <v>80</v>
      </c>
    </row>
    <row r="871" spans="1:10" ht="15.75" customHeight="1">
      <c r="A871" s="14" t="s">
        <v>8</v>
      </c>
      <c r="B871" s="15">
        <v>46101</v>
      </c>
      <c r="C871" s="16" t="s">
        <v>47</v>
      </c>
      <c r="D871" s="17" t="s">
        <v>46</v>
      </c>
      <c r="E871" s="18" t="s">
        <v>36</v>
      </c>
      <c r="F871" s="19">
        <v>3025</v>
      </c>
      <c r="G871" s="20">
        <v>165</v>
      </c>
      <c r="H871" s="21">
        <v>112</v>
      </c>
      <c r="I871" s="22">
        <v>3078</v>
      </c>
      <c r="J871" s="23">
        <v>67.900000000000006</v>
      </c>
    </row>
    <row r="872" spans="1:10" ht="15.75" customHeight="1">
      <c r="A872" s="36" t="s">
        <v>8</v>
      </c>
      <c r="B872" s="37">
        <v>46102</v>
      </c>
      <c r="C872" s="38" t="s">
        <v>48</v>
      </c>
      <c r="D872" s="39" t="s">
        <v>49</v>
      </c>
      <c r="E872" s="40" t="s">
        <v>26</v>
      </c>
      <c r="F872" s="41">
        <v>2511</v>
      </c>
      <c r="G872" s="42">
        <v>55</v>
      </c>
      <c r="H872" s="43">
        <v>41</v>
      </c>
      <c r="I872" s="44">
        <v>2525</v>
      </c>
      <c r="J872" s="46">
        <v>74.5</v>
      </c>
    </row>
    <row r="873" spans="1:10" ht="15.75" customHeight="1">
      <c r="A873" s="36" t="s">
        <v>8</v>
      </c>
      <c r="B873" s="37">
        <v>46102</v>
      </c>
      <c r="C873" s="38" t="s">
        <v>48</v>
      </c>
      <c r="D873" s="39" t="s">
        <v>49</v>
      </c>
      <c r="E873" s="40" t="s">
        <v>27</v>
      </c>
      <c r="F873" s="41">
        <v>1763</v>
      </c>
      <c r="G873" s="42">
        <v>58</v>
      </c>
      <c r="H873" s="43">
        <v>41</v>
      </c>
      <c r="I873" s="44">
        <v>1780</v>
      </c>
      <c r="J873" s="46">
        <v>70.7</v>
      </c>
    </row>
    <row r="874" spans="1:10" ht="15.75" customHeight="1">
      <c r="A874" s="36" t="s">
        <v>8</v>
      </c>
      <c r="B874" s="37">
        <v>46102</v>
      </c>
      <c r="C874" s="38" t="s">
        <v>48</v>
      </c>
      <c r="D874" s="39" t="s">
        <v>49</v>
      </c>
      <c r="E874" s="40" t="s">
        <v>30</v>
      </c>
      <c r="F874" s="41">
        <v>2837</v>
      </c>
      <c r="G874" s="42">
        <v>61</v>
      </c>
      <c r="H874" s="43">
        <v>43</v>
      </c>
      <c r="I874" s="44">
        <v>2855</v>
      </c>
      <c r="J874" s="46">
        <v>70.5</v>
      </c>
    </row>
    <row r="875" spans="1:10" ht="15.75" customHeight="1">
      <c r="A875" s="36" t="s">
        <v>8</v>
      </c>
      <c r="B875" s="37">
        <v>46102</v>
      </c>
      <c r="C875" s="38" t="s">
        <v>48</v>
      </c>
      <c r="D875" s="39" t="s">
        <v>49</v>
      </c>
      <c r="E875" s="40" t="s">
        <v>32</v>
      </c>
      <c r="F875" s="41">
        <v>1378</v>
      </c>
      <c r="G875" s="42">
        <v>42</v>
      </c>
      <c r="H875" s="43">
        <v>34</v>
      </c>
      <c r="I875" s="44">
        <v>1386</v>
      </c>
      <c r="J875" s="45">
        <v>81</v>
      </c>
    </row>
    <row r="876" spans="1:10" ht="15.75" customHeight="1">
      <c r="A876" s="36" t="s">
        <v>8</v>
      </c>
      <c r="B876" s="37">
        <v>46102</v>
      </c>
      <c r="C876" s="38" t="s">
        <v>48</v>
      </c>
      <c r="D876" s="39" t="s">
        <v>49</v>
      </c>
      <c r="E876" s="40" t="s">
        <v>34</v>
      </c>
      <c r="F876" s="41">
        <v>2814</v>
      </c>
      <c r="G876" s="42">
        <v>48</v>
      </c>
      <c r="H876" s="43">
        <v>36</v>
      </c>
      <c r="I876" s="44">
        <v>2826</v>
      </c>
      <c r="J876" s="45">
        <v>75</v>
      </c>
    </row>
    <row r="877" spans="1:10" ht="15.75" customHeight="1">
      <c r="A877" s="36" t="s">
        <v>8</v>
      </c>
      <c r="B877" s="37">
        <v>46102</v>
      </c>
      <c r="C877" s="38" t="s">
        <v>48</v>
      </c>
      <c r="D877" s="39" t="s">
        <v>49</v>
      </c>
      <c r="E877" s="40" t="s">
        <v>25</v>
      </c>
      <c r="F877" s="41">
        <v>1625</v>
      </c>
      <c r="G877" s="42">
        <v>52</v>
      </c>
      <c r="H877" s="43">
        <v>42</v>
      </c>
      <c r="I877" s="44">
        <v>1635</v>
      </c>
      <c r="J877" s="45">
        <v>80.8</v>
      </c>
    </row>
    <row r="878" spans="1:10" ht="15.75" customHeight="1">
      <c r="A878" s="36" t="s">
        <v>8</v>
      </c>
      <c r="B878" s="37">
        <v>46102</v>
      </c>
      <c r="C878" s="38" t="s">
        <v>48</v>
      </c>
      <c r="D878" s="39" t="s">
        <v>49</v>
      </c>
      <c r="E878" s="40" t="s">
        <v>35</v>
      </c>
      <c r="F878" s="41">
        <v>1736</v>
      </c>
      <c r="G878" s="42">
        <v>63</v>
      </c>
      <c r="H878" s="43">
        <v>52</v>
      </c>
      <c r="I878" s="44">
        <v>1747</v>
      </c>
      <c r="J878" s="45">
        <v>82.5</v>
      </c>
    </row>
    <row r="879" spans="1:10" ht="15.75" customHeight="1">
      <c r="A879" s="36" t="s">
        <v>8</v>
      </c>
      <c r="B879" s="37">
        <v>46102</v>
      </c>
      <c r="C879" s="38" t="s">
        <v>48</v>
      </c>
      <c r="D879" s="39" t="s">
        <v>49</v>
      </c>
      <c r="E879" s="40" t="s">
        <v>29</v>
      </c>
      <c r="F879" s="41">
        <v>2019</v>
      </c>
      <c r="G879" s="42">
        <v>45</v>
      </c>
      <c r="H879" s="43">
        <v>29</v>
      </c>
      <c r="I879" s="44">
        <v>2035</v>
      </c>
      <c r="J879" s="46">
        <v>64.400000000000006</v>
      </c>
    </row>
    <row r="880" spans="1:10" ht="15.75" customHeight="1">
      <c r="A880" s="36" t="s">
        <v>8</v>
      </c>
      <c r="B880" s="37">
        <v>46102</v>
      </c>
      <c r="C880" s="38" t="s">
        <v>48</v>
      </c>
      <c r="D880" s="39" t="s">
        <v>49</v>
      </c>
      <c r="E880" s="40" t="s">
        <v>31</v>
      </c>
      <c r="F880" s="41">
        <v>2431</v>
      </c>
      <c r="G880" s="42">
        <v>63</v>
      </c>
      <c r="H880" s="43">
        <v>48</v>
      </c>
      <c r="I880" s="44">
        <v>2446</v>
      </c>
      <c r="J880" s="45">
        <v>76.2</v>
      </c>
    </row>
    <row r="881" spans="1:10" ht="15.75" customHeight="1">
      <c r="A881" s="36" t="s">
        <v>8</v>
      </c>
      <c r="B881" s="37">
        <v>46102</v>
      </c>
      <c r="C881" s="38" t="s">
        <v>48</v>
      </c>
      <c r="D881" s="39" t="s">
        <v>49</v>
      </c>
      <c r="E881" s="40" t="s">
        <v>33</v>
      </c>
      <c r="F881" s="41">
        <v>974</v>
      </c>
      <c r="G881" s="42">
        <v>41</v>
      </c>
      <c r="H881" s="43">
        <v>39</v>
      </c>
      <c r="I881" s="44">
        <v>976</v>
      </c>
      <c r="J881" s="45">
        <v>95.1</v>
      </c>
    </row>
    <row r="882" spans="1:10" ht="15.75" customHeight="1">
      <c r="A882" s="36" t="s">
        <v>8</v>
      </c>
      <c r="B882" s="37">
        <v>46102</v>
      </c>
      <c r="C882" s="38" t="s">
        <v>48</v>
      </c>
      <c r="D882" s="39" t="s">
        <v>49</v>
      </c>
      <c r="E882" s="40" t="s">
        <v>36</v>
      </c>
      <c r="F882" s="41">
        <v>3078</v>
      </c>
      <c r="G882" s="42">
        <v>56</v>
      </c>
      <c r="H882" s="43">
        <v>41</v>
      </c>
      <c r="I882" s="44">
        <v>3093</v>
      </c>
      <c r="J882" s="46">
        <v>73.2</v>
      </c>
    </row>
    <row r="883" spans="1:10" ht="15.75" customHeight="1">
      <c r="A883" s="36" t="s">
        <v>8</v>
      </c>
      <c r="B883" s="37">
        <v>46103</v>
      </c>
      <c r="C883" s="38" t="s">
        <v>50</v>
      </c>
      <c r="D883" s="39" t="s">
        <v>49</v>
      </c>
      <c r="E883" s="40" t="s">
        <v>26</v>
      </c>
      <c r="F883" s="41">
        <v>2525</v>
      </c>
      <c r="G883" s="42">
        <v>35</v>
      </c>
      <c r="H883" s="43">
        <v>22</v>
      </c>
      <c r="I883" s="44">
        <v>2538</v>
      </c>
      <c r="J883" s="46">
        <v>62.9</v>
      </c>
    </row>
    <row r="884" spans="1:10" ht="15.75" customHeight="1">
      <c r="A884" s="36" t="s">
        <v>8</v>
      </c>
      <c r="B884" s="37">
        <v>46103</v>
      </c>
      <c r="C884" s="38" t="s">
        <v>50</v>
      </c>
      <c r="D884" s="39" t="s">
        <v>49</v>
      </c>
      <c r="E884" s="40" t="s">
        <v>27</v>
      </c>
      <c r="F884" s="41">
        <v>1780</v>
      </c>
      <c r="G884" s="42">
        <v>35</v>
      </c>
      <c r="H884" s="43">
        <v>28</v>
      </c>
      <c r="I884" s="44">
        <v>1787</v>
      </c>
      <c r="J884" s="45">
        <v>80</v>
      </c>
    </row>
    <row r="885" spans="1:10" ht="15.75" customHeight="1">
      <c r="A885" s="36" t="s">
        <v>8</v>
      </c>
      <c r="B885" s="37">
        <v>46103</v>
      </c>
      <c r="C885" s="38" t="s">
        <v>50</v>
      </c>
      <c r="D885" s="39" t="s">
        <v>49</v>
      </c>
      <c r="E885" s="40" t="s">
        <v>30</v>
      </c>
      <c r="F885" s="41">
        <v>2855</v>
      </c>
      <c r="G885" s="42">
        <v>51</v>
      </c>
      <c r="H885" s="43">
        <v>33</v>
      </c>
      <c r="I885" s="44">
        <v>2873</v>
      </c>
      <c r="J885" s="46">
        <v>64.7</v>
      </c>
    </row>
    <row r="886" spans="1:10" ht="15.75" customHeight="1">
      <c r="A886" s="36" t="s">
        <v>8</v>
      </c>
      <c r="B886" s="37">
        <v>46103</v>
      </c>
      <c r="C886" s="38" t="s">
        <v>50</v>
      </c>
      <c r="D886" s="39" t="s">
        <v>49</v>
      </c>
      <c r="E886" s="40" t="s">
        <v>32</v>
      </c>
      <c r="F886" s="41">
        <v>1386</v>
      </c>
      <c r="G886" s="42">
        <v>58</v>
      </c>
      <c r="H886" s="43">
        <v>44</v>
      </c>
      <c r="I886" s="44">
        <v>1400</v>
      </c>
      <c r="J886" s="45">
        <v>75.900000000000006</v>
      </c>
    </row>
    <row r="887" spans="1:10" ht="15.75" customHeight="1">
      <c r="A887" s="36" t="s">
        <v>8</v>
      </c>
      <c r="B887" s="37">
        <v>46103</v>
      </c>
      <c r="C887" s="38" t="s">
        <v>50</v>
      </c>
      <c r="D887" s="39" t="s">
        <v>49</v>
      </c>
      <c r="E887" s="40" t="s">
        <v>34</v>
      </c>
      <c r="F887" s="41">
        <v>2826</v>
      </c>
      <c r="G887" s="42">
        <v>49</v>
      </c>
      <c r="H887" s="43">
        <v>39</v>
      </c>
      <c r="I887" s="44">
        <v>2836</v>
      </c>
      <c r="J887" s="45">
        <v>79.599999999999994</v>
      </c>
    </row>
    <row r="888" spans="1:10" ht="15.75" customHeight="1">
      <c r="A888" s="36" t="s">
        <v>8</v>
      </c>
      <c r="B888" s="37">
        <v>46103</v>
      </c>
      <c r="C888" s="38" t="s">
        <v>50</v>
      </c>
      <c r="D888" s="39" t="s">
        <v>49</v>
      </c>
      <c r="E888" s="40" t="s">
        <v>25</v>
      </c>
      <c r="F888" s="41">
        <v>1635</v>
      </c>
      <c r="G888" s="42">
        <v>52</v>
      </c>
      <c r="H888" s="43">
        <v>35</v>
      </c>
      <c r="I888" s="44">
        <v>1652</v>
      </c>
      <c r="J888" s="46">
        <v>67.3</v>
      </c>
    </row>
    <row r="889" spans="1:10" ht="15.75" customHeight="1">
      <c r="A889" s="36" t="s">
        <v>8</v>
      </c>
      <c r="B889" s="37">
        <v>46103</v>
      </c>
      <c r="C889" s="38" t="s">
        <v>50</v>
      </c>
      <c r="D889" s="39" t="s">
        <v>49</v>
      </c>
      <c r="E889" s="40" t="s">
        <v>35</v>
      </c>
      <c r="F889" s="41">
        <v>1747</v>
      </c>
      <c r="G889" s="42">
        <v>43</v>
      </c>
      <c r="H889" s="43">
        <v>37</v>
      </c>
      <c r="I889" s="44">
        <v>1753</v>
      </c>
      <c r="J889" s="45">
        <v>86</v>
      </c>
    </row>
    <row r="890" spans="1:10" ht="15.75" customHeight="1">
      <c r="A890" s="36" t="s">
        <v>8</v>
      </c>
      <c r="B890" s="37">
        <v>46103</v>
      </c>
      <c r="C890" s="38" t="s">
        <v>50</v>
      </c>
      <c r="D890" s="39" t="s">
        <v>49</v>
      </c>
      <c r="E890" s="40" t="s">
        <v>29</v>
      </c>
      <c r="F890" s="41">
        <v>2035</v>
      </c>
      <c r="G890" s="42">
        <v>31</v>
      </c>
      <c r="H890" s="43">
        <v>23</v>
      </c>
      <c r="I890" s="44">
        <v>2043</v>
      </c>
      <c r="J890" s="46">
        <v>74.2</v>
      </c>
    </row>
    <row r="891" spans="1:10" ht="15.75" customHeight="1">
      <c r="A891" s="36" t="s">
        <v>8</v>
      </c>
      <c r="B891" s="37">
        <v>46103</v>
      </c>
      <c r="C891" s="38" t="s">
        <v>50</v>
      </c>
      <c r="D891" s="39" t="s">
        <v>49</v>
      </c>
      <c r="E891" s="40" t="s">
        <v>31</v>
      </c>
      <c r="F891" s="41">
        <v>2446</v>
      </c>
      <c r="G891" s="42">
        <v>54</v>
      </c>
      <c r="H891" s="43">
        <v>35</v>
      </c>
      <c r="I891" s="44">
        <v>2465</v>
      </c>
      <c r="J891" s="46">
        <v>64.8</v>
      </c>
    </row>
    <row r="892" spans="1:10" ht="15.75" customHeight="1">
      <c r="A892" s="36" t="s">
        <v>8</v>
      </c>
      <c r="B892" s="37">
        <v>46103</v>
      </c>
      <c r="C892" s="38" t="s">
        <v>50</v>
      </c>
      <c r="D892" s="39" t="s">
        <v>49</v>
      </c>
      <c r="E892" s="40" t="s">
        <v>33</v>
      </c>
      <c r="F892" s="41">
        <v>976</v>
      </c>
      <c r="G892" s="42">
        <v>48</v>
      </c>
      <c r="H892" s="43">
        <v>38</v>
      </c>
      <c r="I892" s="44">
        <v>986</v>
      </c>
      <c r="J892" s="45">
        <v>79.2</v>
      </c>
    </row>
    <row r="893" spans="1:10" ht="15.75" customHeight="1">
      <c r="A893" s="36" t="s">
        <v>8</v>
      </c>
      <c r="B893" s="37">
        <v>46103</v>
      </c>
      <c r="C893" s="38" t="s">
        <v>50</v>
      </c>
      <c r="D893" s="39" t="s">
        <v>49</v>
      </c>
      <c r="E893" s="40" t="s">
        <v>36</v>
      </c>
      <c r="F893" s="41">
        <v>3093</v>
      </c>
      <c r="G893" s="42">
        <v>61</v>
      </c>
      <c r="H893" s="43">
        <v>44</v>
      </c>
      <c r="I893" s="44">
        <v>3110</v>
      </c>
      <c r="J893" s="46">
        <v>72.099999999999994</v>
      </c>
    </row>
    <row r="894" spans="1:10" ht="15.75" customHeight="1">
      <c r="A894" s="24" t="s">
        <v>8</v>
      </c>
      <c r="B894" s="25">
        <v>46104</v>
      </c>
      <c r="C894" s="26" t="s">
        <v>51</v>
      </c>
      <c r="D894" s="27" t="s">
        <v>46</v>
      </c>
      <c r="E894" s="28" t="s">
        <v>26</v>
      </c>
      <c r="F894" s="29">
        <v>2538</v>
      </c>
      <c r="G894" s="30">
        <v>101</v>
      </c>
      <c r="H894" s="31">
        <v>65</v>
      </c>
      <c r="I894" s="32">
        <v>2574</v>
      </c>
      <c r="J894" s="34">
        <v>64.400000000000006</v>
      </c>
    </row>
    <row r="895" spans="1:10" ht="15.75" customHeight="1">
      <c r="A895" s="14" t="s">
        <v>8</v>
      </c>
      <c r="B895" s="15">
        <v>46104</v>
      </c>
      <c r="C895" s="16" t="s">
        <v>51</v>
      </c>
      <c r="D895" s="17" t="s">
        <v>46</v>
      </c>
      <c r="E895" s="18" t="s">
        <v>27</v>
      </c>
      <c r="F895" s="19">
        <v>1787</v>
      </c>
      <c r="G895" s="20">
        <v>87</v>
      </c>
      <c r="H895" s="21">
        <v>63</v>
      </c>
      <c r="I895" s="22">
        <v>1811</v>
      </c>
      <c r="J895" s="23">
        <v>72.400000000000006</v>
      </c>
    </row>
    <row r="896" spans="1:10" ht="15.75" customHeight="1">
      <c r="A896" s="24" t="s">
        <v>8</v>
      </c>
      <c r="B896" s="25">
        <v>46104</v>
      </c>
      <c r="C896" s="26" t="s">
        <v>51</v>
      </c>
      <c r="D896" s="27" t="s">
        <v>46</v>
      </c>
      <c r="E896" s="28" t="s">
        <v>30</v>
      </c>
      <c r="F896" s="29">
        <v>2873</v>
      </c>
      <c r="G896" s="30">
        <v>114</v>
      </c>
      <c r="H896" s="31">
        <v>78</v>
      </c>
      <c r="I896" s="32">
        <v>2909</v>
      </c>
      <c r="J896" s="34">
        <v>68.400000000000006</v>
      </c>
    </row>
    <row r="897" spans="1:10" ht="15.75" customHeight="1">
      <c r="A897" s="14" t="s">
        <v>8</v>
      </c>
      <c r="B897" s="15">
        <v>46104</v>
      </c>
      <c r="C897" s="16" t="s">
        <v>51</v>
      </c>
      <c r="D897" s="17" t="s">
        <v>46</v>
      </c>
      <c r="E897" s="18" t="s">
        <v>32</v>
      </c>
      <c r="F897" s="19">
        <v>1400</v>
      </c>
      <c r="G897" s="20">
        <v>64</v>
      </c>
      <c r="H897" s="21">
        <v>52</v>
      </c>
      <c r="I897" s="22">
        <v>1412</v>
      </c>
      <c r="J897" s="35">
        <v>81.2</v>
      </c>
    </row>
    <row r="898" spans="1:10" ht="15.75" customHeight="1">
      <c r="A898" s="24" t="s">
        <v>8</v>
      </c>
      <c r="B898" s="25">
        <v>46104</v>
      </c>
      <c r="C898" s="26" t="s">
        <v>51</v>
      </c>
      <c r="D898" s="27" t="s">
        <v>46</v>
      </c>
      <c r="E898" s="28" t="s">
        <v>34</v>
      </c>
      <c r="F898" s="29">
        <v>2836</v>
      </c>
      <c r="G898" s="30">
        <v>163</v>
      </c>
      <c r="H898" s="31">
        <v>106</v>
      </c>
      <c r="I898" s="32">
        <v>2893</v>
      </c>
      <c r="J898" s="34">
        <v>65</v>
      </c>
    </row>
    <row r="899" spans="1:10" ht="15.75" customHeight="1">
      <c r="A899" s="14" t="s">
        <v>8</v>
      </c>
      <c r="B899" s="15">
        <v>46104</v>
      </c>
      <c r="C899" s="16" t="s">
        <v>51</v>
      </c>
      <c r="D899" s="17" t="s">
        <v>46</v>
      </c>
      <c r="E899" s="18" t="s">
        <v>25</v>
      </c>
      <c r="F899" s="19">
        <v>1652</v>
      </c>
      <c r="G899" s="20">
        <v>56</v>
      </c>
      <c r="H899" s="21">
        <v>41</v>
      </c>
      <c r="I899" s="22">
        <v>1667</v>
      </c>
      <c r="J899" s="23">
        <v>73.2</v>
      </c>
    </row>
    <row r="900" spans="1:10" ht="15.75" customHeight="1">
      <c r="A900" s="24" t="s">
        <v>8</v>
      </c>
      <c r="B900" s="25">
        <v>46104</v>
      </c>
      <c r="C900" s="26" t="s">
        <v>51</v>
      </c>
      <c r="D900" s="27" t="s">
        <v>46</v>
      </c>
      <c r="E900" s="28" t="s">
        <v>35</v>
      </c>
      <c r="F900" s="29">
        <v>1753</v>
      </c>
      <c r="G900" s="30">
        <v>117</v>
      </c>
      <c r="H900" s="31">
        <v>107</v>
      </c>
      <c r="I900" s="32">
        <v>1763</v>
      </c>
      <c r="J900" s="33">
        <v>91.5</v>
      </c>
    </row>
    <row r="901" spans="1:10" ht="15.75" customHeight="1">
      <c r="A901" s="14" t="s">
        <v>8</v>
      </c>
      <c r="B901" s="15">
        <v>46104</v>
      </c>
      <c r="C901" s="16" t="s">
        <v>51</v>
      </c>
      <c r="D901" s="17" t="s">
        <v>46</v>
      </c>
      <c r="E901" s="18" t="s">
        <v>29</v>
      </c>
      <c r="F901" s="19">
        <v>2043</v>
      </c>
      <c r="G901" s="20">
        <v>90</v>
      </c>
      <c r="H901" s="21">
        <v>73</v>
      </c>
      <c r="I901" s="22">
        <v>2060</v>
      </c>
      <c r="J901" s="35">
        <v>81.099999999999994</v>
      </c>
    </row>
    <row r="902" spans="1:10" ht="15.75" customHeight="1">
      <c r="A902" s="24" t="s">
        <v>8</v>
      </c>
      <c r="B902" s="25">
        <v>46104</v>
      </c>
      <c r="C902" s="26" t="s">
        <v>51</v>
      </c>
      <c r="D902" s="27" t="s">
        <v>46</v>
      </c>
      <c r="E902" s="28" t="s">
        <v>31</v>
      </c>
      <c r="F902" s="29">
        <v>2465</v>
      </c>
      <c r="G902" s="30">
        <v>140</v>
      </c>
      <c r="H902" s="31">
        <v>95</v>
      </c>
      <c r="I902" s="32">
        <v>2510</v>
      </c>
      <c r="J902" s="34">
        <v>67.900000000000006</v>
      </c>
    </row>
    <row r="903" spans="1:10" ht="15.75" customHeight="1">
      <c r="A903" s="14" t="s">
        <v>8</v>
      </c>
      <c r="B903" s="15">
        <v>46104</v>
      </c>
      <c r="C903" s="16" t="s">
        <v>51</v>
      </c>
      <c r="D903" s="17" t="s">
        <v>46</v>
      </c>
      <c r="E903" s="18" t="s">
        <v>33</v>
      </c>
      <c r="F903" s="19">
        <v>986</v>
      </c>
      <c r="G903" s="20">
        <v>105</v>
      </c>
      <c r="H903" s="21">
        <v>83</v>
      </c>
      <c r="I903" s="22">
        <v>1008</v>
      </c>
      <c r="J903" s="35">
        <v>79</v>
      </c>
    </row>
    <row r="904" spans="1:10" ht="15.75" customHeight="1">
      <c r="A904" s="24" t="s">
        <v>8</v>
      </c>
      <c r="B904" s="25">
        <v>46104</v>
      </c>
      <c r="C904" s="26" t="s">
        <v>51</v>
      </c>
      <c r="D904" s="27" t="s">
        <v>46</v>
      </c>
      <c r="E904" s="28" t="s">
        <v>36</v>
      </c>
      <c r="F904" s="29">
        <v>3110</v>
      </c>
      <c r="G904" s="30">
        <v>132</v>
      </c>
      <c r="H904" s="31">
        <v>83</v>
      </c>
      <c r="I904" s="32">
        <v>3159</v>
      </c>
      <c r="J904" s="34">
        <v>62.9</v>
      </c>
    </row>
    <row r="905" spans="1:10" ht="15.75" customHeight="1">
      <c r="A905" s="14" t="s">
        <v>8</v>
      </c>
      <c r="B905" s="15">
        <v>46105</v>
      </c>
      <c r="C905" s="16" t="s">
        <v>52</v>
      </c>
      <c r="D905" s="17" t="s">
        <v>46</v>
      </c>
      <c r="E905" s="18" t="s">
        <v>26</v>
      </c>
      <c r="F905" s="19">
        <v>2574</v>
      </c>
      <c r="G905" s="20">
        <v>128</v>
      </c>
      <c r="H905" s="21">
        <v>105</v>
      </c>
      <c r="I905" s="22">
        <v>2597</v>
      </c>
      <c r="J905" s="35">
        <v>82</v>
      </c>
    </row>
    <row r="906" spans="1:10" ht="15.75" customHeight="1">
      <c r="A906" s="24" t="s">
        <v>8</v>
      </c>
      <c r="B906" s="25">
        <v>46105</v>
      </c>
      <c r="C906" s="26" t="s">
        <v>52</v>
      </c>
      <c r="D906" s="27" t="s">
        <v>46</v>
      </c>
      <c r="E906" s="28" t="s">
        <v>27</v>
      </c>
      <c r="F906" s="29">
        <v>1811</v>
      </c>
      <c r="G906" s="30">
        <v>119</v>
      </c>
      <c r="H906" s="31">
        <v>96</v>
      </c>
      <c r="I906" s="32">
        <v>1834</v>
      </c>
      <c r="J906" s="33">
        <v>80.7</v>
      </c>
    </row>
    <row r="907" spans="1:10" ht="15.75" customHeight="1">
      <c r="A907" s="14" t="s">
        <v>8</v>
      </c>
      <c r="B907" s="15">
        <v>46105</v>
      </c>
      <c r="C907" s="16" t="s">
        <v>52</v>
      </c>
      <c r="D907" s="17" t="s">
        <v>46</v>
      </c>
      <c r="E907" s="18" t="s">
        <v>30</v>
      </c>
      <c r="F907" s="19">
        <v>2909</v>
      </c>
      <c r="G907" s="20">
        <v>109</v>
      </c>
      <c r="H907" s="21">
        <v>78</v>
      </c>
      <c r="I907" s="22">
        <v>2940</v>
      </c>
      <c r="J907" s="23">
        <v>71.599999999999994</v>
      </c>
    </row>
    <row r="908" spans="1:10" ht="15.75" customHeight="1">
      <c r="A908" s="24" t="s">
        <v>8</v>
      </c>
      <c r="B908" s="25">
        <v>46105</v>
      </c>
      <c r="C908" s="26" t="s">
        <v>52</v>
      </c>
      <c r="D908" s="27" t="s">
        <v>46</v>
      </c>
      <c r="E908" s="28" t="s">
        <v>32</v>
      </c>
      <c r="F908" s="29">
        <v>1412</v>
      </c>
      <c r="G908" s="30">
        <v>78</v>
      </c>
      <c r="H908" s="31">
        <v>69</v>
      </c>
      <c r="I908" s="32">
        <v>1421</v>
      </c>
      <c r="J908" s="33">
        <v>88.5</v>
      </c>
    </row>
    <row r="909" spans="1:10" ht="15.75" customHeight="1">
      <c r="A909" s="14" t="s">
        <v>8</v>
      </c>
      <c r="B909" s="15">
        <v>46105</v>
      </c>
      <c r="C909" s="16" t="s">
        <v>52</v>
      </c>
      <c r="D909" s="17" t="s">
        <v>46</v>
      </c>
      <c r="E909" s="18" t="s">
        <v>34</v>
      </c>
      <c r="F909" s="19">
        <v>2893</v>
      </c>
      <c r="G909" s="20">
        <v>151</v>
      </c>
      <c r="H909" s="21">
        <v>112</v>
      </c>
      <c r="I909" s="22">
        <v>2932</v>
      </c>
      <c r="J909" s="23">
        <v>74.2</v>
      </c>
    </row>
    <row r="910" spans="1:10" ht="15.75" customHeight="1">
      <c r="A910" s="24" t="s">
        <v>8</v>
      </c>
      <c r="B910" s="25">
        <v>46105</v>
      </c>
      <c r="C910" s="26" t="s">
        <v>52</v>
      </c>
      <c r="D910" s="27" t="s">
        <v>46</v>
      </c>
      <c r="E910" s="28" t="s">
        <v>25</v>
      </c>
      <c r="F910" s="29">
        <v>1667</v>
      </c>
      <c r="G910" s="30">
        <v>71</v>
      </c>
      <c r="H910" s="31">
        <v>57</v>
      </c>
      <c r="I910" s="32">
        <v>1681</v>
      </c>
      <c r="J910" s="33">
        <v>80.3</v>
      </c>
    </row>
    <row r="911" spans="1:10" ht="15.75" customHeight="1">
      <c r="A911" s="14" t="s">
        <v>8</v>
      </c>
      <c r="B911" s="15">
        <v>46105</v>
      </c>
      <c r="C911" s="16" t="s">
        <v>52</v>
      </c>
      <c r="D911" s="17" t="s">
        <v>46</v>
      </c>
      <c r="E911" s="18" t="s">
        <v>35</v>
      </c>
      <c r="F911" s="19">
        <v>1763</v>
      </c>
      <c r="G911" s="20">
        <v>101</v>
      </c>
      <c r="H911" s="21">
        <v>87</v>
      </c>
      <c r="I911" s="22">
        <v>1777</v>
      </c>
      <c r="J911" s="35">
        <v>86.1</v>
      </c>
    </row>
    <row r="912" spans="1:10" ht="15.75" customHeight="1">
      <c r="A912" s="24" t="s">
        <v>8</v>
      </c>
      <c r="B912" s="25">
        <v>46105</v>
      </c>
      <c r="C912" s="26" t="s">
        <v>52</v>
      </c>
      <c r="D912" s="27" t="s">
        <v>46</v>
      </c>
      <c r="E912" s="28" t="s">
        <v>29</v>
      </c>
      <c r="F912" s="29">
        <v>2060</v>
      </c>
      <c r="G912" s="30">
        <v>76</v>
      </c>
      <c r="H912" s="31">
        <v>64</v>
      </c>
      <c r="I912" s="32">
        <v>2072</v>
      </c>
      <c r="J912" s="33">
        <v>84.2</v>
      </c>
    </row>
    <row r="913" spans="1:10" ht="15.75" customHeight="1">
      <c r="A913" s="14" t="s">
        <v>8</v>
      </c>
      <c r="B913" s="15">
        <v>46105</v>
      </c>
      <c r="C913" s="16" t="s">
        <v>52</v>
      </c>
      <c r="D913" s="17" t="s">
        <v>46</v>
      </c>
      <c r="E913" s="18" t="s">
        <v>31</v>
      </c>
      <c r="F913" s="19">
        <v>2510</v>
      </c>
      <c r="G913" s="20">
        <v>118</v>
      </c>
      <c r="H913" s="21">
        <v>87</v>
      </c>
      <c r="I913" s="22">
        <v>2541</v>
      </c>
      <c r="J913" s="23">
        <v>73.7</v>
      </c>
    </row>
    <row r="914" spans="1:10" ht="15.75" customHeight="1">
      <c r="A914" s="24" t="s">
        <v>8</v>
      </c>
      <c r="B914" s="25">
        <v>46105</v>
      </c>
      <c r="C914" s="26" t="s">
        <v>52</v>
      </c>
      <c r="D914" s="27" t="s">
        <v>46</v>
      </c>
      <c r="E914" s="28" t="s">
        <v>33</v>
      </c>
      <c r="F914" s="29">
        <v>1008</v>
      </c>
      <c r="G914" s="30">
        <v>103</v>
      </c>
      <c r="H914" s="31">
        <v>90</v>
      </c>
      <c r="I914" s="32">
        <v>1021</v>
      </c>
      <c r="J914" s="33">
        <v>87.4</v>
      </c>
    </row>
    <row r="915" spans="1:10" ht="15.75" customHeight="1">
      <c r="A915" s="14" t="s">
        <v>8</v>
      </c>
      <c r="B915" s="15">
        <v>46105</v>
      </c>
      <c r="C915" s="16" t="s">
        <v>52</v>
      </c>
      <c r="D915" s="17" t="s">
        <v>46</v>
      </c>
      <c r="E915" s="18" t="s">
        <v>36</v>
      </c>
      <c r="F915" s="19">
        <v>3159</v>
      </c>
      <c r="G915" s="20">
        <v>137</v>
      </c>
      <c r="H915" s="21">
        <v>84</v>
      </c>
      <c r="I915" s="22">
        <v>3212</v>
      </c>
      <c r="J915" s="23">
        <v>61.3</v>
      </c>
    </row>
    <row r="916" spans="1:10" ht="15.75" customHeight="1">
      <c r="A916" s="24" t="s">
        <v>8</v>
      </c>
      <c r="B916" s="25">
        <v>46106</v>
      </c>
      <c r="C916" s="26" t="s">
        <v>53</v>
      </c>
      <c r="D916" s="27" t="s">
        <v>46</v>
      </c>
      <c r="E916" s="28" t="s">
        <v>26</v>
      </c>
      <c r="F916" s="29">
        <v>2597</v>
      </c>
      <c r="G916" s="30">
        <v>94</v>
      </c>
      <c r="H916" s="31">
        <v>73</v>
      </c>
      <c r="I916" s="32">
        <v>2618</v>
      </c>
      <c r="J916" s="33">
        <v>77.7</v>
      </c>
    </row>
    <row r="917" spans="1:10" ht="15.75" customHeight="1">
      <c r="A917" s="14" t="s">
        <v>8</v>
      </c>
      <c r="B917" s="15">
        <v>46106</v>
      </c>
      <c r="C917" s="16" t="s">
        <v>53</v>
      </c>
      <c r="D917" s="17" t="s">
        <v>46</v>
      </c>
      <c r="E917" s="18" t="s">
        <v>27</v>
      </c>
      <c r="F917" s="19">
        <v>1834</v>
      </c>
      <c r="G917" s="20">
        <v>125</v>
      </c>
      <c r="H917" s="21">
        <v>88</v>
      </c>
      <c r="I917" s="22">
        <v>1871</v>
      </c>
      <c r="J917" s="23">
        <v>70.400000000000006</v>
      </c>
    </row>
    <row r="918" spans="1:10" ht="15.75" customHeight="1">
      <c r="A918" s="24" t="s">
        <v>8</v>
      </c>
      <c r="B918" s="25">
        <v>46106</v>
      </c>
      <c r="C918" s="26" t="s">
        <v>53</v>
      </c>
      <c r="D918" s="27" t="s">
        <v>46</v>
      </c>
      <c r="E918" s="28" t="s">
        <v>30</v>
      </c>
      <c r="F918" s="29">
        <v>2940</v>
      </c>
      <c r="G918" s="30">
        <v>107</v>
      </c>
      <c r="H918" s="31">
        <v>81</v>
      </c>
      <c r="I918" s="32">
        <v>2966</v>
      </c>
      <c r="J918" s="33">
        <v>75.7</v>
      </c>
    </row>
    <row r="919" spans="1:10" ht="15.75" customHeight="1">
      <c r="A919" s="14" t="s">
        <v>8</v>
      </c>
      <c r="B919" s="15">
        <v>46106</v>
      </c>
      <c r="C919" s="16" t="s">
        <v>53</v>
      </c>
      <c r="D919" s="17" t="s">
        <v>46</v>
      </c>
      <c r="E919" s="18" t="s">
        <v>32</v>
      </c>
      <c r="F919" s="19">
        <v>1421</v>
      </c>
      <c r="G919" s="20">
        <v>75</v>
      </c>
      <c r="H919" s="21">
        <v>61</v>
      </c>
      <c r="I919" s="22">
        <v>1435</v>
      </c>
      <c r="J919" s="35">
        <v>81.3</v>
      </c>
    </row>
    <row r="920" spans="1:10" ht="15.75" customHeight="1">
      <c r="A920" s="24" t="s">
        <v>8</v>
      </c>
      <c r="B920" s="25">
        <v>46106</v>
      </c>
      <c r="C920" s="26" t="s">
        <v>53</v>
      </c>
      <c r="D920" s="27" t="s">
        <v>46</v>
      </c>
      <c r="E920" s="28" t="s">
        <v>34</v>
      </c>
      <c r="F920" s="29">
        <v>2932</v>
      </c>
      <c r="G920" s="30">
        <v>161</v>
      </c>
      <c r="H920" s="31">
        <v>120</v>
      </c>
      <c r="I920" s="32">
        <v>2973</v>
      </c>
      <c r="J920" s="34">
        <v>74.5</v>
      </c>
    </row>
    <row r="921" spans="1:10" ht="15.75" customHeight="1">
      <c r="A921" s="14" t="s">
        <v>8</v>
      </c>
      <c r="B921" s="15">
        <v>46106</v>
      </c>
      <c r="C921" s="16" t="s">
        <v>53</v>
      </c>
      <c r="D921" s="17" t="s">
        <v>46</v>
      </c>
      <c r="E921" s="18" t="s">
        <v>25</v>
      </c>
      <c r="F921" s="19">
        <v>1681</v>
      </c>
      <c r="G921" s="20">
        <v>87</v>
      </c>
      <c r="H921" s="21">
        <v>66</v>
      </c>
      <c r="I921" s="22">
        <v>1702</v>
      </c>
      <c r="J921" s="35">
        <v>75.900000000000006</v>
      </c>
    </row>
    <row r="922" spans="1:10" ht="15.75" customHeight="1">
      <c r="A922" s="24" t="s">
        <v>8</v>
      </c>
      <c r="B922" s="25">
        <v>46106</v>
      </c>
      <c r="C922" s="26" t="s">
        <v>53</v>
      </c>
      <c r="D922" s="27" t="s">
        <v>46</v>
      </c>
      <c r="E922" s="28" t="s">
        <v>35</v>
      </c>
      <c r="F922" s="29">
        <v>1777</v>
      </c>
      <c r="G922" s="30">
        <v>136</v>
      </c>
      <c r="H922" s="31">
        <v>107</v>
      </c>
      <c r="I922" s="32">
        <v>1806</v>
      </c>
      <c r="J922" s="33">
        <v>78.7</v>
      </c>
    </row>
    <row r="923" spans="1:10" ht="15.75" customHeight="1">
      <c r="A923" s="14" t="s">
        <v>8</v>
      </c>
      <c r="B923" s="15">
        <v>46106</v>
      </c>
      <c r="C923" s="16" t="s">
        <v>53</v>
      </c>
      <c r="D923" s="17" t="s">
        <v>46</v>
      </c>
      <c r="E923" s="18" t="s">
        <v>29</v>
      </c>
      <c r="F923" s="19">
        <v>2072</v>
      </c>
      <c r="G923" s="20">
        <v>81</v>
      </c>
      <c r="H923" s="21">
        <v>68</v>
      </c>
      <c r="I923" s="22">
        <v>2085</v>
      </c>
      <c r="J923" s="35">
        <v>84</v>
      </c>
    </row>
    <row r="924" spans="1:10" ht="15.75" customHeight="1">
      <c r="A924" s="24" t="s">
        <v>8</v>
      </c>
      <c r="B924" s="25">
        <v>46106</v>
      </c>
      <c r="C924" s="26" t="s">
        <v>53</v>
      </c>
      <c r="D924" s="27" t="s">
        <v>46</v>
      </c>
      <c r="E924" s="28" t="s">
        <v>31</v>
      </c>
      <c r="F924" s="29">
        <v>2541</v>
      </c>
      <c r="G924" s="30">
        <v>120</v>
      </c>
      <c r="H924" s="31">
        <v>83</v>
      </c>
      <c r="I924" s="32">
        <v>2578</v>
      </c>
      <c r="J924" s="34">
        <v>69.2</v>
      </c>
    </row>
    <row r="925" spans="1:10" ht="15.75" customHeight="1">
      <c r="A925" s="14" t="s">
        <v>8</v>
      </c>
      <c r="B925" s="15">
        <v>46106</v>
      </c>
      <c r="C925" s="16" t="s">
        <v>53</v>
      </c>
      <c r="D925" s="17" t="s">
        <v>46</v>
      </c>
      <c r="E925" s="18" t="s">
        <v>33</v>
      </c>
      <c r="F925" s="19">
        <v>1021</v>
      </c>
      <c r="G925" s="20">
        <v>104</v>
      </c>
      <c r="H925" s="21">
        <v>95</v>
      </c>
      <c r="I925" s="22">
        <v>1030</v>
      </c>
      <c r="J925" s="35">
        <v>91.3</v>
      </c>
    </row>
    <row r="926" spans="1:10" ht="15.75" customHeight="1">
      <c r="A926" s="24" t="s">
        <v>8</v>
      </c>
      <c r="B926" s="25">
        <v>46106</v>
      </c>
      <c r="C926" s="26" t="s">
        <v>53</v>
      </c>
      <c r="D926" s="27" t="s">
        <v>46</v>
      </c>
      <c r="E926" s="28" t="s">
        <v>36</v>
      </c>
      <c r="F926" s="29">
        <v>3212</v>
      </c>
      <c r="G926" s="30">
        <v>138</v>
      </c>
      <c r="H926" s="31">
        <v>99</v>
      </c>
      <c r="I926" s="32">
        <v>3251</v>
      </c>
      <c r="J926" s="34">
        <v>71.7</v>
      </c>
    </row>
    <row r="927" spans="1:10" ht="15.75" customHeight="1">
      <c r="A927" s="14" t="s">
        <v>8</v>
      </c>
      <c r="B927" s="15">
        <v>46107</v>
      </c>
      <c r="C927" s="16" t="s">
        <v>45</v>
      </c>
      <c r="D927" s="17" t="s">
        <v>46</v>
      </c>
      <c r="E927" s="18" t="s">
        <v>26</v>
      </c>
      <c r="F927" s="19">
        <v>2618</v>
      </c>
      <c r="G927" s="20">
        <v>86</v>
      </c>
      <c r="H927" s="21">
        <v>73</v>
      </c>
      <c r="I927" s="22">
        <v>2631</v>
      </c>
      <c r="J927" s="35">
        <v>84.9</v>
      </c>
    </row>
    <row r="928" spans="1:10" ht="15.75" customHeight="1">
      <c r="A928" s="24" t="s">
        <v>8</v>
      </c>
      <c r="B928" s="25">
        <v>46107</v>
      </c>
      <c r="C928" s="26" t="s">
        <v>45</v>
      </c>
      <c r="D928" s="27" t="s">
        <v>46</v>
      </c>
      <c r="E928" s="28" t="s">
        <v>27</v>
      </c>
      <c r="F928" s="29">
        <v>1871</v>
      </c>
      <c r="G928" s="30">
        <v>118</v>
      </c>
      <c r="H928" s="31">
        <v>87</v>
      </c>
      <c r="I928" s="32">
        <v>1902</v>
      </c>
      <c r="J928" s="34">
        <v>73.7</v>
      </c>
    </row>
    <row r="929" spans="1:10" ht="15.75" customHeight="1">
      <c r="A929" s="14" t="s">
        <v>8</v>
      </c>
      <c r="B929" s="15">
        <v>46107</v>
      </c>
      <c r="C929" s="16" t="s">
        <v>45</v>
      </c>
      <c r="D929" s="17" t="s">
        <v>46</v>
      </c>
      <c r="E929" s="18" t="s">
        <v>30</v>
      </c>
      <c r="F929" s="19">
        <v>2966</v>
      </c>
      <c r="G929" s="20">
        <v>119</v>
      </c>
      <c r="H929" s="21">
        <v>78</v>
      </c>
      <c r="I929" s="22">
        <v>3007</v>
      </c>
      <c r="J929" s="23">
        <v>65.5</v>
      </c>
    </row>
    <row r="930" spans="1:10" ht="15.75" customHeight="1">
      <c r="A930" s="24" t="s">
        <v>8</v>
      </c>
      <c r="B930" s="25">
        <v>46107</v>
      </c>
      <c r="C930" s="26" t="s">
        <v>45</v>
      </c>
      <c r="D930" s="27" t="s">
        <v>46</v>
      </c>
      <c r="E930" s="28" t="s">
        <v>32</v>
      </c>
      <c r="F930" s="29">
        <v>1435</v>
      </c>
      <c r="G930" s="30">
        <v>106</v>
      </c>
      <c r="H930" s="31">
        <v>92</v>
      </c>
      <c r="I930" s="32">
        <v>1449</v>
      </c>
      <c r="J930" s="33">
        <v>86.8</v>
      </c>
    </row>
    <row r="931" spans="1:10" ht="15.75" customHeight="1">
      <c r="A931" s="14" t="s">
        <v>8</v>
      </c>
      <c r="B931" s="15">
        <v>46107</v>
      </c>
      <c r="C931" s="16" t="s">
        <v>45</v>
      </c>
      <c r="D931" s="17" t="s">
        <v>46</v>
      </c>
      <c r="E931" s="18" t="s">
        <v>34</v>
      </c>
      <c r="F931" s="19">
        <v>2973</v>
      </c>
      <c r="G931" s="20">
        <v>109</v>
      </c>
      <c r="H931" s="21">
        <v>89</v>
      </c>
      <c r="I931" s="22">
        <v>2993</v>
      </c>
      <c r="J931" s="35">
        <v>81.7</v>
      </c>
    </row>
    <row r="932" spans="1:10" ht="15.75" customHeight="1">
      <c r="A932" s="24" t="s">
        <v>8</v>
      </c>
      <c r="B932" s="25">
        <v>46107</v>
      </c>
      <c r="C932" s="26" t="s">
        <v>45</v>
      </c>
      <c r="D932" s="27" t="s">
        <v>46</v>
      </c>
      <c r="E932" s="28" t="s">
        <v>25</v>
      </c>
      <c r="F932" s="29">
        <v>1702</v>
      </c>
      <c r="G932" s="30">
        <v>80</v>
      </c>
      <c r="H932" s="31">
        <v>54</v>
      </c>
      <c r="I932" s="32">
        <v>1728</v>
      </c>
      <c r="J932" s="34">
        <v>67.5</v>
      </c>
    </row>
    <row r="933" spans="1:10" ht="15.75" customHeight="1">
      <c r="A933" s="14" t="s">
        <v>8</v>
      </c>
      <c r="B933" s="15">
        <v>46107</v>
      </c>
      <c r="C933" s="16" t="s">
        <v>45</v>
      </c>
      <c r="D933" s="17" t="s">
        <v>46</v>
      </c>
      <c r="E933" s="18" t="s">
        <v>35</v>
      </c>
      <c r="F933" s="19">
        <v>1806</v>
      </c>
      <c r="G933" s="20">
        <v>132</v>
      </c>
      <c r="H933" s="21">
        <v>118</v>
      </c>
      <c r="I933" s="22">
        <v>1820</v>
      </c>
      <c r="J933" s="35">
        <v>89.4</v>
      </c>
    </row>
    <row r="934" spans="1:10" ht="15.75" customHeight="1">
      <c r="A934" s="24" t="s">
        <v>8</v>
      </c>
      <c r="B934" s="25">
        <v>46107</v>
      </c>
      <c r="C934" s="26" t="s">
        <v>45</v>
      </c>
      <c r="D934" s="27" t="s">
        <v>46</v>
      </c>
      <c r="E934" s="28" t="s">
        <v>29</v>
      </c>
      <c r="F934" s="29">
        <v>2085</v>
      </c>
      <c r="G934" s="30">
        <v>105</v>
      </c>
      <c r="H934" s="31">
        <v>79</v>
      </c>
      <c r="I934" s="32">
        <v>2111</v>
      </c>
      <c r="J934" s="33">
        <v>75.2</v>
      </c>
    </row>
    <row r="935" spans="1:10" ht="15.75" customHeight="1">
      <c r="A935" s="14" t="s">
        <v>8</v>
      </c>
      <c r="B935" s="15">
        <v>46107</v>
      </c>
      <c r="C935" s="16" t="s">
        <v>45</v>
      </c>
      <c r="D935" s="17" t="s">
        <v>46</v>
      </c>
      <c r="E935" s="18" t="s">
        <v>31</v>
      </c>
      <c r="F935" s="19">
        <v>2578</v>
      </c>
      <c r="G935" s="20">
        <v>102</v>
      </c>
      <c r="H935" s="21">
        <v>73</v>
      </c>
      <c r="I935" s="22">
        <v>2607</v>
      </c>
      <c r="J935" s="23">
        <v>71.599999999999994</v>
      </c>
    </row>
    <row r="936" spans="1:10" ht="15.75" customHeight="1">
      <c r="A936" s="24" t="s">
        <v>8</v>
      </c>
      <c r="B936" s="25">
        <v>46107</v>
      </c>
      <c r="C936" s="26" t="s">
        <v>45</v>
      </c>
      <c r="D936" s="27" t="s">
        <v>46</v>
      </c>
      <c r="E936" s="28" t="s">
        <v>33</v>
      </c>
      <c r="F936" s="29">
        <v>1030</v>
      </c>
      <c r="G936" s="30">
        <v>89</v>
      </c>
      <c r="H936" s="31">
        <v>70</v>
      </c>
      <c r="I936" s="32">
        <v>1049</v>
      </c>
      <c r="J936" s="33">
        <v>78.7</v>
      </c>
    </row>
    <row r="937" spans="1:10" ht="15.75" customHeight="1">
      <c r="A937" s="14" t="s">
        <v>8</v>
      </c>
      <c r="B937" s="15">
        <v>46107</v>
      </c>
      <c r="C937" s="16" t="s">
        <v>45</v>
      </c>
      <c r="D937" s="17" t="s">
        <v>46</v>
      </c>
      <c r="E937" s="18" t="s">
        <v>36</v>
      </c>
      <c r="F937" s="19">
        <v>3251</v>
      </c>
      <c r="G937" s="20">
        <v>137</v>
      </c>
      <c r="H937" s="21">
        <v>94</v>
      </c>
      <c r="I937" s="22">
        <v>3294</v>
      </c>
      <c r="J937" s="23">
        <v>68.599999999999994</v>
      </c>
    </row>
    <row r="938" spans="1:10" ht="15.75" customHeight="1">
      <c r="A938" s="24" t="s">
        <v>8</v>
      </c>
      <c r="B938" s="25">
        <v>46108</v>
      </c>
      <c r="C938" s="26" t="s">
        <v>47</v>
      </c>
      <c r="D938" s="27" t="s">
        <v>46</v>
      </c>
      <c r="E938" s="28" t="s">
        <v>26</v>
      </c>
      <c r="F938" s="29">
        <v>2631</v>
      </c>
      <c r="G938" s="30">
        <v>143</v>
      </c>
      <c r="H938" s="31">
        <v>93</v>
      </c>
      <c r="I938" s="32">
        <v>2681</v>
      </c>
      <c r="J938" s="34">
        <v>65</v>
      </c>
    </row>
    <row r="939" spans="1:10" ht="15.75" customHeight="1">
      <c r="A939" s="14" t="s">
        <v>8</v>
      </c>
      <c r="B939" s="15">
        <v>46108</v>
      </c>
      <c r="C939" s="16" t="s">
        <v>47</v>
      </c>
      <c r="D939" s="17" t="s">
        <v>46</v>
      </c>
      <c r="E939" s="18" t="s">
        <v>27</v>
      </c>
      <c r="F939" s="19">
        <v>1902</v>
      </c>
      <c r="G939" s="20">
        <v>106</v>
      </c>
      <c r="H939" s="21">
        <v>82</v>
      </c>
      <c r="I939" s="22">
        <v>1926</v>
      </c>
      <c r="J939" s="35">
        <v>77.400000000000006</v>
      </c>
    </row>
    <row r="940" spans="1:10" ht="15.75" customHeight="1">
      <c r="A940" s="24" t="s">
        <v>8</v>
      </c>
      <c r="B940" s="25">
        <v>46108</v>
      </c>
      <c r="C940" s="26" t="s">
        <v>47</v>
      </c>
      <c r="D940" s="27" t="s">
        <v>46</v>
      </c>
      <c r="E940" s="28" t="s">
        <v>30</v>
      </c>
      <c r="F940" s="29">
        <v>3007</v>
      </c>
      <c r="G940" s="30">
        <v>108</v>
      </c>
      <c r="H940" s="31">
        <v>68</v>
      </c>
      <c r="I940" s="32">
        <v>3047</v>
      </c>
      <c r="J940" s="34">
        <v>63</v>
      </c>
    </row>
    <row r="941" spans="1:10" ht="15.75" customHeight="1">
      <c r="A941" s="14" t="s">
        <v>8</v>
      </c>
      <c r="B941" s="15">
        <v>46108</v>
      </c>
      <c r="C941" s="16" t="s">
        <v>47</v>
      </c>
      <c r="D941" s="17" t="s">
        <v>46</v>
      </c>
      <c r="E941" s="18" t="s">
        <v>32</v>
      </c>
      <c r="F941" s="19">
        <v>1449</v>
      </c>
      <c r="G941" s="20">
        <v>76</v>
      </c>
      <c r="H941" s="21">
        <v>60</v>
      </c>
      <c r="I941" s="22">
        <v>1465</v>
      </c>
      <c r="J941" s="35">
        <v>78.900000000000006</v>
      </c>
    </row>
    <row r="942" spans="1:10" ht="15.75" customHeight="1">
      <c r="A942" s="24" t="s">
        <v>8</v>
      </c>
      <c r="B942" s="25">
        <v>46108</v>
      </c>
      <c r="C942" s="26" t="s">
        <v>47</v>
      </c>
      <c r="D942" s="27" t="s">
        <v>46</v>
      </c>
      <c r="E942" s="28" t="s">
        <v>34</v>
      </c>
      <c r="F942" s="29">
        <v>2993</v>
      </c>
      <c r="G942" s="30">
        <v>114</v>
      </c>
      <c r="H942" s="31">
        <v>83</v>
      </c>
      <c r="I942" s="32">
        <v>3024</v>
      </c>
      <c r="J942" s="34">
        <v>72.8</v>
      </c>
    </row>
    <row r="943" spans="1:10" ht="15.75" customHeight="1">
      <c r="A943" s="14" t="s">
        <v>8</v>
      </c>
      <c r="B943" s="15">
        <v>46108</v>
      </c>
      <c r="C943" s="16" t="s">
        <v>47</v>
      </c>
      <c r="D943" s="17" t="s">
        <v>46</v>
      </c>
      <c r="E943" s="18" t="s">
        <v>25</v>
      </c>
      <c r="F943" s="19">
        <v>1728</v>
      </c>
      <c r="G943" s="20">
        <v>80</v>
      </c>
      <c r="H943" s="21">
        <v>70</v>
      </c>
      <c r="I943" s="22">
        <v>1738</v>
      </c>
      <c r="J943" s="35">
        <v>87.5</v>
      </c>
    </row>
    <row r="944" spans="1:10" ht="15.75" customHeight="1">
      <c r="A944" s="24" t="s">
        <v>8</v>
      </c>
      <c r="B944" s="25">
        <v>46108</v>
      </c>
      <c r="C944" s="26" t="s">
        <v>47</v>
      </c>
      <c r="D944" s="27" t="s">
        <v>46</v>
      </c>
      <c r="E944" s="28" t="s">
        <v>35</v>
      </c>
      <c r="F944" s="29">
        <v>1820</v>
      </c>
      <c r="G944" s="30">
        <v>115</v>
      </c>
      <c r="H944" s="31">
        <v>87</v>
      </c>
      <c r="I944" s="32">
        <v>1848</v>
      </c>
      <c r="J944" s="33">
        <v>75.7</v>
      </c>
    </row>
    <row r="945" spans="1:10" ht="15.75" customHeight="1">
      <c r="A945" s="14" t="s">
        <v>8</v>
      </c>
      <c r="B945" s="15">
        <v>46108</v>
      </c>
      <c r="C945" s="16" t="s">
        <v>47</v>
      </c>
      <c r="D945" s="17" t="s">
        <v>46</v>
      </c>
      <c r="E945" s="18" t="s">
        <v>29</v>
      </c>
      <c r="F945" s="19">
        <v>2111</v>
      </c>
      <c r="G945" s="20">
        <v>106</v>
      </c>
      <c r="H945" s="21">
        <v>76</v>
      </c>
      <c r="I945" s="22">
        <v>2141</v>
      </c>
      <c r="J945" s="23">
        <v>71.7</v>
      </c>
    </row>
    <row r="946" spans="1:10" ht="15.75" customHeight="1">
      <c r="A946" s="24" t="s">
        <v>8</v>
      </c>
      <c r="B946" s="25">
        <v>46108</v>
      </c>
      <c r="C946" s="26" t="s">
        <v>47</v>
      </c>
      <c r="D946" s="27" t="s">
        <v>46</v>
      </c>
      <c r="E946" s="28" t="s">
        <v>31</v>
      </c>
      <c r="F946" s="29">
        <v>2607</v>
      </c>
      <c r="G946" s="30">
        <v>114</v>
      </c>
      <c r="H946" s="31">
        <v>92</v>
      </c>
      <c r="I946" s="32">
        <v>2629</v>
      </c>
      <c r="J946" s="33">
        <v>80.7</v>
      </c>
    </row>
    <row r="947" spans="1:10" ht="15.75" customHeight="1">
      <c r="A947" s="14" t="s">
        <v>8</v>
      </c>
      <c r="B947" s="15">
        <v>46108</v>
      </c>
      <c r="C947" s="16" t="s">
        <v>47</v>
      </c>
      <c r="D947" s="17" t="s">
        <v>46</v>
      </c>
      <c r="E947" s="18" t="s">
        <v>33</v>
      </c>
      <c r="F947" s="19">
        <v>1049</v>
      </c>
      <c r="G947" s="20">
        <v>100</v>
      </c>
      <c r="H947" s="21">
        <v>93</v>
      </c>
      <c r="I947" s="22">
        <v>1056</v>
      </c>
      <c r="J947" s="35">
        <v>93</v>
      </c>
    </row>
    <row r="948" spans="1:10" ht="15.75" customHeight="1">
      <c r="A948" s="24" t="s">
        <v>8</v>
      </c>
      <c r="B948" s="25">
        <v>46108</v>
      </c>
      <c r="C948" s="26" t="s">
        <v>47</v>
      </c>
      <c r="D948" s="27" t="s">
        <v>46</v>
      </c>
      <c r="E948" s="28" t="s">
        <v>36</v>
      </c>
      <c r="F948" s="29">
        <v>3294</v>
      </c>
      <c r="G948" s="30">
        <v>96</v>
      </c>
      <c r="H948" s="31">
        <v>76</v>
      </c>
      <c r="I948" s="32">
        <v>3314</v>
      </c>
      <c r="J948" s="33">
        <v>79.2</v>
      </c>
    </row>
    <row r="949" spans="1:10" ht="15.75" customHeight="1">
      <c r="A949" s="36" t="s">
        <v>8</v>
      </c>
      <c r="B949" s="37">
        <v>46109</v>
      </c>
      <c r="C949" s="38" t="s">
        <v>48</v>
      </c>
      <c r="D949" s="39" t="s">
        <v>49</v>
      </c>
      <c r="E949" s="40" t="s">
        <v>26</v>
      </c>
      <c r="F949" s="41">
        <v>2681</v>
      </c>
      <c r="G949" s="42">
        <v>36</v>
      </c>
      <c r="H949" s="43">
        <v>27</v>
      </c>
      <c r="I949" s="44">
        <v>2690</v>
      </c>
      <c r="J949" s="45">
        <v>75</v>
      </c>
    </row>
    <row r="950" spans="1:10" ht="15.75" customHeight="1">
      <c r="A950" s="36" t="s">
        <v>8</v>
      </c>
      <c r="B950" s="37">
        <v>46109</v>
      </c>
      <c r="C950" s="38" t="s">
        <v>48</v>
      </c>
      <c r="D950" s="39" t="s">
        <v>49</v>
      </c>
      <c r="E950" s="40" t="s">
        <v>27</v>
      </c>
      <c r="F950" s="41">
        <v>1926</v>
      </c>
      <c r="G950" s="42">
        <v>36</v>
      </c>
      <c r="H950" s="43">
        <v>30</v>
      </c>
      <c r="I950" s="44">
        <v>1932</v>
      </c>
      <c r="J950" s="45">
        <v>83.3</v>
      </c>
    </row>
    <row r="951" spans="1:10" ht="15.75" customHeight="1">
      <c r="A951" s="36" t="s">
        <v>8</v>
      </c>
      <c r="B951" s="37">
        <v>46109</v>
      </c>
      <c r="C951" s="38" t="s">
        <v>48</v>
      </c>
      <c r="D951" s="39" t="s">
        <v>49</v>
      </c>
      <c r="E951" s="40" t="s">
        <v>30</v>
      </c>
      <c r="F951" s="41">
        <v>3047</v>
      </c>
      <c r="G951" s="42">
        <v>62</v>
      </c>
      <c r="H951" s="43">
        <v>48</v>
      </c>
      <c r="I951" s="44">
        <v>3061</v>
      </c>
      <c r="J951" s="45">
        <v>77.400000000000006</v>
      </c>
    </row>
    <row r="952" spans="1:10" ht="15.75" customHeight="1">
      <c r="A952" s="36" t="s">
        <v>8</v>
      </c>
      <c r="B952" s="37">
        <v>46109</v>
      </c>
      <c r="C952" s="38" t="s">
        <v>48</v>
      </c>
      <c r="D952" s="39" t="s">
        <v>49</v>
      </c>
      <c r="E952" s="40" t="s">
        <v>32</v>
      </c>
      <c r="F952" s="41">
        <v>1465</v>
      </c>
      <c r="G952" s="42">
        <v>39</v>
      </c>
      <c r="H952" s="43">
        <v>35</v>
      </c>
      <c r="I952" s="44">
        <v>1469</v>
      </c>
      <c r="J952" s="45">
        <v>89.7</v>
      </c>
    </row>
    <row r="953" spans="1:10" ht="15.75" customHeight="1">
      <c r="A953" s="36" t="s">
        <v>8</v>
      </c>
      <c r="B953" s="37">
        <v>46109</v>
      </c>
      <c r="C953" s="38" t="s">
        <v>48</v>
      </c>
      <c r="D953" s="39" t="s">
        <v>49</v>
      </c>
      <c r="E953" s="40" t="s">
        <v>34</v>
      </c>
      <c r="F953" s="41">
        <v>3024</v>
      </c>
      <c r="G953" s="42">
        <v>83</v>
      </c>
      <c r="H953" s="43">
        <v>55</v>
      </c>
      <c r="I953" s="44">
        <v>3052</v>
      </c>
      <c r="J953" s="46">
        <v>66.3</v>
      </c>
    </row>
    <row r="954" spans="1:10" ht="15.75" customHeight="1">
      <c r="A954" s="36" t="s">
        <v>8</v>
      </c>
      <c r="B954" s="37">
        <v>46109</v>
      </c>
      <c r="C954" s="38" t="s">
        <v>48</v>
      </c>
      <c r="D954" s="39" t="s">
        <v>49</v>
      </c>
      <c r="E954" s="40" t="s">
        <v>25</v>
      </c>
      <c r="F954" s="41">
        <v>1738</v>
      </c>
      <c r="G954" s="42">
        <v>35</v>
      </c>
      <c r="H954" s="43">
        <v>27</v>
      </c>
      <c r="I954" s="44">
        <v>1746</v>
      </c>
      <c r="J954" s="45">
        <v>77.099999999999994</v>
      </c>
    </row>
    <row r="955" spans="1:10" ht="15.75" customHeight="1">
      <c r="A955" s="36" t="s">
        <v>8</v>
      </c>
      <c r="B955" s="37">
        <v>46109</v>
      </c>
      <c r="C955" s="38" t="s">
        <v>48</v>
      </c>
      <c r="D955" s="39" t="s">
        <v>49</v>
      </c>
      <c r="E955" s="40" t="s">
        <v>35</v>
      </c>
      <c r="F955" s="41">
        <v>1848</v>
      </c>
      <c r="G955" s="42">
        <v>70</v>
      </c>
      <c r="H955" s="43">
        <v>64</v>
      </c>
      <c r="I955" s="44">
        <v>1854</v>
      </c>
      <c r="J955" s="45">
        <v>91.4</v>
      </c>
    </row>
    <row r="956" spans="1:10" ht="15.75" customHeight="1">
      <c r="A956" s="36" t="s">
        <v>8</v>
      </c>
      <c r="B956" s="37">
        <v>46109</v>
      </c>
      <c r="C956" s="38" t="s">
        <v>48</v>
      </c>
      <c r="D956" s="39" t="s">
        <v>49</v>
      </c>
      <c r="E956" s="40" t="s">
        <v>29</v>
      </c>
      <c r="F956" s="41">
        <v>2141</v>
      </c>
      <c r="G956" s="42">
        <v>32</v>
      </c>
      <c r="H956" s="43">
        <v>27</v>
      </c>
      <c r="I956" s="44">
        <v>2146</v>
      </c>
      <c r="J956" s="45">
        <v>84.4</v>
      </c>
    </row>
    <row r="957" spans="1:10" ht="15.75" customHeight="1">
      <c r="A957" s="36" t="s">
        <v>8</v>
      </c>
      <c r="B957" s="37">
        <v>46109</v>
      </c>
      <c r="C957" s="38" t="s">
        <v>48</v>
      </c>
      <c r="D957" s="39" t="s">
        <v>49</v>
      </c>
      <c r="E957" s="40" t="s">
        <v>31</v>
      </c>
      <c r="F957" s="41">
        <v>2629</v>
      </c>
      <c r="G957" s="42">
        <v>34</v>
      </c>
      <c r="H957" s="43">
        <v>26</v>
      </c>
      <c r="I957" s="44">
        <v>2637</v>
      </c>
      <c r="J957" s="45">
        <v>76.5</v>
      </c>
    </row>
    <row r="958" spans="1:10" ht="15.75" customHeight="1">
      <c r="A958" s="36" t="s">
        <v>8</v>
      </c>
      <c r="B958" s="37">
        <v>46109</v>
      </c>
      <c r="C958" s="38" t="s">
        <v>48</v>
      </c>
      <c r="D958" s="39" t="s">
        <v>49</v>
      </c>
      <c r="E958" s="40" t="s">
        <v>33</v>
      </c>
      <c r="F958" s="41">
        <v>1056</v>
      </c>
      <c r="G958" s="42">
        <v>38</v>
      </c>
      <c r="H958" s="43">
        <v>30</v>
      </c>
      <c r="I958" s="44">
        <v>1064</v>
      </c>
      <c r="J958" s="45">
        <v>78.900000000000006</v>
      </c>
    </row>
    <row r="959" spans="1:10" ht="15.75" customHeight="1">
      <c r="A959" s="36" t="s">
        <v>8</v>
      </c>
      <c r="B959" s="37">
        <v>46109</v>
      </c>
      <c r="C959" s="38" t="s">
        <v>48</v>
      </c>
      <c r="D959" s="39" t="s">
        <v>49</v>
      </c>
      <c r="E959" s="40" t="s">
        <v>36</v>
      </c>
      <c r="F959" s="41">
        <v>3314</v>
      </c>
      <c r="G959" s="42">
        <v>41</v>
      </c>
      <c r="H959" s="43">
        <v>32</v>
      </c>
      <c r="I959" s="44">
        <v>3323</v>
      </c>
      <c r="J959" s="45">
        <v>78</v>
      </c>
    </row>
    <row r="960" spans="1:10" ht="15.75" customHeight="1">
      <c r="A960" s="36" t="s">
        <v>8</v>
      </c>
      <c r="B960" s="37">
        <v>46110</v>
      </c>
      <c r="C960" s="38" t="s">
        <v>50</v>
      </c>
      <c r="D960" s="39" t="s">
        <v>49</v>
      </c>
      <c r="E960" s="40" t="s">
        <v>26</v>
      </c>
      <c r="F960" s="41">
        <v>2690</v>
      </c>
      <c r="G960" s="42">
        <v>49</v>
      </c>
      <c r="H960" s="43">
        <v>40</v>
      </c>
      <c r="I960" s="44">
        <v>2699</v>
      </c>
      <c r="J960" s="45">
        <v>81.599999999999994</v>
      </c>
    </row>
    <row r="961" spans="1:10" ht="15.75" customHeight="1">
      <c r="A961" s="36" t="s">
        <v>8</v>
      </c>
      <c r="B961" s="37">
        <v>46110</v>
      </c>
      <c r="C961" s="38" t="s">
        <v>50</v>
      </c>
      <c r="D961" s="39" t="s">
        <v>49</v>
      </c>
      <c r="E961" s="40" t="s">
        <v>27</v>
      </c>
      <c r="F961" s="41">
        <v>1932</v>
      </c>
      <c r="G961" s="42">
        <v>39</v>
      </c>
      <c r="H961" s="43">
        <v>35</v>
      </c>
      <c r="I961" s="44">
        <v>1936</v>
      </c>
      <c r="J961" s="45">
        <v>89.7</v>
      </c>
    </row>
    <row r="962" spans="1:10" ht="15.75" customHeight="1">
      <c r="A962" s="36" t="s">
        <v>8</v>
      </c>
      <c r="B962" s="37">
        <v>46110</v>
      </c>
      <c r="C962" s="38" t="s">
        <v>50</v>
      </c>
      <c r="D962" s="39" t="s">
        <v>49</v>
      </c>
      <c r="E962" s="40" t="s">
        <v>30</v>
      </c>
      <c r="F962" s="41">
        <v>3061</v>
      </c>
      <c r="G962" s="42">
        <v>59</v>
      </c>
      <c r="H962" s="43">
        <v>35</v>
      </c>
      <c r="I962" s="44">
        <v>3085</v>
      </c>
      <c r="J962" s="46">
        <v>59.3</v>
      </c>
    </row>
    <row r="963" spans="1:10" ht="15.75" customHeight="1">
      <c r="A963" s="36" t="s">
        <v>8</v>
      </c>
      <c r="B963" s="37">
        <v>46110</v>
      </c>
      <c r="C963" s="38" t="s">
        <v>50</v>
      </c>
      <c r="D963" s="39" t="s">
        <v>49</v>
      </c>
      <c r="E963" s="40" t="s">
        <v>32</v>
      </c>
      <c r="F963" s="41">
        <v>1469</v>
      </c>
      <c r="G963" s="42">
        <v>44</v>
      </c>
      <c r="H963" s="43">
        <v>41</v>
      </c>
      <c r="I963" s="44">
        <v>1472</v>
      </c>
      <c r="J963" s="45">
        <v>93.2</v>
      </c>
    </row>
    <row r="964" spans="1:10" ht="15.75" customHeight="1">
      <c r="A964" s="36" t="s">
        <v>8</v>
      </c>
      <c r="B964" s="37">
        <v>46110</v>
      </c>
      <c r="C964" s="38" t="s">
        <v>50</v>
      </c>
      <c r="D964" s="39" t="s">
        <v>49</v>
      </c>
      <c r="E964" s="40" t="s">
        <v>34</v>
      </c>
      <c r="F964" s="41">
        <v>3052</v>
      </c>
      <c r="G964" s="42">
        <v>58</v>
      </c>
      <c r="H964" s="43">
        <v>47</v>
      </c>
      <c r="I964" s="44">
        <v>3063</v>
      </c>
      <c r="J964" s="45">
        <v>81</v>
      </c>
    </row>
    <row r="965" spans="1:10" ht="15.75" customHeight="1">
      <c r="A965" s="36" t="s">
        <v>8</v>
      </c>
      <c r="B965" s="37">
        <v>46110</v>
      </c>
      <c r="C965" s="38" t="s">
        <v>50</v>
      </c>
      <c r="D965" s="39" t="s">
        <v>49</v>
      </c>
      <c r="E965" s="40" t="s">
        <v>25</v>
      </c>
      <c r="F965" s="41">
        <v>1746</v>
      </c>
      <c r="G965" s="42">
        <v>20</v>
      </c>
      <c r="H965" s="43">
        <v>14</v>
      </c>
      <c r="I965" s="44">
        <v>1752</v>
      </c>
      <c r="J965" s="46">
        <v>70</v>
      </c>
    </row>
    <row r="966" spans="1:10" ht="15.75" customHeight="1">
      <c r="A966" s="36" t="s">
        <v>8</v>
      </c>
      <c r="B966" s="37">
        <v>46110</v>
      </c>
      <c r="C966" s="38" t="s">
        <v>50</v>
      </c>
      <c r="D966" s="39" t="s">
        <v>49</v>
      </c>
      <c r="E966" s="40" t="s">
        <v>35</v>
      </c>
      <c r="F966" s="41">
        <v>1854</v>
      </c>
      <c r="G966" s="42">
        <v>53</v>
      </c>
      <c r="H966" s="43">
        <v>38</v>
      </c>
      <c r="I966" s="44">
        <v>1869</v>
      </c>
      <c r="J966" s="46">
        <v>71.7</v>
      </c>
    </row>
    <row r="967" spans="1:10" ht="15.75" customHeight="1">
      <c r="A967" s="36" t="s">
        <v>8</v>
      </c>
      <c r="B967" s="37">
        <v>46110</v>
      </c>
      <c r="C967" s="38" t="s">
        <v>50</v>
      </c>
      <c r="D967" s="39" t="s">
        <v>49</v>
      </c>
      <c r="E967" s="40" t="s">
        <v>29</v>
      </c>
      <c r="F967" s="41">
        <v>2146</v>
      </c>
      <c r="G967" s="42">
        <v>53</v>
      </c>
      <c r="H967" s="43">
        <v>37</v>
      </c>
      <c r="I967" s="44">
        <v>2162</v>
      </c>
      <c r="J967" s="46">
        <v>69.8</v>
      </c>
    </row>
    <row r="968" spans="1:10" ht="15.75" customHeight="1">
      <c r="A968" s="36" t="s">
        <v>8</v>
      </c>
      <c r="B968" s="37">
        <v>46110</v>
      </c>
      <c r="C968" s="38" t="s">
        <v>50</v>
      </c>
      <c r="D968" s="39" t="s">
        <v>49</v>
      </c>
      <c r="E968" s="40" t="s">
        <v>31</v>
      </c>
      <c r="F968" s="41">
        <v>2637</v>
      </c>
      <c r="G968" s="42">
        <v>52</v>
      </c>
      <c r="H968" s="43">
        <v>35</v>
      </c>
      <c r="I968" s="44">
        <v>2654</v>
      </c>
      <c r="J968" s="46">
        <v>67.3</v>
      </c>
    </row>
    <row r="969" spans="1:10" ht="15.75" customHeight="1">
      <c r="A969" s="36" t="s">
        <v>8</v>
      </c>
      <c r="B969" s="37">
        <v>46110</v>
      </c>
      <c r="C969" s="38" t="s">
        <v>50</v>
      </c>
      <c r="D969" s="39" t="s">
        <v>49</v>
      </c>
      <c r="E969" s="40" t="s">
        <v>33</v>
      </c>
      <c r="F969" s="41">
        <v>1064</v>
      </c>
      <c r="G969" s="42">
        <v>24</v>
      </c>
      <c r="H969" s="43">
        <v>21</v>
      </c>
      <c r="I969" s="44">
        <v>1067</v>
      </c>
      <c r="J969" s="45">
        <v>87.5</v>
      </c>
    </row>
    <row r="970" spans="1:10" ht="15.75" customHeight="1">
      <c r="A970" s="36" t="s">
        <v>8</v>
      </c>
      <c r="B970" s="37">
        <v>46110</v>
      </c>
      <c r="C970" s="38" t="s">
        <v>50</v>
      </c>
      <c r="D970" s="39" t="s">
        <v>49</v>
      </c>
      <c r="E970" s="40" t="s">
        <v>36</v>
      </c>
      <c r="F970" s="41">
        <v>3323</v>
      </c>
      <c r="G970" s="42">
        <v>60</v>
      </c>
      <c r="H970" s="43">
        <v>39</v>
      </c>
      <c r="I970" s="44">
        <v>3344</v>
      </c>
      <c r="J970" s="46">
        <v>65</v>
      </c>
    </row>
    <row r="971" spans="1:10" ht="15.75" customHeight="1">
      <c r="A971" s="14" t="s">
        <v>8</v>
      </c>
      <c r="B971" s="15">
        <v>46111</v>
      </c>
      <c r="C971" s="16" t="s">
        <v>51</v>
      </c>
      <c r="D971" s="17" t="s">
        <v>46</v>
      </c>
      <c r="E971" s="18" t="s">
        <v>26</v>
      </c>
      <c r="F971" s="19">
        <v>2699</v>
      </c>
      <c r="G971" s="20">
        <v>150</v>
      </c>
      <c r="H971" s="21">
        <v>123</v>
      </c>
      <c r="I971" s="22">
        <v>2726</v>
      </c>
      <c r="J971" s="35">
        <v>82</v>
      </c>
    </row>
    <row r="972" spans="1:10" ht="15.75" customHeight="1">
      <c r="A972" s="24" t="s">
        <v>8</v>
      </c>
      <c r="B972" s="25">
        <v>46111</v>
      </c>
      <c r="C972" s="26" t="s">
        <v>51</v>
      </c>
      <c r="D972" s="27" t="s">
        <v>46</v>
      </c>
      <c r="E972" s="28" t="s">
        <v>27</v>
      </c>
      <c r="F972" s="29">
        <v>1936</v>
      </c>
      <c r="G972" s="30">
        <v>129</v>
      </c>
      <c r="H972" s="31">
        <v>91</v>
      </c>
      <c r="I972" s="32">
        <v>1974</v>
      </c>
      <c r="J972" s="34">
        <v>70.5</v>
      </c>
    </row>
    <row r="973" spans="1:10" ht="15.75" customHeight="1">
      <c r="A973" s="14" t="s">
        <v>8</v>
      </c>
      <c r="B973" s="15">
        <v>46111</v>
      </c>
      <c r="C973" s="16" t="s">
        <v>51</v>
      </c>
      <c r="D973" s="17" t="s">
        <v>46</v>
      </c>
      <c r="E973" s="18" t="s">
        <v>30</v>
      </c>
      <c r="F973" s="19">
        <v>3085</v>
      </c>
      <c r="G973" s="20">
        <v>133</v>
      </c>
      <c r="H973" s="21">
        <v>101</v>
      </c>
      <c r="I973" s="22">
        <v>3117</v>
      </c>
      <c r="J973" s="35">
        <v>75.900000000000006</v>
      </c>
    </row>
    <row r="974" spans="1:10" ht="15.75" customHeight="1">
      <c r="A974" s="24" t="s">
        <v>8</v>
      </c>
      <c r="B974" s="25">
        <v>46111</v>
      </c>
      <c r="C974" s="26" t="s">
        <v>51</v>
      </c>
      <c r="D974" s="27" t="s">
        <v>46</v>
      </c>
      <c r="E974" s="28" t="s">
        <v>32</v>
      </c>
      <c r="F974" s="29">
        <v>1472</v>
      </c>
      <c r="G974" s="30">
        <v>110</v>
      </c>
      <c r="H974" s="31">
        <v>83</v>
      </c>
      <c r="I974" s="32">
        <v>1499</v>
      </c>
      <c r="J974" s="33">
        <v>75.5</v>
      </c>
    </row>
    <row r="975" spans="1:10" ht="15.75" customHeight="1">
      <c r="A975" s="14" t="s">
        <v>8</v>
      </c>
      <c r="B975" s="15">
        <v>46111</v>
      </c>
      <c r="C975" s="16" t="s">
        <v>51</v>
      </c>
      <c r="D975" s="17" t="s">
        <v>46</v>
      </c>
      <c r="E975" s="18" t="s">
        <v>34</v>
      </c>
      <c r="F975" s="19">
        <v>3063</v>
      </c>
      <c r="G975" s="20">
        <v>154</v>
      </c>
      <c r="H975" s="21">
        <v>102</v>
      </c>
      <c r="I975" s="22">
        <v>3115</v>
      </c>
      <c r="J975" s="23">
        <v>66.2</v>
      </c>
    </row>
    <row r="976" spans="1:10" ht="15.75" customHeight="1">
      <c r="A976" s="24" t="s">
        <v>8</v>
      </c>
      <c r="B976" s="25">
        <v>46111</v>
      </c>
      <c r="C976" s="26" t="s">
        <v>51</v>
      </c>
      <c r="D976" s="27" t="s">
        <v>46</v>
      </c>
      <c r="E976" s="28" t="s">
        <v>25</v>
      </c>
      <c r="F976" s="29">
        <v>1752</v>
      </c>
      <c r="G976" s="30">
        <v>92</v>
      </c>
      <c r="H976" s="31">
        <v>77</v>
      </c>
      <c r="I976" s="32">
        <v>1767</v>
      </c>
      <c r="J976" s="33">
        <v>83.7</v>
      </c>
    </row>
    <row r="977" spans="1:10" ht="15.75" customHeight="1">
      <c r="A977" s="14" t="s">
        <v>8</v>
      </c>
      <c r="B977" s="15">
        <v>46111</v>
      </c>
      <c r="C977" s="16" t="s">
        <v>51</v>
      </c>
      <c r="D977" s="17" t="s">
        <v>46</v>
      </c>
      <c r="E977" s="18" t="s">
        <v>35</v>
      </c>
      <c r="F977" s="19">
        <v>1869</v>
      </c>
      <c r="G977" s="20">
        <v>76</v>
      </c>
      <c r="H977" s="21">
        <v>61</v>
      </c>
      <c r="I977" s="22">
        <v>1884</v>
      </c>
      <c r="J977" s="35">
        <v>80.3</v>
      </c>
    </row>
    <row r="978" spans="1:10" ht="15.75" customHeight="1">
      <c r="A978" s="24" t="s">
        <v>8</v>
      </c>
      <c r="B978" s="25">
        <v>46111</v>
      </c>
      <c r="C978" s="26" t="s">
        <v>51</v>
      </c>
      <c r="D978" s="27" t="s">
        <v>46</v>
      </c>
      <c r="E978" s="28" t="s">
        <v>29</v>
      </c>
      <c r="F978" s="29">
        <v>2162</v>
      </c>
      <c r="G978" s="30">
        <v>108</v>
      </c>
      <c r="H978" s="31">
        <v>83</v>
      </c>
      <c r="I978" s="32">
        <v>2187</v>
      </c>
      <c r="J978" s="33">
        <v>76.900000000000006</v>
      </c>
    </row>
    <row r="979" spans="1:10" ht="15.75" customHeight="1">
      <c r="A979" s="14" t="s">
        <v>8</v>
      </c>
      <c r="B979" s="15">
        <v>46111</v>
      </c>
      <c r="C979" s="16" t="s">
        <v>51</v>
      </c>
      <c r="D979" s="17" t="s">
        <v>46</v>
      </c>
      <c r="E979" s="18" t="s">
        <v>31</v>
      </c>
      <c r="F979" s="19">
        <v>2654</v>
      </c>
      <c r="G979" s="20">
        <v>155</v>
      </c>
      <c r="H979" s="21">
        <v>113</v>
      </c>
      <c r="I979" s="22">
        <v>2696</v>
      </c>
      <c r="J979" s="23">
        <v>72.900000000000006</v>
      </c>
    </row>
    <row r="980" spans="1:10" ht="15.75" customHeight="1">
      <c r="A980" s="24" t="s">
        <v>8</v>
      </c>
      <c r="B980" s="25">
        <v>46111</v>
      </c>
      <c r="C980" s="26" t="s">
        <v>51</v>
      </c>
      <c r="D980" s="27" t="s">
        <v>46</v>
      </c>
      <c r="E980" s="28" t="s">
        <v>33</v>
      </c>
      <c r="F980" s="29">
        <v>1067</v>
      </c>
      <c r="G980" s="30">
        <v>61</v>
      </c>
      <c r="H980" s="31">
        <v>59</v>
      </c>
      <c r="I980" s="32">
        <v>1069</v>
      </c>
      <c r="J980" s="33">
        <v>96.7</v>
      </c>
    </row>
    <row r="981" spans="1:10" ht="15.75" customHeight="1">
      <c r="A981" s="14" t="s">
        <v>8</v>
      </c>
      <c r="B981" s="15">
        <v>46111</v>
      </c>
      <c r="C981" s="16" t="s">
        <v>51</v>
      </c>
      <c r="D981" s="17" t="s">
        <v>46</v>
      </c>
      <c r="E981" s="18" t="s">
        <v>36</v>
      </c>
      <c r="F981" s="19">
        <v>3344</v>
      </c>
      <c r="G981" s="20">
        <v>130</v>
      </c>
      <c r="H981" s="21">
        <v>93</v>
      </c>
      <c r="I981" s="22">
        <v>3381</v>
      </c>
      <c r="J981" s="23">
        <v>71.5</v>
      </c>
    </row>
    <row r="982" spans="1:10" ht="15.75" customHeight="1">
      <c r="A982" s="24" t="s">
        <v>8</v>
      </c>
      <c r="B982" s="25">
        <v>46112</v>
      </c>
      <c r="C982" s="26" t="s">
        <v>52</v>
      </c>
      <c r="D982" s="27" t="s">
        <v>46</v>
      </c>
      <c r="E982" s="28" t="s">
        <v>26</v>
      </c>
      <c r="F982" s="29">
        <v>2726</v>
      </c>
      <c r="G982" s="30">
        <v>113</v>
      </c>
      <c r="H982" s="31">
        <v>80</v>
      </c>
      <c r="I982" s="32">
        <v>2759</v>
      </c>
      <c r="J982" s="34">
        <v>70.8</v>
      </c>
    </row>
    <row r="983" spans="1:10" ht="15.75" customHeight="1">
      <c r="A983" s="14" t="s">
        <v>8</v>
      </c>
      <c r="B983" s="15">
        <v>46112</v>
      </c>
      <c r="C983" s="16" t="s">
        <v>52</v>
      </c>
      <c r="D983" s="17" t="s">
        <v>46</v>
      </c>
      <c r="E983" s="18" t="s">
        <v>27</v>
      </c>
      <c r="F983" s="19">
        <v>1974</v>
      </c>
      <c r="G983" s="20">
        <v>118</v>
      </c>
      <c r="H983" s="21">
        <v>82</v>
      </c>
      <c r="I983" s="22">
        <v>2010</v>
      </c>
      <c r="J983" s="23">
        <v>69.5</v>
      </c>
    </row>
    <row r="984" spans="1:10" ht="15.75" customHeight="1">
      <c r="A984" s="24" t="s">
        <v>8</v>
      </c>
      <c r="B984" s="25">
        <v>46112</v>
      </c>
      <c r="C984" s="26" t="s">
        <v>52</v>
      </c>
      <c r="D984" s="27" t="s">
        <v>46</v>
      </c>
      <c r="E984" s="28" t="s">
        <v>30</v>
      </c>
      <c r="F984" s="29">
        <v>3117</v>
      </c>
      <c r="G984" s="30">
        <v>149</v>
      </c>
      <c r="H984" s="31">
        <v>92</v>
      </c>
      <c r="I984" s="32">
        <v>3174</v>
      </c>
      <c r="J984" s="34">
        <v>61.7</v>
      </c>
    </row>
    <row r="985" spans="1:10" ht="15.75" customHeight="1">
      <c r="A985" s="14" t="s">
        <v>8</v>
      </c>
      <c r="B985" s="15">
        <v>46112</v>
      </c>
      <c r="C985" s="16" t="s">
        <v>52</v>
      </c>
      <c r="D985" s="17" t="s">
        <v>46</v>
      </c>
      <c r="E985" s="18" t="s">
        <v>32</v>
      </c>
      <c r="F985" s="19">
        <v>1499</v>
      </c>
      <c r="G985" s="20">
        <v>118</v>
      </c>
      <c r="H985" s="21">
        <v>110</v>
      </c>
      <c r="I985" s="22">
        <v>1507</v>
      </c>
      <c r="J985" s="35">
        <v>93.2</v>
      </c>
    </row>
    <row r="986" spans="1:10" ht="15.75" customHeight="1">
      <c r="A986" s="24" t="s">
        <v>8</v>
      </c>
      <c r="B986" s="25">
        <v>46112</v>
      </c>
      <c r="C986" s="26" t="s">
        <v>52</v>
      </c>
      <c r="D986" s="27" t="s">
        <v>46</v>
      </c>
      <c r="E986" s="28" t="s">
        <v>34</v>
      </c>
      <c r="F986" s="29">
        <v>3115</v>
      </c>
      <c r="G986" s="30">
        <v>126</v>
      </c>
      <c r="H986" s="31">
        <v>93</v>
      </c>
      <c r="I986" s="32">
        <v>3148</v>
      </c>
      <c r="J986" s="34">
        <v>73.8</v>
      </c>
    </row>
    <row r="987" spans="1:10" ht="15.75" customHeight="1">
      <c r="A987" s="14" t="s">
        <v>8</v>
      </c>
      <c r="B987" s="15">
        <v>46112</v>
      </c>
      <c r="C987" s="16" t="s">
        <v>52</v>
      </c>
      <c r="D987" s="17" t="s">
        <v>46</v>
      </c>
      <c r="E987" s="18" t="s">
        <v>25</v>
      </c>
      <c r="F987" s="19">
        <v>1767</v>
      </c>
      <c r="G987" s="20">
        <v>106</v>
      </c>
      <c r="H987" s="21">
        <v>75</v>
      </c>
      <c r="I987" s="22">
        <v>1798</v>
      </c>
      <c r="J987" s="23">
        <v>70.8</v>
      </c>
    </row>
    <row r="988" spans="1:10" ht="15.75" customHeight="1">
      <c r="A988" s="24" t="s">
        <v>8</v>
      </c>
      <c r="B988" s="25">
        <v>46112</v>
      </c>
      <c r="C988" s="26" t="s">
        <v>52</v>
      </c>
      <c r="D988" s="27" t="s">
        <v>46</v>
      </c>
      <c r="E988" s="28" t="s">
        <v>35</v>
      </c>
      <c r="F988" s="29">
        <v>1884</v>
      </c>
      <c r="G988" s="30">
        <v>78</v>
      </c>
      <c r="H988" s="31">
        <v>65</v>
      </c>
      <c r="I988" s="32">
        <v>1897</v>
      </c>
      <c r="J988" s="33">
        <v>83.3</v>
      </c>
    </row>
    <row r="989" spans="1:10" ht="15.75" customHeight="1">
      <c r="A989" s="14" t="s">
        <v>8</v>
      </c>
      <c r="B989" s="15">
        <v>46112</v>
      </c>
      <c r="C989" s="16" t="s">
        <v>52</v>
      </c>
      <c r="D989" s="17" t="s">
        <v>46</v>
      </c>
      <c r="E989" s="18" t="s">
        <v>29</v>
      </c>
      <c r="F989" s="19">
        <v>2187</v>
      </c>
      <c r="G989" s="20">
        <v>98</v>
      </c>
      <c r="H989" s="21">
        <v>74</v>
      </c>
      <c r="I989" s="22">
        <v>2211</v>
      </c>
      <c r="J989" s="35">
        <v>75.5</v>
      </c>
    </row>
    <row r="990" spans="1:10" ht="15.75" customHeight="1">
      <c r="A990" s="24" t="s">
        <v>8</v>
      </c>
      <c r="B990" s="25">
        <v>46112</v>
      </c>
      <c r="C990" s="26" t="s">
        <v>52</v>
      </c>
      <c r="D990" s="27" t="s">
        <v>46</v>
      </c>
      <c r="E990" s="28" t="s">
        <v>31</v>
      </c>
      <c r="F990" s="29">
        <v>2696</v>
      </c>
      <c r="G990" s="30">
        <v>140</v>
      </c>
      <c r="H990" s="31">
        <v>95</v>
      </c>
      <c r="I990" s="32">
        <v>2741</v>
      </c>
      <c r="J990" s="34">
        <v>67.900000000000006</v>
      </c>
    </row>
    <row r="991" spans="1:10" ht="15.75" customHeight="1">
      <c r="A991" s="14" t="s">
        <v>8</v>
      </c>
      <c r="B991" s="15">
        <v>46112</v>
      </c>
      <c r="C991" s="16" t="s">
        <v>52</v>
      </c>
      <c r="D991" s="17" t="s">
        <v>46</v>
      </c>
      <c r="E991" s="18" t="s">
        <v>33</v>
      </c>
      <c r="F991" s="19">
        <v>1069</v>
      </c>
      <c r="G991" s="20">
        <v>66</v>
      </c>
      <c r="H991" s="21">
        <v>59</v>
      </c>
      <c r="I991" s="22">
        <v>1076</v>
      </c>
      <c r="J991" s="35">
        <v>89.4</v>
      </c>
    </row>
    <row r="992" spans="1:10" ht="15.75" customHeight="1">
      <c r="A992" s="24" t="s">
        <v>8</v>
      </c>
      <c r="B992" s="25">
        <v>46112</v>
      </c>
      <c r="C992" s="26" t="s">
        <v>52</v>
      </c>
      <c r="D992" s="27" t="s">
        <v>46</v>
      </c>
      <c r="E992" s="28" t="s">
        <v>36</v>
      </c>
      <c r="F992" s="29">
        <v>3381</v>
      </c>
      <c r="G992" s="30">
        <v>100</v>
      </c>
      <c r="H992" s="31">
        <v>81</v>
      </c>
      <c r="I992" s="32">
        <v>3400</v>
      </c>
      <c r="J992" s="33">
        <v>81</v>
      </c>
    </row>
    <row r="993" spans="1:10" ht="15.75" customHeight="1">
      <c r="A993" s="14" t="s">
        <v>9</v>
      </c>
      <c r="B993" s="15">
        <v>46113</v>
      </c>
      <c r="C993" s="16" t="s">
        <v>53</v>
      </c>
      <c r="D993" s="17" t="s">
        <v>46</v>
      </c>
      <c r="E993" s="18" t="s">
        <v>26</v>
      </c>
      <c r="F993" s="19">
        <v>2759</v>
      </c>
      <c r="G993" s="20">
        <v>94</v>
      </c>
      <c r="H993" s="21">
        <v>61</v>
      </c>
      <c r="I993" s="22">
        <v>2792</v>
      </c>
      <c r="J993" s="23">
        <v>64.900000000000006</v>
      </c>
    </row>
    <row r="994" spans="1:10" ht="15.75" customHeight="1">
      <c r="A994" s="24" t="s">
        <v>9</v>
      </c>
      <c r="B994" s="25">
        <v>46113</v>
      </c>
      <c r="C994" s="26" t="s">
        <v>53</v>
      </c>
      <c r="D994" s="27" t="s">
        <v>46</v>
      </c>
      <c r="E994" s="28" t="s">
        <v>27</v>
      </c>
      <c r="F994" s="29">
        <v>2010</v>
      </c>
      <c r="G994" s="30">
        <v>117</v>
      </c>
      <c r="H994" s="31">
        <v>89</v>
      </c>
      <c r="I994" s="32">
        <v>2038</v>
      </c>
      <c r="J994" s="33">
        <v>76.099999999999994</v>
      </c>
    </row>
    <row r="995" spans="1:10" ht="15.75" customHeight="1">
      <c r="A995" s="14" t="s">
        <v>9</v>
      </c>
      <c r="B995" s="15">
        <v>46113</v>
      </c>
      <c r="C995" s="16" t="s">
        <v>53</v>
      </c>
      <c r="D995" s="17" t="s">
        <v>46</v>
      </c>
      <c r="E995" s="18" t="s">
        <v>30</v>
      </c>
      <c r="F995" s="19">
        <v>3174</v>
      </c>
      <c r="G995" s="20">
        <v>121</v>
      </c>
      <c r="H995" s="21">
        <v>79</v>
      </c>
      <c r="I995" s="22">
        <v>3216</v>
      </c>
      <c r="J995" s="23">
        <v>65.3</v>
      </c>
    </row>
    <row r="996" spans="1:10" ht="15.75" customHeight="1">
      <c r="A996" s="24" t="s">
        <v>9</v>
      </c>
      <c r="B996" s="25">
        <v>46113</v>
      </c>
      <c r="C996" s="26" t="s">
        <v>53</v>
      </c>
      <c r="D996" s="27" t="s">
        <v>46</v>
      </c>
      <c r="E996" s="28" t="s">
        <v>32</v>
      </c>
      <c r="F996" s="29">
        <v>1507</v>
      </c>
      <c r="G996" s="30">
        <v>68</v>
      </c>
      <c r="H996" s="31">
        <v>62</v>
      </c>
      <c r="I996" s="32">
        <v>1513</v>
      </c>
      <c r="J996" s="33">
        <v>91.2</v>
      </c>
    </row>
    <row r="997" spans="1:10" ht="15.75" customHeight="1">
      <c r="A997" s="14" t="s">
        <v>9</v>
      </c>
      <c r="B997" s="15">
        <v>46113</v>
      </c>
      <c r="C997" s="16" t="s">
        <v>53</v>
      </c>
      <c r="D997" s="17" t="s">
        <v>46</v>
      </c>
      <c r="E997" s="18" t="s">
        <v>34</v>
      </c>
      <c r="F997" s="19">
        <v>3148</v>
      </c>
      <c r="G997" s="20">
        <v>113</v>
      </c>
      <c r="H997" s="21">
        <v>91</v>
      </c>
      <c r="I997" s="22">
        <v>3170</v>
      </c>
      <c r="J997" s="35">
        <v>80.5</v>
      </c>
    </row>
    <row r="998" spans="1:10" ht="15.75" customHeight="1">
      <c r="A998" s="24" t="s">
        <v>9</v>
      </c>
      <c r="B998" s="25">
        <v>46113</v>
      </c>
      <c r="C998" s="26" t="s">
        <v>53</v>
      </c>
      <c r="D998" s="27" t="s">
        <v>46</v>
      </c>
      <c r="E998" s="28" t="s">
        <v>25</v>
      </c>
      <c r="F998" s="29">
        <v>1798</v>
      </c>
      <c r="G998" s="30">
        <v>97</v>
      </c>
      <c r="H998" s="31">
        <v>82</v>
      </c>
      <c r="I998" s="32">
        <v>1813</v>
      </c>
      <c r="J998" s="33">
        <v>84.5</v>
      </c>
    </row>
    <row r="999" spans="1:10" ht="15.75" customHeight="1">
      <c r="A999" s="14" t="s">
        <v>9</v>
      </c>
      <c r="B999" s="15">
        <v>46113</v>
      </c>
      <c r="C999" s="16" t="s">
        <v>53</v>
      </c>
      <c r="D999" s="17" t="s">
        <v>46</v>
      </c>
      <c r="E999" s="18" t="s">
        <v>35</v>
      </c>
      <c r="F999" s="19">
        <v>1897</v>
      </c>
      <c r="G999" s="20">
        <v>86</v>
      </c>
      <c r="H999" s="21">
        <v>79</v>
      </c>
      <c r="I999" s="22">
        <v>1904</v>
      </c>
      <c r="J999" s="35">
        <v>91.9</v>
      </c>
    </row>
    <row r="1000" spans="1:10" ht="15.75" customHeight="1">
      <c r="A1000" s="24" t="s">
        <v>9</v>
      </c>
      <c r="B1000" s="25">
        <v>46113</v>
      </c>
      <c r="C1000" s="26" t="s">
        <v>53</v>
      </c>
      <c r="D1000" s="27" t="s">
        <v>46</v>
      </c>
      <c r="E1000" s="28" t="s">
        <v>29</v>
      </c>
      <c r="F1000" s="29">
        <v>2211</v>
      </c>
      <c r="G1000" s="30">
        <v>92</v>
      </c>
      <c r="H1000" s="31">
        <v>61</v>
      </c>
      <c r="I1000" s="32">
        <v>2242</v>
      </c>
      <c r="J1000" s="34">
        <v>66.3</v>
      </c>
    </row>
    <row r="1001" spans="1:10" ht="15.75" customHeight="1">
      <c r="A1001" s="14" t="s">
        <v>9</v>
      </c>
      <c r="B1001" s="15">
        <v>46113</v>
      </c>
      <c r="C1001" s="16" t="s">
        <v>53</v>
      </c>
      <c r="D1001" s="17" t="s">
        <v>46</v>
      </c>
      <c r="E1001" s="18" t="s">
        <v>31</v>
      </c>
      <c r="F1001" s="19">
        <v>2741</v>
      </c>
      <c r="G1001" s="20">
        <v>88</v>
      </c>
      <c r="H1001" s="21">
        <v>58</v>
      </c>
      <c r="I1001" s="22">
        <v>2771</v>
      </c>
      <c r="J1001" s="23">
        <v>65.900000000000006</v>
      </c>
    </row>
    <row r="1002" spans="1:10" ht="15.75" customHeight="1">
      <c r="A1002" s="24" t="s">
        <v>9</v>
      </c>
      <c r="B1002" s="25">
        <v>46113</v>
      </c>
      <c r="C1002" s="26" t="s">
        <v>53</v>
      </c>
      <c r="D1002" s="27" t="s">
        <v>46</v>
      </c>
      <c r="E1002" s="28" t="s">
        <v>33</v>
      </c>
      <c r="F1002" s="29">
        <v>1076</v>
      </c>
      <c r="G1002" s="30">
        <v>68</v>
      </c>
      <c r="H1002" s="31">
        <v>56</v>
      </c>
      <c r="I1002" s="32">
        <v>1088</v>
      </c>
      <c r="J1002" s="33">
        <v>82.4</v>
      </c>
    </row>
    <row r="1003" spans="1:10" ht="15.75" customHeight="1">
      <c r="A1003" s="14" t="s">
        <v>9</v>
      </c>
      <c r="B1003" s="15">
        <v>46113</v>
      </c>
      <c r="C1003" s="16" t="s">
        <v>53</v>
      </c>
      <c r="D1003" s="17" t="s">
        <v>46</v>
      </c>
      <c r="E1003" s="18" t="s">
        <v>36</v>
      </c>
      <c r="F1003" s="19">
        <v>3400</v>
      </c>
      <c r="G1003" s="20">
        <v>159</v>
      </c>
      <c r="H1003" s="21">
        <v>97</v>
      </c>
      <c r="I1003" s="22">
        <v>3462</v>
      </c>
      <c r="J1003" s="23">
        <v>61</v>
      </c>
    </row>
    <row r="1004" spans="1:10" ht="15.75" customHeight="1">
      <c r="A1004" s="24" t="s">
        <v>9</v>
      </c>
      <c r="B1004" s="25">
        <v>46114</v>
      </c>
      <c r="C1004" s="26" t="s">
        <v>45</v>
      </c>
      <c r="D1004" s="27" t="s">
        <v>46</v>
      </c>
      <c r="E1004" s="28" t="s">
        <v>26</v>
      </c>
      <c r="F1004" s="29">
        <v>2792</v>
      </c>
      <c r="G1004" s="30">
        <v>80</v>
      </c>
      <c r="H1004" s="31">
        <v>57</v>
      </c>
      <c r="I1004" s="32">
        <v>2815</v>
      </c>
      <c r="J1004" s="34">
        <v>71.2</v>
      </c>
    </row>
    <row r="1005" spans="1:10" ht="15.75" customHeight="1">
      <c r="A1005" s="14" t="s">
        <v>9</v>
      </c>
      <c r="B1005" s="15">
        <v>46114</v>
      </c>
      <c r="C1005" s="16" t="s">
        <v>45</v>
      </c>
      <c r="D1005" s="17" t="s">
        <v>46</v>
      </c>
      <c r="E1005" s="18" t="s">
        <v>27</v>
      </c>
      <c r="F1005" s="19">
        <v>2038</v>
      </c>
      <c r="G1005" s="20">
        <v>114</v>
      </c>
      <c r="H1005" s="21">
        <v>92</v>
      </c>
      <c r="I1005" s="22">
        <v>2060</v>
      </c>
      <c r="J1005" s="35">
        <v>80.7</v>
      </c>
    </row>
    <row r="1006" spans="1:10" ht="15.75" customHeight="1">
      <c r="A1006" s="24" t="s">
        <v>9</v>
      </c>
      <c r="B1006" s="25">
        <v>46114</v>
      </c>
      <c r="C1006" s="26" t="s">
        <v>45</v>
      </c>
      <c r="D1006" s="27" t="s">
        <v>46</v>
      </c>
      <c r="E1006" s="28" t="s">
        <v>30</v>
      </c>
      <c r="F1006" s="29">
        <v>3216</v>
      </c>
      <c r="G1006" s="30">
        <v>133</v>
      </c>
      <c r="H1006" s="31">
        <v>87</v>
      </c>
      <c r="I1006" s="32">
        <v>3262</v>
      </c>
      <c r="J1006" s="34">
        <v>65.400000000000006</v>
      </c>
    </row>
    <row r="1007" spans="1:10" ht="15.75" customHeight="1">
      <c r="A1007" s="14" t="s">
        <v>9</v>
      </c>
      <c r="B1007" s="15">
        <v>46114</v>
      </c>
      <c r="C1007" s="16" t="s">
        <v>45</v>
      </c>
      <c r="D1007" s="17" t="s">
        <v>46</v>
      </c>
      <c r="E1007" s="18" t="s">
        <v>32</v>
      </c>
      <c r="F1007" s="19">
        <v>1513</v>
      </c>
      <c r="G1007" s="20">
        <v>69</v>
      </c>
      <c r="H1007" s="21">
        <v>54</v>
      </c>
      <c r="I1007" s="22">
        <v>1528</v>
      </c>
      <c r="J1007" s="35">
        <v>78.3</v>
      </c>
    </row>
    <row r="1008" spans="1:10" ht="15.75" customHeight="1">
      <c r="A1008" s="24" t="s">
        <v>9</v>
      </c>
      <c r="B1008" s="25">
        <v>46114</v>
      </c>
      <c r="C1008" s="26" t="s">
        <v>45</v>
      </c>
      <c r="D1008" s="27" t="s">
        <v>46</v>
      </c>
      <c r="E1008" s="28" t="s">
        <v>34</v>
      </c>
      <c r="F1008" s="29">
        <v>3170</v>
      </c>
      <c r="G1008" s="30">
        <v>143</v>
      </c>
      <c r="H1008" s="31">
        <v>91</v>
      </c>
      <c r="I1008" s="32">
        <v>3222</v>
      </c>
      <c r="J1008" s="34">
        <v>63.6</v>
      </c>
    </row>
    <row r="1009" spans="1:10" ht="15.75" customHeight="1">
      <c r="A1009" s="14" t="s">
        <v>9</v>
      </c>
      <c r="B1009" s="15">
        <v>46114</v>
      </c>
      <c r="C1009" s="16" t="s">
        <v>45</v>
      </c>
      <c r="D1009" s="17" t="s">
        <v>46</v>
      </c>
      <c r="E1009" s="18" t="s">
        <v>25</v>
      </c>
      <c r="F1009" s="19">
        <v>1813</v>
      </c>
      <c r="G1009" s="20">
        <v>55</v>
      </c>
      <c r="H1009" s="21">
        <v>43</v>
      </c>
      <c r="I1009" s="22">
        <v>1825</v>
      </c>
      <c r="J1009" s="35">
        <v>78.2</v>
      </c>
    </row>
    <row r="1010" spans="1:10" ht="15.75" customHeight="1">
      <c r="A1010" s="24" t="s">
        <v>9</v>
      </c>
      <c r="B1010" s="25">
        <v>46114</v>
      </c>
      <c r="C1010" s="26" t="s">
        <v>45</v>
      </c>
      <c r="D1010" s="27" t="s">
        <v>46</v>
      </c>
      <c r="E1010" s="28" t="s">
        <v>35</v>
      </c>
      <c r="F1010" s="29">
        <v>1904</v>
      </c>
      <c r="G1010" s="30">
        <v>87</v>
      </c>
      <c r="H1010" s="31">
        <v>73</v>
      </c>
      <c r="I1010" s="32">
        <v>1918</v>
      </c>
      <c r="J1010" s="33">
        <v>83.9</v>
      </c>
    </row>
    <row r="1011" spans="1:10" ht="15.75" customHeight="1">
      <c r="A1011" s="14" t="s">
        <v>9</v>
      </c>
      <c r="B1011" s="15">
        <v>46114</v>
      </c>
      <c r="C1011" s="16" t="s">
        <v>45</v>
      </c>
      <c r="D1011" s="17" t="s">
        <v>46</v>
      </c>
      <c r="E1011" s="18" t="s">
        <v>29</v>
      </c>
      <c r="F1011" s="19">
        <v>2242</v>
      </c>
      <c r="G1011" s="20">
        <v>119</v>
      </c>
      <c r="H1011" s="21">
        <v>89</v>
      </c>
      <c r="I1011" s="22">
        <v>2272</v>
      </c>
      <c r="J1011" s="23">
        <v>74.8</v>
      </c>
    </row>
    <row r="1012" spans="1:10" ht="15.75" customHeight="1">
      <c r="A1012" s="24" t="s">
        <v>9</v>
      </c>
      <c r="B1012" s="25">
        <v>46114</v>
      </c>
      <c r="C1012" s="26" t="s">
        <v>45</v>
      </c>
      <c r="D1012" s="27" t="s">
        <v>46</v>
      </c>
      <c r="E1012" s="28" t="s">
        <v>31</v>
      </c>
      <c r="F1012" s="29">
        <v>2771</v>
      </c>
      <c r="G1012" s="30">
        <v>118</v>
      </c>
      <c r="H1012" s="31">
        <v>76</v>
      </c>
      <c r="I1012" s="32">
        <v>2813</v>
      </c>
      <c r="J1012" s="34">
        <v>64.400000000000006</v>
      </c>
    </row>
    <row r="1013" spans="1:10" ht="15.75" customHeight="1">
      <c r="A1013" s="14" t="s">
        <v>9</v>
      </c>
      <c r="B1013" s="15">
        <v>46114</v>
      </c>
      <c r="C1013" s="16" t="s">
        <v>45</v>
      </c>
      <c r="D1013" s="17" t="s">
        <v>46</v>
      </c>
      <c r="E1013" s="18" t="s">
        <v>33</v>
      </c>
      <c r="F1013" s="19">
        <v>1088</v>
      </c>
      <c r="G1013" s="20">
        <v>101</v>
      </c>
      <c r="H1013" s="21">
        <v>92</v>
      </c>
      <c r="I1013" s="22">
        <v>1097</v>
      </c>
      <c r="J1013" s="35">
        <v>91.1</v>
      </c>
    </row>
    <row r="1014" spans="1:10" ht="15.75" customHeight="1">
      <c r="A1014" s="24" t="s">
        <v>9</v>
      </c>
      <c r="B1014" s="25">
        <v>46114</v>
      </c>
      <c r="C1014" s="26" t="s">
        <v>45</v>
      </c>
      <c r="D1014" s="27" t="s">
        <v>46</v>
      </c>
      <c r="E1014" s="28" t="s">
        <v>36</v>
      </c>
      <c r="F1014" s="29">
        <v>3462</v>
      </c>
      <c r="G1014" s="30">
        <v>163</v>
      </c>
      <c r="H1014" s="31">
        <v>106</v>
      </c>
      <c r="I1014" s="32">
        <v>3519</v>
      </c>
      <c r="J1014" s="34">
        <v>65</v>
      </c>
    </row>
    <row r="1015" spans="1:10" ht="15.75" customHeight="1">
      <c r="A1015" s="14" t="s">
        <v>9</v>
      </c>
      <c r="B1015" s="15">
        <v>46115</v>
      </c>
      <c r="C1015" s="16" t="s">
        <v>47</v>
      </c>
      <c r="D1015" s="17" t="s">
        <v>46</v>
      </c>
      <c r="E1015" s="18" t="s">
        <v>26</v>
      </c>
      <c r="F1015" s="19">
        <v>2815</v>
      </c>
      <c r="G1015" s="20">
        <v>88</v>
      </c>
      <c r="H1015" s="21">
        <v>58</v>
      </c>
      <c r="I1015" s="22">
        <v>2845</v>
      </c>
      <c r="J1015" s="23">
        <v>65.900000000000006</v>
      </c>
    </row>
    <row r="1016" spans="1:10" ht="15.75" customHeight="1">
      <c r="A1016" s="24" t="s">
        <v>9</v>
      </c>
      <c r="B1016" s="25">
        <v>46115</v>
      </c>
      <c r="C1016" s="26" t="s">
        <v>47</v>
      </c>
      <c r="D1016" s="27" t="s">
        <v>46</v>
      </c>
      <c r="E1016" s="28" t="s">
        <v>27</v>
      </c>
      <c r="F1016" s="29">
        <v>2060</v>
      </c>
      <c r="G1016" s="30">
        <v>112</v>
      </c>
      <c r="H1016" s="31">
        <v>85</v>
      </c>
      <c r="I1016" s="32">
        <v>2087</v>
      </c>
      <c r="J1016" s="33">
        <v>75.900000000000006</v>
      </c>
    </row>
    <row r="1017" spans="1:10" ht="15.75" customHeight="1">
      <c r="A1017" s="14" t="s">
        <v>9</v>
      </c>
      <c r="B1017" s="15">
        <v>46115</v>
      </c>
      <c r="C1017" s="16" t="s">
        <v>47</v>
      </c>
      <c r="D1017" s="17" t="s">
        <v>46</v>
      </c>
      <c r="E1017" s="18" t="s">
        <v>30</v>
      </c>
      <c r="F1017" s="19">
        <v>3262</v>
      </c>
      <c r="G1017" s="20">
        <v>127</v>
      </c>
      <c r="H1017" s="21">
        <v>78</v>
      </c>
      <c r="I1017" s="22">
        <v>3311</v>
      </c>
      <c r="J1017" s="23">
        <v>61.4</v>
      </c>
    </row>
    <row r="1018" spans="1:10" ht="15.75" customHeight="1">
      <c r="A1018" s="24" t="s">
        <v>9</v>
      </c>
      <c r="B1018" s="25">
        <v>46115</v>
      </c>
      <c r="C1018" s="26" t="s">
        <v>47</v>
      </c>
      <c r="D1018" s="27" t="s">
        <v>46</v>
      </c>
      <c r="E1018" s="28" t="s">
        <v>32</v>
      </c>
      <c r="F1018" s="29">
        <v>1528</v>
      </c>
      <c r="G1018" s="30">
        <v>114</v>
      </c>
      <c r="H1018" s="31">
        <v>92</v>
      </c>
      <c r="I1018" s="32">
        <v>1550</v>
      </c>
      <c r="J1018" s="33">
        <v>80.7</v>
      </c>
    </row>
    <row r="1019" spans="1:10" ht="15.75" customHeight="1">
      <c r="A1019" s="14" t="s">
        <v>9</v>
      </c>
      <c r="B1019" s="15">
        <v>46115</v>
      </c>
      <c r="C1019" s="16" t="s">
        <v>47</v>
      </c>
      <c r="D1019" s="17" t="s">
        <v>46</v>
      </c>
      <c r="E1019" s="18" t="s">
        <v>34</v>
      </c>
      <c r="F1019" s="19">
        <v>3222</v>
      </c>
      <c r="G1019" s="20">
        <v>112</v>
      </c>
      <c r="H1019" s="21">
        <v>81</v>
      </c>
      <c r="I1019" s="22">
        <v>3253</v>
      </c>
      <c r="J1019" s="23">
        <v>72.3</v>
      </c>
    </row>
    <row r="1020" spans="1:10" ht="15.75" customHeight="1">
      <c r="A1020" s="24" t="s">
        <v>9</v>
      </c>
      <c r="B1020" s="25">
        <v>46115</v>
      </c>
      <c r="C1020" s="26" t="s">
        <v>47</v>
      </c>
      <c r="D1020" s="27" t="s">
        <v>46</v>
      </c>
      <c r="E1020" s="28" t="s">
        <v>25</v>
      </c>
      <c r="F1020" s="29">
        <v>1825</v>
      </c>
      <c r="G1020" s="30">
        <v>67</v>
      </c>
      <c r="H1020" s="31">
        <v>52</v>
      </c>
      <c r="I1020" s="32">
        <v>1840</v>
      </c>
      <c r="J1020" s="33">
        <v>77.599999999999994</v>
      </c>
    </row>
    <row r="1021" spans="1:10" ht="15.75" customHeight="1">
      <c r="A1021" s="14" t="s">
        <v>9</v>
      </c>
      <c r="B1021" s="15">
        <v>46115</v>
      </c>
      <c r="C1021" s="16" t="s">
        <v>47</v>
      </c>
      <c r="D1021" s="17" t="s">
        <v>46</v>
      </c>
      <c r="E1021" s="18" t="s">
        <v>35</v>
      </c>
      <c r="F1021" s="19">
        <v>1918</v>
      </c>
      <c r="G1021" s="20">
        <v>121</v>
      </c>
      <c r="H1021" s="21">
        <v>92</v>
      </c>
      <c r="I1021" s="22">
        <v>1947</v>
      </c>
      <c r="J1021" s="35">
        <v>76</v>
      </c>
    </row>
    <row r="1022" spans="1:10" ht="15.75" customHeight="1">
      <c r="A1022" s="24" t="s">
        <v>9</v>
      </c>
      <c r="B1022" s="25">
        <v>46115</v>
      </c>
      <c r="C1022" s="26" t="s">
        <v>47</v>
      </c>
      <c r="D1022" s="27" t="s">
        <v>46</v>
      </c>
      <c r="E1022" s="28" t="s">
        <v>29</v>
      </c>
      <c r="F1022" s="29">
        <v>2272</v>
      </c>
      <c r="G1022" s="30">
        <v>88</v>
      </c>
      <c r="H1022" s="31">
        <v>69</v>
      </c>
      <c r="I1022" s="32">
        <v>2291</v>
      </c>
      <c r="J1022" s="33">
        <v>78.400000000000006</v>
      </c>
    </row>
    <row r="1023" spans="1:10" ht="15.75" customHeight="1">
      <c r="A1023" s="14" t="s">
        <v>9</v>
      </c>
      <c r="B1023" s="15">
        <v>46115</v>
      </c>
      <c r="C1023" s="16" t="s">
        <v>47</v>
      </c>
      <c r="D1023" s="17" t="s">
        <v>46</v>
      </c>
      <c r="E1023" s="18" t="s">
        <v>31</v>
      </c>
      <c r="F1023" s="19">
        <v>2813</v>
      </c>
      <c r="G1023" s="20">
        <v>111</v>
      </c>
      <c r="H1023" s="21">
        <v>92</v>
      </c>
      <c r="I1023" s="22">
        <v>2832</v>
      </c>
      <c r="J1023" s="35">
        <v>82.9</v>
      </c>
    </row>
    <row r="1024" spans="1:10" ht="15.75" customHeight="1">
      <c r="A1024" s="24" t="s">
        <v>9</v>
      </c>
      <c r="B1024" s="25">
        <v>46115</v>
      </c>
      <c r="C1024" s="26" t="s">
        <v>47</v>
      </c>
      <c r="D1024" s="27" t="s">
        <v>46</v>
      </c>
      <c r="E1024" s="28" t="s">
        <v>33</v>
      </c>
      <c r="F1024" s="29">
        <v>1097</v>
      </c>
      <c r="G1024" s="30">
        <v>72</v>
      </c>
      <c r="H1024" s="31">
        <v>67</v>
      </c>
      <c r="I1024" s="32">
        <v>1102</v>
      </c>
      <c r="J1024" s="33">
        <v>93.1</v>
      </c>
    </row>
    <row r="1025" spans="1:10" ht="15.75" customHeight="1">
      <c r="A1025" s="14" t="s">
        <v>9</v>
      </c>
      <c r="B1025" s="15">
        <v>46115</v>
      </c>
      <c r="C1025" s="16" t="s">
        <v>47</v>
      </c>
      <c r="D1025" s="17" t="s">
        <v>46</v>
      </c>
      <c r="E1025" s="18" t="s">
        <v>36</v>
      </c>
      <c r="F1025" s="19">
        <v>3519</v>
      </c>
      <c r="G1025" s="20">
        <v>104</v>
      </c>
      <c r="H1025" s="21">
        <v>82</v>
      </c>
      <c r="I1025" s="22">
        <v>3541</v>
      </c>
      <c r="J1025" s="35">
        <v>78.8</v>
      </c>
    </row>
    <row r="1026" spans="1:10" ht="15.75" customHeight="1">
      <c r="A1026" s="36" t="s">
        <v>9</v>
      </c>
      <c r="B1026" s="37">
        <v>46116</v>
      </c>
      <c r="C1026" s="38" t="s">
        <v>48</v>
      </c>
      <c r="D1026" s="39" t="s">
        <v>49</v>
      </c>
      <c r="E1026" s="40" t="s">
        <v>26</v>
      </c>
      <c r="F1026" s="41">
        <v>2845</v>
      </c>
      <c r="G1026" s="42">
        <v>67</v>
      </c>
      <c r="H1026" s="43">
        <v>46</v>
      </c>
      <c r="I1026" s="44">
        <v>2866</v>
      </c>
      <c r="J1026" s="46">
        <v>68.7</v>
      </c>
    </row>
    <row r="1027" spans="1:10" ht="15.75" customHeight="1">
      <c r="A1027" s="36" t="s">
        <v>9</v>
      </c>
      <c r="B1027" s="37">
        <v>46116</v>
      </c>
      <c r="C1027" s="38" t="s">
        <v>48</v>
      </c>
      <c r="D1027" s="39" t="s">
        <v>49</v>
      </c>
      <c r="E1027" s="40" t="s">
        <v>27</v>
      </c>
      <c r="F1027" s="41">
        <v>2087</v>
      </c>
      <c r="G1027" s="42">
        <v>48</v>
      </c>
      <c r="H1027" s="43">
        <v>33</v>
      </c>
      <c r="I1027" s="44">
        <v>2102</v>
      </c>
      <c r="J1027" s="46">
        <v>68.8</v>
      </c>
    </row>
    <row r="1028" spans="1:10" ht="15.75" customHeight="1">
      <c r="A1028" s="36" t="s">
        <v>9</v>
      </c>
      <c r="B1028" s="37">
        <v>46116</v>
      </c>
      <c r="C1028" s="38" t="s">
        <v>48</v>
      </c>
      <c r="D1028" s="39" t="s">
        <v>49</v>
      </c>
      <c r="E1028" s="40" t="s">
        <v>30</v>
      </c>
      <c r="F1028" s="41">
        <v>3311</v>
      </c>
      <c r="G1028" s="42">
        <v>50</v>
      </c>
      <c r="H1028" s="43">
        <v>30</v>
      </c>
      <c r="I1028" s="44">
        <v>3331</v>
      </c>
      <c r="J1028" s="46">
        <v>60</v>
      </c>
    </row>
    <row r="1029" spans="1:10" ht="15.75" customHeight="1">
      <c r="A1029" s="36" t="s">
        <v>9</v>
      </c>
      <c r="B1029" s="37">
        <v>46116</v>
      </c>
      <c r="C1029" s="38" t="s">
        <v>48</v>
      </c>
      <c r="D1029" s="39" t="s">
        <v>49</v>
      </c>
      <c r="E1029" s="40" t="s">
        <v>32</v>
      </c>
      <c r="F1029" s="41">
        <v>1550</v>
      </c>
      <c r="G1029" s="42">
        <v>44</v>
      </c>
      <c r="H1029" s="43">
        <v>39</v>
      </c>
      <c r="I1029" s="44">
        <v>1555</v>
      </c>
      <c r="J1029" s="45">
        <v>88.6</v>
      </c>
    </row>
    <row r="1030" spans="1:10" ht="15.75" customHeight="1">
      <c r="A1030" s="36" t="s">
        <v>9</v>
      </c>
      <c r="B1030" s="37">
        <v>46116</v>
      </c>
      <c r="C1030" s="38" t="s">
        <v>48</v>
      </c>
      <c r="D1030" s="39" t="s">
        <v>49</v>
      </c>
      <c r="E1030" s="40" t="s">
        <v>34</v>
      </c>
      <c r="F1030" s="41">
        <v>3253</v>
      </c>
      <c r="G1030" s="42">
        <v>57</v>
      </c>
      <c r="H1030" s="43">
        <v>36</v>
      </c>
      <c r="I1030" s="44">
        <v>3274</v>
      </c>
      <c r="J1030" s="46">
        <v>63.2</v>
      </c>
    </row>
    <row r="1031" spans="1:10" ht="15.75" customHeight="1">
      <c r="A1031" s="36" t="s">
        <v>9</v>
      </c>
      <c r="B1031" s="37">
        <v>46116</v>
      </c>
      <c r="C1031" s="38" t="s">
        <v>48</v>
      </c>
      <c r="D1031" s="39" t="s">
        <v>49</v>
      </c>
      <c r="E1031" s="40" t="s">
        <v>25</v>
      </c>
      <c r="F1031" s="41">
        <v>1840</v>
      </c>
      <c r="G1031" s="42">
        <v>33</v>
      </c>
      <c r="H1031" s="43">
        <v>27</v>
      </c>
      <c r="I1031" s="44">
        <v>1846</v>
      </c>
      <c r="J1031" s="45">
        <v>81.8</v>
      </c>
    </row>
    <row r="1032" spans="1:10" ht="15.75" customHeight="1">
      <c r="A1032" s="36" t="s">
        <v>9</v>
      </c>
      <c r="B1032" s="37">
        <v>46116</v>
      </c>
      <c r="C1032" s="38" t="s">
        <v>48</v>
      </c>
      <c r="D1032" s="39" t="s">
        <v>49</v>
      </c>
      <c r="E1032" s="40" t="s">
        <v>35</v>
      </c>
      <c r="F1032" s="41">
        <v>1947</v>
      </c>
      <c r="G1032" s="42">
        <v>43</v>
      </c>
      <c r="H1032" s="43">
        <v>37</v>
      </c>
      <c r="I1032" s="44">
        <v>1953</v>
      </c>
      <c r="J1032" s="45">
        <v>86</v>
      </c>
    </row>
    <row r="1033" spans="1:10" ht="15.75" customHeight="1">
      <c r="A1033" s="36" t="s">
        <v>9</v>
      </c>
      <c r="B1033" s="37">
        <v>46116</v>
      </c>
      <c r="C1033" s="38" t="s">
        <v>48</v>
      </c>
      <c r="D1033" s="39" t="s">
        <v>49</v>
      </c>
      <c r="E1033" s="40" t="s">
        <v>29</v>
      </c>
      <c r="F1033" s="41">
        <v>2291</v>
      </c>
      <c r="G1033" s="42">
        <v>51</v>
      </c>
      <c r="H1033" s="43">
        <v>43</v>
      </c>
      <c r="I1033" s="44">
        <v>2299</v>
      </c>
      <c r="J1033" s="45">
        <v>84.3</v>
      </c>
    </row>
    <row r="1034" spans="1:10" ht="15.75" customHeight="1">
      <c r="A1034" s="36" t="s">
        <v>9</v>
      </c>
      <c r="B1034" s="37">
        <v>46116</v>
      </c>
      <c r="C1034" s="38" t="s">
        <v>48</v>
      </c>
      <c r="D1034" s="39" t="s">
        <v>49</v>
      </c>
      <c r="E1034" s="40" t="s">
        <v>31</v>
      </c>
      <c r="F1034" s="41">
        <v>2832</v>
      </c>
      <c r="G1034" s="42">
        <v>63</v>
      </c>
      <c r="H1034" s="43">
        <v>42</v>
      </c>
      <c r="I1034" s="44">
        <v>2853</v>
      </c>
      <c r="J1034" s="46">
        <v>66.7</v>
      </c>
    </row>
    <row r="1035" spans="1:10" ht="15.75" customHeight="1">
      <c r="A1035" s="36" t="s">
        <v>9</v>
      </c>
      <c r="B1035" s="37">
        <v>46116</v>
      </c>
      <c r="C1035" s="38" t="s">
        <v>48</v>
      </c>
      <c r="D1035" s="39" t="s">
        <v>49</v>
      </c>
      <c r="E1035" s="40" t="s">
        <v>33</v>
      </c>
      <c r="F1035" s="41">
        <v>1102</v>
      </c>
      <c r="G1035" s="42">
        <v>30</v>
      </c>
      <c r="H1035" s="43">
        <v>24</v>
      </c>
      <c r="I1035" s="44">
        <v>1108</v>
      </c>
      <c r="J1035" s="45">
        <v>80</v>
      </c>
    </row>
    <row r="1036" spans="1:10" ht="15.75" customHeight="1">
      <c r="A1036" s="36" t="s">
        <v>9</v>
      </c>
      <c r="B1036" s="37">
        <v>46116</v>
      </c>
      <c r="C1036" s="38" t="s">
        <v>48</v>
      </c>
      <c r="D1036" s="39" t="s">
        <v>49</v>
      </c>
      <c r="E1036" s="40" t="s">
        <v>36</v>
      </c>
      <c r="F1036" s="41">
        <v>3541</v>
      </c>
      <c r="G1036" s="42">
        <v>53</v>
      </c>
      <c r="H1036" s="43">
        <v>40</v>
      </c>
      <c r="I1036" s="44">
        <v>3554</v>
      </c>
      <c r="J1036" s="45">
        <v>75.5</v>
      </c>
    </row>
    <row r="1037" spans="1:10" ht="15.75" customHeight="1">
      <c r="A1037" s="36" t="s">
        <v>9</v>
      </c>
      <c r="B1037" s="37">
        <v>46117</v>
      </c>
      <c r="C1037" s="38" t="s">
        <v>50</v>
      </c>
      <c r="D1037" s="39" t="s">
        <v>49</v>
      </c>
      <c r="E1037" s="40" t="s">
        <v>26</v>
      </c>
      <c r="F1037" s="41">
        <v>2866</v>
      </c>
      <c r="G1037" s="42">
        <v>64</v>
      </c>
      <c r="H1037" s="43">
        <v>48</v>
      </c>
      <c r="I1037" s="44">
        <v>2882</v>
      </c>
      <c r="J1037" s="45">
        <v>75</v>
      </c>
    </row>
    <row r="1038" spans="1:10" ht="15.75" customHeight="1">
      <c r="A1038" s="36" t="s">
        <v>9</v>
      </c>
      <c r="B1038" s="37">
        <v>46117</v>
      </c>
      <c r="C1038" s="38" t="s">
        <v>50</v>
      </c>
      <c r="D1038" s="39" t="s">
        <v>49</v>
      </c>
      <c r="E1038" s="40" t="s">
        <v>27</v>
      </c>
      <c r="F1038" s="41">
        <v>2102</v>
      </c>
      <c r="G1038" s="42">
        <v>33</v>
      </c>
      <c r="H1038" s="43">
        <v>29</v>
      </c>
      <c r="I1038" s="44">
        <v>2106</v>
      </c>
      <c r="J1038" s="45">
        <v>87.9</v>
      </c>
    </row>
    <row r="1039" spans="1:10" ht="15.75" customHeight="1">
      <c r="A1039" s="36" t="s">
        <v>9</v>
      </c>
      <c r="B1039" s="37">
        <v>46117</v>
      </c>
      <c r="C1039" s="38" t="s">
        <v>50</v>
      </c>
      <c r="D1039" s="39" t="s">
        <v>49</v>
      </c>
      <c r="E1039" s="40" t="s">
        <v>30</v>
      </c>
      <c r="F1039" s="41">
        <v>3331</v>
      </c>
      <c r="G1039" s="42">
        <v>39</v>
      </c>
      <c r="H1039" s="43">
        <v>24</v>
      </c>
      <c r="I1039" s="44">
        <v>3346</v>
      </c>
      <c r="J1039" s="46">
        <v>61.5</v>
      </c>
    </row>
    <row r="1040" spans="1:10" ht="15.75" customHeight="1">
      <c r="A1040" s="36" t="s">
        <v>9</v>
      </c>
      <c r="B1040" s="37">
        <v>46117</v>
      </c>
      <c r="C1040" s="38" t="s">
        <v>50</v>
      </c>
      <c r="D1040" s="39" t="s">
        <v>49</v>
      </c>
      <c r="E1040" s="40" t="s">
        <v>32</v>
      </c>
      <c r="F1040" s="41">
        <v>1555</v>
      </c>
      <c r="G1040" s="42">
        <v>33</v>
      </c>
      <c r="H1040" s="43">
        <v>26</v>
      </c>
      <c r="I1040" s="44">
        <v>1562</v>
      </c>
      <c r="J1040" s="45">
        <v>78.8</v>
      </c>
    </row>
    <row r="1041" spans="1:10" ht="15.75" customHeight="1">
      <c r="A1041" s="36" t="s">
        <v>9</v>
      </c>
      <c r="B1041" s="37">
        <v>46117</v>
      </c>
      <c r="C1041" s="38" t="s">
        <v>50</v>
      </c>
      <c r="D1041" s="39" t="s">
        <v>49</v>
      </c>
      <c r="E1041" s="40" t="s">
        <v>34</v>
      </c>
      <c r="F1041" s="41">
        <v>3274</v>
      </c>
      <c r="G1041" s="42">
        <v>90</v>
      </c>
      <c r="H1041" s="43">
        <v>68</v>
      </c>
      <c r="I1041" s="44">
        <v>3296</v>
      </c>
      <c r="J1041" s="45">
        <v>75.599999999999994</v>
      </c>
    </row>
    <row r="1042" spans="1:10" ht="15.75" customHeight="1">
      <c r="A1042" s="36" t="s">
        <v>9</v>
      </c>
      <c r="B1042" s="37">
        <v>46117</v>
      </c>
      <c r="C1042" s="38" t="s">
        <v>50</v>
      </c>
      <c r="D1042" s="39" t="s">
        <v>49</v>
      </c>
      <c r="E1042" s="40" t="s">
        <v>25</v>
      </c>
      <c r="F1042" s="41">
        <v>1846</v>
      </c>
      <c r="G1042" s="42">
        <v>24</v>
      </c>
      <c r="H1042" s="43">
        <v>19</v>
      </c>
      <c r="I1042" s="44">
        <v>1851</v>
      </c>
      <c r="J1042" s="45">
        <v>79.2</v>
      </c>
    </row>
    <row r="1043" spans="1:10" ht="15.75" customHeight="1">
      <c r="A1043" s="36" t="s">
        <v>9</v>
      </c>
      <c r="B1043" s="37">
        <v>46117</v>
      </c>
      <c r="C1043" s="38" t="s">
        <v>50</v>
      </c>
      <c r="D1043" s="39" t="s">
        <v>49</v>
      </c>
      <c r="E1043" s="40" t="s">
        <v>35</v>
      </c>
      <c r="F1043" s="41">
        <v>1953</v>
      </c>
      <c r="G1043" s="42">
        <v>54</v>
      </c>
      <c r="H1043" s="43">
        <v>47</v>
      </c>
      <c r="I1043" s="44">
        <v>1960</v>
      </c>
      <c r="J1043" s="45">
        <v>87</v>
      </c>
    </row>
    <row r="1044" spans="1:10" ht="15.75" customHeight="1">
      <c r="A1044" s="36" t="s">
        <v>9</v>
      </c>
      <c r="B1044" s="37">
        <v>46117</v>
      </c>
      <c r="C1044" s="38" t="s">
        <v>50</v>
      </c>
      <c r="D1044" s="39" t="s">
        <v>49</v>
      </c>
      <c r="E1044" s="40" t="s">
        <v>29</v>
      </c>
      <c r="F1044" s="41">
        <v>2299</v>
      </c>
      <c r="G1044" s="42">
        <v>55</v>
      </c>
      <c r="H1044" s="43">
        <v>44</v>
      </c>
      <c r="I1044" s="44">
        <v>2310</v>
      </c>
      <c r="J1044" s="45">
        <v>80</v>
      </c>
    </row>
    <row r="1045" spans="1:10" ht="15.75" customHeight="1">
      <c r="A1045" s="36" t="s">
        <v>9</v>
      </c>
      <c r="B1045" s="37">
        <v>46117</v>
      </c>
      <c r="C1045" s="38" t="s">
        <v>50</v>
      </c>
      <c r="D1045" s="39" t="s">
        <v>49</v>
      </c>
      <c r="E1045" s="40" t="s">
        <v>31</v>
      </c>
      <c r="F1045" s="41">
        <v>2853</v>
      </c>
      <c r="G1045" s="42">
        <v>50</v>
      </c>
      <c r="H1045" s="43">
        <v>40</v>
      </c>
      <c r="I1045" s="44">
        <v>2863</v>
      </c>
      <c r="J1045" s="45">
        <v>80</v>
      </c>
    </row>
    <row r="1046" spans="1:10" ht="15.75" customHeight="1">
      <c r="A1046" s="36" t="s">
        <v>9</v>
      </c>
      <c r="B1046" s="37">
        <v>46117</v>
      </c>
      <c r="C1046" s="38" t="s">
        <v>50</v>
      </c>
      <c r="D1046" s="39" t="s">
        <v>49</v>
      </c>
      <c r="E1046" s="40" t="s">
        <v>33</v>
      </c>
      <c r="F1046" s="41">
        <v>1108</v>
      </c>
      <c r="G1046" s="42">
        <v>49</v>
      </c>
      <c r="H1046" s="43">
        <v>38</v>
      </c>
      <c r="I1046" s="44">
        <v>1119</v>
      </c>
      <c r="J1046" s="45">
        <v>77.599999999999994</v>
      </c>
    </row>
    <row r="1047" spans="1:10" ht="15.75" customHeight="1">
      <c r="A1047" s="36" t="s">
        <v>9</v>
      </c>
      <c r="B1047" s="37">
        <v>46117</v>
      </c>
      <c r="C1047" s="38" t="s">
        <v>50</v>
      </c>
      <c r="D1047" s="39" t="s">
        <v>49</v>
      </c>
      <c r="E1047" s="40" t="s">
        <v>36</v>
      </c>
      <c r="F1047" s="41">
        <v>3554</v>
      </c>
      <c r="G1047" s="42">
        <v>81</v>
      </c>
      <c r="H1047" s="43">
        <v>52</v>
      </c>
      <c r="I1047" s="44">
        <v>3583</v>
      </c>
      <c r="J1047" s="46">
        <v>64.2</v>
      </c>
    </row>
    <row r="1048" spans="1:10" ht="15.75" customHeight="1">
      <c r="A1048" s="24" t="s">
        <v>9</v>
      </c>
      <c r="B1048" s="25">
        <v>46118</v>
      </c>
      <c r="C1048" s="26" t="s">
        <v>51</v>
      </c>
      <c r="D1048" s="27" t="s">
        <v>46</v>
      </c>
      <c r="E1048" s="28" t="s">
        <v>26</v>
      </c>
      <c r="F1048" s="29">
        <v>2882</v>
      </c>
      <c r="G1048" s="30">
        <v>100</v>
      </c>
      <c r="H1048" s="31">
        <v>79</v>
      </c>
      <c r="I1048" s="32">
        <v>2903</v>
      </c>
      <c r="J1048" s="33">
        <v>79</v>
      </c>
    </row>
    <row r="1049" spans="1:10" ht="15.75" customHeight="1">
      <c r="A1049" s="14" t="s">
        <v>9</v>
      </c>
      <c r="B1049" s="15">
        <v>46118</v>
      </c>
      <c r="C1049" s="16" t="s">
        <v>51</v>
      </c>
      <c r="D1049" s="17" t="s">
        <v>46</v>
      </c>
      <c r="E1049" s="18" t="s">
        <v>27</v>
      </c>
      <c r="F1049" s="19">
        <v>2106</v>
      </c>
      <c r="G1049" s="20">
        <v>70</v>
      </c>
      <c r="H1049" s="21">
        <v>60</v>
      </c>
      <c r="I1049" s="22">
        <v>2116</v>
      </c>
      <c r="J1049" s="35">
        <v>85.7</v>
      </c>
    </row>
    <row r="1050" spans="1:10" ht="15.75" customHeight="1">
      <c r="A1050" s="24" t="s">
        <v>9</v>
      </c>
      <c r="B1050" s="25">
        <v>46118</v>
      </c>
      <c r="C1050" s="26" t="s">
        <v>51</v>
      </c>
      <c r="D1050" s="27" t="s">
        <v>46</v>
      </c>
      <c r="E1050" s="28" t="s">
        <v>30</v>
      </c>
      <c r="F1050" s="29">
        <v>3346</v>
      </c>
      <c r="G1050" s="30">
        <v>123</v>
      </c>
      <c r="H1050" s="31">
        <v>89</v>
      </c>
      <c r="I1050" s="32">
        <v>3380</v>
      </c>
      <c r="J1050" s="34">
        <v>72.400000000000006</v>
      </c>
    </row>
    <row r="1051" spans="1:10" ht="15.75" customHeight="1">
      <c r="A1051" s="14" t="s">
        <v>9</v>
      </c>
      <c r="B1051" s="15">
        <v>46118</v>
      </c>
      <c r="C1051" s="16" t="s">
        <v>51</v>
      </c>
      <c r="D1051" s="17" t="s">
        <v>46</v>
      </c>
      <c r="E1051" s="18" t="s">
        <v>32</v>
      </c>
      <c r="F1051" s="19">
        <v>1562</v>
      </c>
      <c r="G1051" s="20">
        <v>108</v>
      </c>
      <c r="H1051" s="21">
        <v>86</v>
      </c>
      <c r="I1051" s="22">
        <v>1584</v>
      </c>
      <c r="J1051" s="35">
        <v>79.599999999999994</v>
      </c>
    </row>
    <row r="1052" spans="1:10" ht="15.75" customHeight="1">
      <c r="A1052" s="24" t="s">
        <v>9</v>
      </c>
      <c r="B1052" s="25">
        <v>46118</v>
      </c>
      <c r="C1052" s="26" t="s">
        <v>51</v>
      </c>
      <c r="D1052" s="27" t="s">
        <v>46</v>
      </c>
      <c r="E1052" s="28" t="s">
        <v>34</v>
      </c>
      <c r="F1052" s="29">
        <v>3296</v>
      </c>
      <c r="G1052" s="30">
        <v>164</v>
      </c>
      <c r="H1052" s="31">
        <v>107</v>
      </c>
      <c r="I1052" s="32">
        <v>3353</v>
      </c>
      <c r="J1052" s="34">
        <v>65.2</v>
      </c>
    </row>
    <row r="1053" spans="1:10" ht="15.75" customHeight="1">
      <c r="A1053" s="14" t="s">
        <v>9</v>
      </c>
      <c r="B1053" s="15">
        <v>46118</v>
      </c>
      <c r="C1053" s="16" t="s">
        <v>51</v>
      </c>
      <c r="D1053" s="17" t="s">
        <v>46</v>
      </c>
      <c r="E1053" s="18" t="s">
        <v>25</v>
      </c>
      <c r="F1053" s="19">
        <v>1851</v>
      </c>
      <c r="G1053" s="20">
        <v>105</v>
      </c>
      <c r="H1053" s="21">
        <v>91</v>
      </c>
      <c r="I1053" s="22">
        <v>1865</v>
      </c>
      <c r="J1053" s="35">
        <v>86.7</v>
      </c>
    </row>
    <row r="1054" spans="1:10" ht="15.75" customHeight="1">
      <c r="A1054" s="24" t="s">
        <v>9</v>
      </c>
      <c r="B1054" s="25">
        <v>46118</v>
      </c>
      <c r="C1054" s="26" t="s">
        <v>51</v>
      </c>
      <c r="D1054" s="27" t="s">
        <v>46</v>
      </c>
      <c r="E1054" s="28" t="s">
        <v>35</v>
      </c>
      <c r="F1054" s="29">
        <v>1960</v>
      </c>
      <c r="G1054" s="30">
        <v>113</v>
      </c>
      <c r="H1054" s="31">
        <v>101</v>
      </c>
      <c r="I1054" s="32">
        <v>1972</v>
      </c>
      <c r="J1054" s="33">
        <v>89.4</v>
      </c>
    </row>
    <row r="1055" spans="1:10" ht="15.75" customHeight="1">
      <c r="A1055" s="14" t="s">
        <v>9</v>
      </c>
      <c r="B1055" s="15">
        <v>46118</v>
      </c>
      <c r="C1055" s="16" t="s">
        <v>51</v>
      </c>
      <c r="D1055" s="17" t="s">
        <v>46</v>
      </c>
      <c r="E1055" s="18" t="s">
        <v>29</v>
      </c>
      <c r="F1055" s="19">
        <v>2310</v>
      </c>
      <c r="G1055" s="20">
        <v>97</v>
      </c>
      <c r="H1055" s="21">
        <v>83</v>
      </c>
      <c r="I1055" s="22">
        <v>2324</v>
      </c>
      <c r="J1055" s="35">
        <v>85.6</v>
      </c>
    </row>
    <row r="1056" spans="1:10" ht="15.75" customHeight="1">
      <c r="A1056" s="24" t="s">
        <v>9</v>
      </c>
      <c r="B1056" s="25">
        <v>46118</v>
      </c>
      <c r="C1056" s="26" t="s">
        <v>51</v>
      </c>
      <c r="D1056" s="27" t="s">
        <v>46</v>
      </c>
      <c r="E1056" s="28" t="s">
        <v>31</v>
      </c>
      <c r="F1056" s="29">
        <v>2863</v>
      </c>
      <c r="G1056" s="30">
        <v>110</v>
      </c>
      <c r="H1056" s="31">
        <v>74</v>
      </c>
      <c r="I1056" s="32">
        <v>2899</v>
      </c>
      <c r="J1056" s="34">
        <v>67.3</v>
      </c>
    </row>
    <row r="1057" spans="1:10" ht="15.75" customHeight="1">
      <c r="A1057" s="14" t="s">
        <v>9</v>
      </c>
      <c r="B1057" s="15">
        <v>46118</v>
      </c>
      <c r="C1057" s="16" t="s">
        <v>51</v>
      </c>
      <c r="D1057" s="17" t="s">
        <v>46</v>
      </c>
      <c r="E1057" s="18" t="s">
        <v>33</v>
      </c>
      <c r="F1057" s="19">
        <v>1119</v>
      </c>
      <c r="G1057" s="20">
        <v>78</v>
      </c>
      <c r="H1057" s="21">
        <v>65</v>
      </c>
      <c r="I1057" s="22">
        <v>1132</v>
      </c>
      <c r="J1057" s="35">
        <v>83.3</v>
      </c>
    </row>
    <row r="1058" spans="1:10" ht="15.75" customHeight="1">
      <c r="A1058" s="24" t="s">
        <v>9</v>
      </c>
      <c r="B1058" s="25">
        <v>46118</v>
      </c>
      <c r="C1058" s="26" t="s">
        <v>51</v>
      </c>
      <c r="D1058" s="27" t="s">
        <v>46</v>
      </c>
      <c r="E1058" s="28" t="s">
        <v>36</v>
      </c>
      <c r="F1058" s="29">
        <v>3583</v>
      </c>
      <c r="G1058" s="30">
        <v>164</v>
      </c>
      <c r="H1058" s="31">
        <v>100</v>
      </c>
      <c r="I1058" s="32">
        <v>3647</v>
      </c>
      <c r="J1058" s="34">
        <v>61</v>
      </c>
    </row>
    <row r="1059" spans="1:10" ht="15.75" customHeight="1">
      <c r="A1059" s="14" t="s">
        <v>9</v>
      </c>
      <c r="B1059" s="15">
        <v>46119</v>
      </c>
      <c r="C1059" s="16" t="s">
        <v>52</v>
      </c>
      <c r="D1059" s="17" t="s">
        <v>46</v>
      </c>
      <c r="E1059" s="18" t="s">
        <v>26</v>
      </c>
      <c r="F1059" s="19">
        <v>2903</v>
      </c>
      <c r="G1059" s="20">
        <v>110</v>
      </c>
      <c r="H1059" s="21">
        <v>89</v>
      </c>
      <c r="I1059" s="22">
        <v>2924</v>
      </c>
      <c r="J1059" s="35">
        <v>80.900000000000006</v>
      </c>
    </row>
    <row r="1060" spans="1:10" ht="15.75" customHeight="1">
      <c r="A1060" s="24" t="s">
        <v>9</v>
      </c>
      <c r="B1060" s="25">
        <v>46119</v>
      </c>
      <c r="C1060" s="26" t="s">
        <v>52</v>
      </c>
      <c r="D1060" s="27" t="s">
        <v>46</v>
      </c>
      <c r="E1060" s="28" t="s">
        <v>27</v>
      </c>
      <c r="F1060" s="29">
        <v>2116</v>
      </c>
      <c r="G1060" s="30">
        <v>130</v>
      </c>
      <c r="H1060" s="31">
        <v>93</v>
      </c>
      <c r="I1060" s="32">
        <v>2153</v>
      </c>
      <c r="J1060" s="34">
        <v>71.5</v>
      </c>
    </row>
    <row r="1061" spans="1:10" ht="15.75" customHeight="1">
      <c r="A1061" s="14" t="s">
        <v>9</v>
      </c>
      <c r="B1061" s="15">
        <v>46119</v>
      </c>
      <c r="C1061" s="16" t="s">
        <v>52</v>
      </c>
      <c r="D1061" s="17" t="s">
        <v>46</v>
      </c>
      <c r="E1061" s="18" t="s">
        <v>30</v>
      </c>
      <c r="F1061" s="19">
        <v>3380</v>
      </c>
      <c r="G1061" s="20">
        <v>100</v>
      </c>
      <c r="H1061" s="21">
        <v>75</v>
      </c>
      <c r="I1061" s="22">
        <v>3405</v>
      </c>
      <c r="J1061" s="35">
        <v>75</v>
      </c>
    </row>
    <row r="1062" spans="1:10" ht="15.75" customHeight="1">
      <c r="A1062" s="24" t="s">
        <v>9</v>
      </c>
      <c r="B1062" s="25">
        <v>46119</v>
      </c>
      <c r="C1062" s="26" t="s">
        <v>52</v>
      </c>
      <c r="D1062" s="27" t="s">
        <v>46</v>
      </c>
      <c r="E1062" s="28" t="s">
        <v>32</v>
      </c>
      <c r="F1062" s="29">
        <v>1584</v>
      </c>
      <c r="G1062" s="30">
        <v>112</v>
      </c>
      <c r="H1062" s="31">
        <v>86</v>
      </c>
      <c r="I1062" s="32">
        <v>1610</v>
      </c>
      <c r="J1062" s="33">
        <v>76.8</v>
      </c>
    </row>
    <row r="1063" spans="1:10" ht="15.75" customHeight="1">
      <c r="A1063" s="14" t="s">
        <v>9</v>
      </c>
      <c r="B1063" s="15">
        <v>46119</v>
      </c>
      <c r="C1063" s="16" t="s">
        <v>52</v>
      </c>
      <c r="D1063" s="17" t="s">
        <v>46</v>
      </c>
      <c r="E1063" s="18" t="s">
        <v>34</v>
      </c>
      <c r="F1063" s="19">
        <v>3353</v>
      </c>
      <c r="G1063" s="20">
        <v>168</v>
      </c>
      <c r="H1063" s="21">
        <v>112</v>
      </c>
      <c r="I1063" s="22">
        <v>3409</v>
      </c>
      <c r="J1063" s="23">
        <v>66.7</v>
      </c>
    </row>
    <row r="1064" spans="1:10" ht="15.75" customHeight="1">
      <c r="A1064" s="24" t="s">
        <v>9</v>
      </c>
      <c r="B1064" s="25">
        <v>46119</v>
      </c>
      <c r="C1064" s="26" t="s">
        <v>52</v>
      </c>
      <c r="D1064" s="27" t="s">
        <v>46</v>
      </c>
      <c r="E1064" s="28" t="s">
        <v>25</v>
      </c>
      <c r="F1064" s="29">
        <v>1865</v>
      </c>
      <c r="G1064" s="30">
        <v>58</v>
      </c>
      <c r="H1064" s="31">
        <v>49</v>
      </c>
      <c r="I1064" s="32">
        <v>1874</v>
      </c>
      <c r="J1064" s="33">
        <v>84.5</v>
      </c>
    </row>
    <row r="1065" spans="1:10" ht="15.75" customHeight="1">
      <c r="A1065" s="14" t="s">
        <v>9</v>
      </c>
      <c r="B1065" s="15">
        <v>46119</v>
      </c>
      <c r="C1065" s="16" t="s">
        <v>52</v>
      </c>
      <c r="D1065" s="17" t="s">
        <v>46</v>
      </c>
      <c r="E1065" s="18" t="s">
        <v>35</v>
      </c>
      <c r="F1065" s="19">
        <v>1972</v>
      </c>
      <c r="G1065" s="20">
        <v>135</v>
      </c>
      <c r="H1065" s="21">
        <v>114</v>
      </c>
      <c r="I1065" s="22">
        <v>1993</v>
      </c>
      <c r="J1065" s="35">
        <v>84.4</v>
      </c>
    </row>
    <row r="1066" spans="1:10" ht="15.75" customHeight="1">
      <c r="A1066" s="24" t="s">
        <v>9</v>
      </c>
      <c r="B1066" s="25">
        <v>46119</v>
      </c>
      <c r="C1066" s="26" t="s">
        <v>52</v>
      </c>
      <c r="D1066" s="27" t="s">
        <v>46</v>
      </c>
      <c r="E1066" s="28" t="s">
        <v>29</v>
      </c>
      <c r="F1066" s="29">
        <v>2324</v>
      </c>
      <c r="G1066" s="30">
        <v>75</v>
      </c>
      <c r="H1066" s="31">
        <v>57</v>
      </c>
      <c r="I1066" s="32">
        <v>2342</v>
      </c>
      <c r="J1066" s="33">
        <v>76</v>
      </c>
    </row>
    <row r="1067" spans="1:10" ht="15.75" customHeight="1">
      <c r="A1067" s="14" t="s">
        <v>9</v>
      </c>
      <c r="B1067" s="15">
        <v>46119</v>
      </c>
      <c r="C1067" s="16" t="s">
        <v>52</v>
      </c>
      <c r="D1067" s="17" t="s">
        <v>46</v>
      </c>
      <c r="E1067" s="18" t="s">
        <v>31</v>
      </c>
      <c r="F1067" s="19">
        <v>2899</v>
      </c>
      <c r="G1067" s="20">
        <v>152</v>
      </c>
      <c r="H1067" s="21">
        <v>124</v>
      </c>
      <c r="I1067" s="22">
        <v>2927</v>
      </c>
      <c r="J1067" s="35">
        <v>81.599999999999994</v>
      </c>
    </row>
    <row r="1068" spans="1:10" ht="15.75" customHeight="1">
      <c r="A1068" s="24" t="s">
        <v>9</v>
      </c>
      <c r="B1068" s="25">
        <v>46119</v>
      </c>
      <c r="C1068" s="26" t="s">
        <v>52</v>
      </c>
      <c r="D1068" s="27" t="s">
        <v>46</v>
      </c>
      <c r="E1068" s="28" t="s">
        <v>33</v>
      </c>
      <c r="F1068" s="29">
        <v>1132</v>
      </c>
      <c r="G1068" s="30">
        <v>93</v>
      </c>
      <c r="H1068" s="31">
        <v>85</v>
      </c>
      <c r="I1068" s="32">
        <v>1140</v>
      </c>
      <c r="J1068" s="33">
        <v>91.4</v>
      </c>
    </row>
    <row r="1069" spans="1:10" ht="15.75" customHeight="1">
      <c r="A1069" s="14" t="s">
        <v>9</v>
      </c>
      <c r="B1069" s="15">
        <v>46119</v>
      </c>
      <c r="C1069" s="16" t="s">
        <v>52</v>
      </c>
      <c r="D1069" s="17" t="s">
        <v>46</v>
      </c>
      <c r="E1069" s="18" t="s">
        <v>36</v>
      </c>
      <c r="F1069" s="19">
        <v>3647</v>
      </c>
      <c r="G1069" s="20">
        <v>122</v>
      </c>
      <c r="H1069" s="21">
        <v>91</v>
      </c>
      <c r="I1069" s="22">
        <v>3678</v>
      </c>
      <c r="J1069" s="23">
        <v>74.599999999999994</v>
      </c>
    </row>
    <row r="1070" spans="1:10" ht="15.75" customHeight="1">
      <c r="A1070" s="24" t="s">
        <v>9</v>
      </c>
      <c r="B1070" s="25">
        <v>46120</v>
      </c>
      <c r="C1070" s="26" t="s">
        <v>53</v>
      </c>
      <c r="D1070" s="27" t="s">
        <v>46</v>
      </c>
      <c r="E1070" s="28" t="s">
        <v>26</v>
      </c>
      <c r="F1070" s="29">
        <v>2924</v>
      </c>
      <c r="G1070" s="30">
        <v>146</v>
      </c>
      <c r="H1070" s="31">
        <v>108</v>
      </c>
      <c r="I1070" s="32">
        <v>2962</v>
      </c>
      <c r="J1070" s="34">
        <v>74</v>
      </c>
    </row>
    <row r="1071" spans="1:10" ht="15.75" customHeight="1">
      <c r="A1071" s="14" t="s">
        <v>9</v>
      </c>
      <c r="B1071" s="15">
        <v>46120</v>
      </c>
      <c r="C1071" s="16" t="s">
        <v>53</v>
      </c>
      <c r="D1071" s="17" t="s">
        <v>46</v>
      </c>
      <c r="E1071" s="18" t="s">
        <v>27</v>
      </c>
      <c r="F1071" s="19">
        <v>2153</v>
      </c>
      <c r="G1071" s="20">
        <v>77</v>
      </c>
      <c r="H1071" s="21">
        <v>60</v>
      </c>
      <c r="I1071" s="22">
        <v>2170</v>
      </c>
      <c r="J1071" s="35">
        <v>77.900000000000006</v>
      </c>
    </row>
    <row r="1072" spans="1:10" ht="15.75" customHeight="1">
      <c r="A1072" s="24" t="s">
        <v>9</v>
      </c>
      <c r="B1072" s="25">
        <v>46120</v>
      </c>
      <c r="C1072" s="26" t="s">
        <v>53</v>
      </c>
      <c r="D1072" s="27" t="s">
        <v>46</v>
      </c>
      <c r="E1072" s="28" t="s">
        <v>30</v>
      </c>
      <c r="F1072" s="29">
        <v>3405</v>
      </c>
      <c r="G1072" s="30">
        <v>118</v>
      </c>
      <c r="H1072" s="31">
        <v>72</v>
      </c>
      <c r="I1072" s="32">
        <v>3451</v>
      </c>
      <c r="J1072" s="34">
        <v>61</v>
      </c>
    </row>
    <row r="1073" spans="1:10" ht="15.75" customHeight="1">
      <c r="A1073" s="14" t="s">
        <v>9</v>
      </c>
      <c r="B1073" s="15">
        <v>46120</v>
      </c>
      <c r="C1073" s="16" t="s">
        <v>53</v>
      </c>
      <c r="D1073" s="17" t="s">
        <v>46</v>
      </c>
      <c r="E1073" s="18" t="s">
        <v>32</v>
      </c>
      <c r="F1073" s="19">
        <v>1610</v>
      </c>
      <c r="G1073" s="20">
        <v>81</v>
      </c>
      <c r="H1073" s="21">
        <v>60</v>
      </c>
      <c r="I1073" s="22">
        <v>1631</v>
      </c>
      <c r="J1073" s="23">
        <v>74.099999999999994</v>
      </c>
    </row>
    <row r="1074" spans="1:10" ht="15.75" customHeight="1">
      <c r="A1074" s="24" t="s">
        <v>9</v>
      </c>
      <c r="B1074" s="25">
        <v>46120</v>
      </c>
      <c r="C1074" s="26" t="s">
        <v>53</v>
      </c>
      <c r="D1074" s="27" t="s">
        <v>46</v>
      </c>
      <c r="E1074" s="28" t="s">
        <v>34</v>
      </c>
      <c r="F1074" s="29">
        <v>3409</v>
      </c>
      <c r="G1074" s="30">
        <v>175</v>
      </c>
      <c r="H1074" s="31">
        <v>143</v>
      </c>
      <c r="I1074" s="32">
        <v>3441</v>
      </c>
      <c r="J1074" s="33">
        <v>81.7</v>
      </c>
    </row>
    <row r="1075" spans="1:10" ht="15.75" customHeight="1">
      <c r="A1075" s="14" t="s">
        <v>9</v>
      </c>
      <c r="B1075" s="15">
        <v>46120</v>
      </c>
      <c r="C1075" s="16" t="s">
        <v>53</v>
      </c>
      <c r="D1075" s="17" t="s">
        <v>46</v>
      </c>
      <c r="E1075" s="18" t="s">
        <v>25</v>
      </c>
      <c r="F1075" s="19">
        <v>1874</v>
      </c>
      <c r="G1075" s="20">
        <v>64</v>
      </c>
      <c r="H1075" s="21">
        <v>52</v>
      </c>
      <c r="I1075" s="22">
        <v>1886</v>
      </c>
      <c r="J1075" s="35">
        <v>81.2</v>
      </c>
    </row>
    <row r="1076" spans="1:10" ht="15.75" customHeight="1">
      <c r="A1076" s="24" t="s">
        <v>9</v>
      </c>
      <c r="B1076" s="25">
        <v>46120</v>
      </c>
      <c r="C1076" s="26" t="s">
        <v>53</v>
      </c>
      <c r="D1076" s="27" t="s">
        <v>46</v>
      </c>
      <c r="E1076" s="28" t="s">
        <v>35</v>
      </c>
      <c r="F1076" s="29">
        <v>1993</v>
      </c>
      <c r="G1076" s="30">
        <v>103</v>
      </c>
      <c r="H1076" s="31">
        <v>74</v>
      </c>
      <c r="I1076" s="32">
        <v>2022</v>
      </c>
      <c r="J1076" s="34">
        <v>71.8</v>
      </c>
    </row>
    <row r="1077" spans="1:10" ht="15.75" customHeight="1">
      <c r="A1077" s="14" t="s">
        <v>9</v>
      </c>
      <c r="B1077" s="15">
        <v>46120</v>
      </c>
      <c r="C1077" s="16" t="s">
        <v>53</v>
      </c>
      <c r="D1077" s="17" t="s">
        <v>46</v>
      </c>
      <c r="E1077" s="18" t="s">
        <v>29</v>
      </c>
      <c r="F1077" s="19">
        <v>2342</v>
      </c>
      <c r="G1077" s="20">
        <v>69</v>
      </c>
      <c r="H1077" s="21">
        <v>56</v>
      </c>
      <c r="I1077" s="22">
        <v>2355</v>
      </c>
      <c r="J1077" s="35">
        <v>81.2</v>
      </c>
    </row>
    <row r="1078" spans="1:10" ht="15.75" customHeight="1">
      <c r="A1078" s="24" t="s">
        <v>9</v>
      </c>
      <c r="B1078" s="25">
        <v>46120</v>
      </c>
      <c r="C1078" s="26" t="s">
        <v>53</v>
      </c>
      <c r="D1078" s="27" t="s">
        <v>46</v>
      </c>
      <c r="E1078" s="28" t="s">
        <v>31</v>
      </c>
      <c r="F1078" s="29">
        <v>2927</v>
      </c>
      <c r="G1078" s="30">
        <v>92</v>
      </c>
      <c r="H1078" s="31">
        <v>65</v>
      </c>
      <c r="I1078" s="32">
        <v>2954</v>
      </c>
      <c r="J1078" s="34">
        <v>70.7</v>
      </c>
    </row>
    <row r="1079" spans="1:10" ht="15.75" customHeight="1">
      <c r="A1079" s="14" t="s">
        <v>9</v>
      </c>
      <c r="B1079" s="15">
        <v>46120</v>
      </c>
      <c r="C1079" s="16" t="s">
        <v>53</v>
      </c>
      <c r="D1079" s="17" t="s">
        <v>46</v>
      </c>
      <c r="E1079" s="18" t="s">
        <v>33</v>
      </c>
      <c r="F1079" s="19">
        <v>1140</v>
      </c>
      <c r="G1079" s="20">
        <v>59</v>
      </c>
      <c r="H1079" s="21">
        <v>46</v>
      </c>
      <c r="I1079" s="22">
        <v>1153</v>
      </c>
      <c r="J1079" s="35">
        <v>78</v>
      </c>
    </row>
    <row r="1080" spans="1:10" ht="15.75" customHeight="1">
      <c r="A1080" s="24" t="s">
        <v>9</v>
      </c>
      <c r="B1080" s="25">
        <v>46120</v>
      </c>
      <c r="C1080" s="26" t="s">
        <v>53</v>
      </c>
      <c r="D1080" s="27" t="s">
        <v>46</v>
      </c>
      <c r="E1080" s="28" t="s">
        <v>36</v>
      </c>
      <c r="F1080" s="29">
        <v>3678</v>
      </c>
      <c r="G1080" s="30">
        <v>137</v>
      </c>
      <c r="H1080" s="31">
        <v>85</v>
      </c>
      <c r="I1080" s="32">
        <v>3730</v>
      </c>
      <c r="J1080" s="34">
        <v>62</v>
      </c>
    </row>
    <row r="1081" spans="1:10" ht="15.75" customHeight="1">
      <c r="A1081" s="14" t="s">
        <v>9</v>
      </c>
      <c r="B1081" s="15">
        <v>46121</v>
      </c>
      <c r="C1081" s="16" t="s">
        <v>45</v>
      </c>
      <c r="D1081" s="17" t="s">
        <v>46</v>
      </c>
      <c r="E1081" s="18" t="s">
        <v>26</v>
      </c>
      <c r="F1081" s="19">
        <v>2962</v>
      </c>
      <c r="G1081" s="20">
        <v>140</v>
      </c>
      <c r="H1081" s="21">
        <v>98</v>
      </c>
      <c r="I1081" s="22">
        <v>3004</v>
      </c>
      <c r="J1081" s="23">
        <v>70</v>
      </c>
    </row>
    <row r="1082" spans="1:10" ht="15.75" customHeight="1">
      <c r="A1082" s="24" t="s">
        <v>9</v>
      </c>
      <c r="B1082" s="25">
        <v>46121</v>
      </c>
      <c r="C1082" s="26" t="s">
        <v>45</v>
      </c>
      <c r="D1082" s="27" t="s">
        <v>46</v>
      </c>
      <c r="E1082" s="28" t="s">
        <v>27</v>
      </c>
      <c r="F1082" s="29">
        <v>2170</v>
      </c>
      <c r="G1082" s="30">
        <v>120</v>
      </c>
      <c r="H1082" s="31">
        <v>99</v>
      </c>
      <c r="I1082" s="32">
        <v>2191</v>
      </c>
      <c r="J1082" s="33">
        <v>82.5</v>
      </c>
    </row>
    <row r="1083" spans="1:10" ht="15.75" customHeight="1">
      <c r="A1083" s="14" t="s">
        <v>9</v>
      </c>
      <c r="B1083" s="15">
        <v>46121</v>
      </c>
      <c r="C1083" s="16" t="s">
        <v>45</v>
      </c>
      <c r="D1083" s="17" t="s">
        <v>46</v>
      </c>
      <c r="E1083" s="18" t="s">
        <v>30</v>
      </c>
      <c r="F1083" s="19">
        <v>3451</v>
      </c>
      <c r="G1083" s="20">
        <v>142</v>
      </c>
      <c r="H1083" s="21">
        <v>91</v>
      </c>
      <c r="I1083" s="22">
        <v>3502</v>
      </c>
      <c r="J1083" s="23">
        <v>64.099999999999994</v>
      </c>
    </row>
    <row r="1084" spans="1:10" ht="15.75" customHeight="1">
      <c r="A1084" s="24" t="s">
        <v>9</v>
      </c>
      <c r="B1084" s="25">
        <v>46121</v>
      </c>
      <c r="C1084" s="26" t="s">
        <v>45</v>
      </c>
      <c r="D1084" s="27" t="s">
        <v>46</v>
      </c>
      <c r="E1084" s="28" t="s">
        <v>32</v>
      </c>
      <c r="F1084" s="29">
        <v>1631</v>
      </c>
      <c r="G1084" s="30">
        <v>66</v>
      </c>
      <c r="H1084" s="31">
        <v>50</v>
      </c>
      <c r="I1084" s="32">
        <v>1647</v>
      </c>
      <c r="J1084" s="33">
        <v>75.8</v>
      </c>
    </row>
    <row r="1085" spans="1:10" ht="15.75" customHeight="1">
      <c r="A1085" s="14" t="s">
        <v>9</v>
      </c>
      <c r="B1085" s="15">
        <v>46121</v>
      </c>
      <c r="C1085" s="16" t="s">
        <v>45</v>
      </c>
      <c r="D1085" s="17" t="s">
        <v>46</v>
      </c>
      <c r="E1085" s="18" t="s">
        <v>34</v>
      </c>
      <c r="F1085" s="19">
        <v>3441</v>
      </c>
      <c r="G1085" s="20">
        <v>155</v>
      </c>
      <c r="H1085" s="21">
        <v>118</v>
      </c>
      <c r="I1085" s="22">
        <v>3478</v>
      </c>
      <c r="J1085" s="35">
        <v>76.099999999999994</v>
      </c>
    </row>
    <row r="1086" spans="1:10" ht="15.75" customHeight="1">
      <c r="A1086" s="24" t="s">
        <v>9</v>
      </c>
      <c r="B1086" s="25">
        <v>46121</v>
      </c>
      <c r="C1086" s="26" t="s">
        <v>45</v>
      </c>
      <c r="D1086" s="27" t="s">
        <v>46</v>
      </c>
      <c r="E1086" s="28" t="s">
        <v>25</v>
      </c>
      <c r="F1086" s="29">
        <v>1886</v>
      </c>
      <c r="G1086" s="30">
        <v>77</v>
      </c>
      <c r="H1086" s="31">
        <v>65</v>
      </c>
      <c r="I1086" s="32">
        <v>1898</v>
      </c>
      <c r="J1086" s="33">
        <v>84.4</v>
      </c>
    </row>
    <row r="1087" spans="1:10" ht="15.75" customHeight="1">
      <c r="A1087" s="14" t="s">
        <v>9</v>
      </c>
      <c r="B1087" s="15">
        <v>46121</v>
      </c>
      <c r="C1087" s="16" t="s">
        <v>45</v>
      </c>
      <c r="D1087" s="17" t="s">
        <v>46</v>
      </c>
      <c r="E1087" s="18" t="s">
        <v>35</v>
      </c>
      <c r="F1087" s="19">
        <v>2022</v>
      </c>
      <c r="G1087" s="20">
        <v>134</v>
      </c>
      <c r="H1087" s="21">
        <v>123</v>
      </c>
      <c r="I1087" s="22">
        <v>2033</v>
      </c>
      <c r="J1087" s="35">
        <v>91.8</v>
      </c>
    </row>
    <row r="1088" spans="1:10" ht="15.75" customHeight="1">
      <c r="A1088" s="24" t="s">
        <v>9</v>
      </c>
      <c r="B1088" s="25">
        <v>46121</v>
      </c>
      <c r="C1088" s="26" t="s">
        <v>45</v>
      </c>
      <c r="D1088" s="27" t="s">
        <v>46</v>
      </c>
      <c r="E1088" s="28" t="s">
        <v>29</v>
      </c>
      <c r="F1088" s="29">
        <v>2355</v>
      </c>
      <c r="G1088" s="30">
        <v>111</v>
      </c>
      <c r="H1088" s="31">
        <v>74</v>
      </c>
      <c r="I1088" s="32">
        <v>2392</v>
      </c>
      <c r="J1088" s="34">
        <v>66.7</v>
      </c>
    </row>
    <row r="1089" spans="1:10" ht="15.75" customHeight="1">
      <c r="A1089" s="14" t="s">
        <v>9</v>
      </c>
      <c r="B1089" s="15">
        <v>46121</v>
      </c>
      <c r="C1089" s="16" t="s">
        <v>45</v>
      </c>
      <c r="D1089" s="17" t="s">
        <v>46</v>
      </c>
      <c r="E1089" s="18" t="s">
        <v>31</v>
      </c>
      <c r="F1089" s="19">
        <v>2954</v>
      </c>
      <c r="G1089" s="20">
        <v>97</v>
      </c>
      <c r="H1089" s="21">
        <v>63</v>
      </c>
      <c r="I1089" s="22">
        <v>2988</v>
      </c>
      <c r="J1089" s="23">
        <v>64.900000000000006</v>
      </c>
    </row>
    <row r="1090" spans="1:10" ht="15.75" customHeight="1">
      <c r="A1090" s="24" t="s">
        <v>9</v>
      </c>
      <c r="B1090" s="25">
        <v>46121</v>
      </c>
      <c r="C1090" s="26" t="s">
        <v>45</v>
      </c>
      <c r="D1090" s="27" t="s">
        <v>46</v>
      </c>
      <c r="E1090" s="28" t="s">
        <v>33</v>
      </c>
      <c r="F1090" s="29">
        <v>1153</v>
      </c>
      <c r="G1090" s="30">
        <v>80</v>
      </c>
      <c r="H1090" s="31">
        <v>72</v>
      </c>
      <c r="I1090" s="32">
        <v>1161</v>
      </c>
      <c r="J1090" s="33">
        <v>90</v>
      </c>
    </row>
    <row r="1091" spans="1:10" ht="15.75" customHeight="1">
      <c r="A1091" s="14" t="s">
        <v>9</v>
      </c>
      <c r="B1091" s="15">
        <v>46121</v>
      </c>
      <c r="C1091" s="16" t="s">
        <v>45</v>
      </c>
      <c r="D1091" s="17" t="s">
        <v>46</v>
      </c>
      <c r="E1091" s="18" t="s">
        <v>36</v>
      </c>
      <c r="F1091" s="19">
        <v>3730</v>
      </c>
      <c r="G1091" s="20">
        <v>108</v>
      </c>
      <c r="H1091" s="21">
        <v>72</v>
      </c>
      <c r="I1091" s="22">
        <v>3766</v>
      </c>
      <c r="J1091" s="23">
        <v>66.7</v>
      </c>
    </row>
    <row r="1092" spans="1:10" ht="15.75" customHeight="1">
      <c r="A1092" s="24" t="s">
        <v>9</v>
      </c>
      <c r="B1092" s="25">
        <v>46122</v>
      </c>
      <c r="C1092" s="26" t="s">
        <v>47</v>
      </c>
      <c r="D1092" s="27" t="s">
        <v>46</v>
      </c>
      <c r="E1092" s="28" t="s">
        <v>26</v>
      </c>
      <c r="F1092" s="29">
        <v>3004</v>
      </c>
      <c r="G1092" s="30">
        <v>111</v>
      </c>
      <c r="H1092" s="31">
        <v>74</v>
      </c>
      <c r="I1092" s="32">
        <v>3041</v>
      </c>
      <c r="J1092" s="34">
        <v>66.7</v>
      </c>
    </row>
    <row r="1093" spans="1:10" ht="15.75" customHeight="1">
      <c r="A1093" s="14" t="s">
        <v>9</v>
      </c>
      <c r="B1093" s="15">
        <v>46122</v>
      </c>
      <c r="C1093" s="16" t="s">
        <v>47</v>
      </c>
      <c r="D1093" s="17" t="s">
        <v>46</v>
      </c>
      <c r="E1093" s="18" t="s">
        <v>27</v>
      </c>
      <c r="F1093" s="19">
        <v>2191</v>
      </c>
      <c r="G1093" s="20">
        <v>98</v>
      </c>
      <c r="H1093" s="21">
        <v>85</v>
      </c>
      <c r="I1093" s="22">
        <v>2204</v>
      </c>
      <c r="J1093" s="35">
        <v>86.7</v>
      </c>
    </row>
    <row r="1094" spans="1:10" ht="15.75" customHeight="1">
      <c r="A1094" s="24" t="s">
        <v>9</v>
      </c>
      <c r="B1094" s="25">
        <v>46122</v>
      </c>
      <c r="C1094" s="26" t="s">
        <v>47</v>
      </c>
      <c r="D1094" s="27" t="s">
        <v>46</v>
      </c>
      <c r="E1094" s="28" t="s">
        <v>30</v>
      </c>
      <c r="F1094" s="29">
        <v>3502</v>
      </c>
      <c r="G1094" s="30">
        <v>102</v>
      </c>
      <c r="H1094" s="31">
        <v>62</v>
      </c>
      <c r="I1094" s="32">
        <v>3542</v>
      </c>
      <c r="J1094" s="34">
        <v>60.8</v>
      </c>
    </row>
    <row r="1095" spans="1:10" ht="15.75" customHeight="1">
      <c r="A1095" s="14" t="s">
        <v>9</v>
      </c>
      <c r="B1095" s="15">
        <v>46122</v>
      </c>
      <c r="C1095" s="16" t="s">
        <v>47</v>
      </c>
      <c r="D1095" s="17" t="s">
        <v>46</v>
      </c>
      <c r="E1095" s="18" t="s">
        <v>32</v>
      </c>
      <c r="F1095" s="19">
        <v>1647</v>
      </c>
      <c r="G1095" s="20">
        <v>101</v>
      </c>
      <c r="H1095" s="21">
        <v>92</v>
      </c>
      <c r="I1095" s="22">
        <v>1656</v>
      </c>
      <c r="J1095" s="35">
        <v>91.1</v>
      </c>
    </row>
    <row r="1096" spans="1:10" ht="15.75" customHeight="1">
      <c r="A1096" s="24" t="s">
        <v>9</v>
      </c>
      <c r="B1096" s="25">
        <v>46122</v>
      </c>
      <c r="C1096" s="26" t="s">
        <v>47</v>
      </c>
      <c r="D1096" s="27" t="s">
        <v>46</v>
      </c>
      <c r="E1096" s="28" t="s">
        <v>34</v>
      </c>
      <c r="F1096" s="29">
        <v>3478</v>
      </c>
      <c r="G1096" s="30">
        <v>101</v>
      </c>
      <c r="H1096" s="31">
        <v>64</v>
      </c>
      <c r="I1096" s="32">
        <v>3515</v>
      </c>
      <c r="J1096" s="34">
        <v>63.4</v>
      </c>
    </row>
    <row r="1097" spans="1:10" ht="15.75" customHeight="1">
      <c r="A1097" s="14" t="s">
        <v>9</v>
      </c>
      <c r="B1097" s="15">
        <v>46122</v>
      </c>
      <c r="C1097" s="16" t="s">
        <v>47</v>
      </c>
      <c r="D1097" s="17" t="s">
        <v>46</v>
      </c>
      <c r="E1097" s="18" t="s">
        <v>25</v>
      </c>
      <c r="F1097" s="19">
        <v>1898</v>
      </c>
      <c r="G1097" s="20">
        <v>109</v>
      </c>
      <c r="H1097" s="21">
        <v>81</v>
      </c>
      <c r="I1097" s="22">
        <v>1926</v>
      </c>
      <c r="J1097" s="23">
        <v>74.3</v>
      </c>
    </row>
    <row r="1098" spans="1:10" ht="15.75" customHeight="1">
      <c r="A1098" s="24" t="s">
        <v>9</v>
      </c>
      <c r="B1098" s="25">
        <v>46122</v>
      </c>
      <c r="C1098" s="26" t="s">
        <v>47</v>
      </c>
      <c r="D1098" s="27" t="s">
        <v>46</v>
      </c>
      <c r="E1098" s="28" t="s">
        <v>35</v>
      </c>
      <c r="F1098" s="29">
        <v>2033</v>
      </c>
      <c r="G1098" s="30">
        <v>96</v>
      </c>
      <c r="H1098" s="31">
        <v>82</v>
      </c>
      <c r="I1098" s="32">
        <v>2047</v>
      </c>
      <c r="J1098" s="33">
        <v>85.4</v>
      </c>
    </row>
    <row r="1099" spans="1:10" ht="15.75" customHeight="1">
      <c r="A1099" s="14" t="s">
        <v>9</v>
      </c>
      <c r="B1099" s="15">
        <v>46122</v>
      </c>
      <c r="C1099" s="16" t="s">
        <v>47</v>
      </c>
      <c r="D1099" s="17" t="s">
        <v>46</v>
      </c>
      <c r="E1099" s="18" t="s">
        <v>29</v>
      </c>
      <c r="F1099" s="19">
        <v>2392</v>
      </c>
      <c r="G1099" s="20">
        <v>96</v>
      </c>
      <c r="H1099" s="21">
        <v>78</v>
      </c>
      <c r="I1099" s="22">
        <v>2410</v>
      </c>
      <c r="J1099" s="35">
        <v>81.2</v>
      </c>
    </row>
    <row r="1100" spans="1:10" ht="15.75" customHeight="1">
      <c r="A1100" s="24" t="s">
        <v>9</v>
      </c>
      <c r="B1100" s="25">
        <v>46122</v>
      </c>
      <c r="C1100" s="26" t="s">
        <v>47</v>
      </c>
      <c r="D1100" s="27" t="s">
        <v>46</v>
      </c>
      <c r="E1100" s="28" t="s">
        <v>31</v>
      </c>
      <c r="F1100" s="29">
        <v>2988</v>
      </c>
      <c r="G1100" s="30">
        <v>112</v>
      </c>
      <c r="H1100" s="31">
        <v>83</v>
      </c>
      <c r="I1100" s="32">
        <v>3017</v>
      </c>
      <c r="J1100" s="34">
        <v>74.099999999999994</v>
      </c>
    </row>
    <row r="1101" spans="1:10" ht="15.75" customHeight="1">
      <c r="A1101" s="14" t="s">
        <v>9</v>
      </c>
      <c r="B1101" s="15">
        <v>46122</v>
      </c>
      <c r="C1101" s="16" t="s">
        <v>47</v>
      </c>
      <c r="D1101" s="17" t="s">
        <v>46</v>
      </c>
      <c r="E1101" s="18" t="s">
        <v>33</v>
      </c>
      <c r="F1101" s="19">
        <v>1161</v>
      </c>
      <c r="G1101" s="20">
        <v>58</v>
      </c>
      <c r="H1101" s="21">
        <v>47</v>
      </c>
      <c r="I1101" s="22">
        <v>1172</v>
      </c>
      <c r="J1101" s="35">
        <v>81</v>
      </c>
    </row>
    <row r="1102" spans="1:10" ht="15.75" customHeight="1">
      <c r="A1102" s="24" t="s">
        <v>9</v>
      </c>
      <c r="B1102" s="25">
        <v>46122</v>
      </c>
      <c r="C1102" s="26" t="s">
        <v>47</v>
      </c>
      <c r="D1102" s="27" t="s">
        <v>46</v>
      </c>
      <c r="E1102" s="28" t="s">
        <v>36</v>
      </c>
      <c r="F1102" s="29">
        <v>3766</v>
      </c>
      <c r="G1102" s="30">
        <v>143</v>
      </c>
      <c r="H1102" s="31">
        <v>87</v>
      </c>
      <c r="I1102" s="32">
        <v>3822</v>
      </c>
      <c r="J1102" s="34">
        <v>60.8</v>
      </c>
    </row>
    <row r="1103" spans="1:10" ht="15.75" customHeight="1">
      <c r="A1103" s="36" t="s">
        <v>9</v>
      </c>
      <c r="B1103" s="37">
        <v>46123</v>
      </c>
      <c r="C1103" s="38" t="s">
        <v>48</v>
      </c>
      <c r="D1103" s="39" t="s">
        <v>49</v>
      </c>
      <c r="E1103" s="40" t="s">
        <v>26</v>
      </c>
      <c r="F1103" s="41">
        <v>3041</v>
      </c>
      <c r="G1103" s="42">
        <v>44</v>
      </c>
      <c r="H1103" s="43">
        <v>32</v>
      </c>
      <c r="I1103" s="44">
        <v>3053</v>
      </c>
      <c r="J1103" s="46">
        <v>72.7</v>
      </c>
    </row>
    <row r="1104" spans="1:10" ht="15.75" customHeight="1">
      <c r="A1104" s="36" t="s">
        <v>9</v>
      </c>
      <c r="B1104" s="37">
        <v>46123</v>
      </c>
      <c r="C1104" s="38" t="s">
        <v>48</v>
      </c>
      <c r="D1104" s="39" t="s">
        <v>49</v>
      </c>
      <c r="E1104" s="40" t="s">
        <v>27</v>
      </c>
      <c r="F1104" s="41">
        <v>2204</v>
      </c>
      <c r="G1104" s="42">
        <v>41</v>
      </c>
      <c r="H1104" s="43">
        <v>28</v>
      </c>
      <c r="I1104" s="44">
        <v>2217</v>
      </c>
      <c r="J1104" s="46">
        <v>68.3</v>
      </c>
    </row>
    <row r="1105" spans="1:10" ht="15.75" customHeight="1">
      <c r="A1105" s="36" t="s">
        <v>9</v>
      </c>
      <c r="B1105" s="37">
        <v>46123</v>
      </c>
      <c r="C1105" s="38" t="s">
        <v>48</v>
      </c>
      <c r="D1105" s="39" t="s">
        <v>49</v>
      </c>
      <c r="E1105" s="40" t="s">
        <v>30</v>
      </c>
      <c r="F1105" s="41">
        <v>3542</v>
      </c>
      <c r="G1105" s="42">
        <v>73</v>
      </c>
      <c r="H1105" s="43">
        <v>44</v>
      </c>
      <c r="I1105" s="44">
        <v>3571</v>
      </c>
      <c r="J1105" s="46">
        <v>60.3</v>
      </c>
    </row>
    <row r="1106" spans="1:10" ht="15.75" customHeight="1">
      <c r="A1106" s="36" t="s">
        <v>9</v>
      </c>
      <c r="B1106" s="37">
        <v>46123</v>
      </c>
      <c r="C1106" s="38" t="s">
        <v>48</v>
      </c>
      <c r="D1106" s="39" t="s">
        <v>49</v>
      </c>
      <c r="E1106" s="40" t="s">
        <v>32</v>
      </c>
      <c r="F1106" s="41">
        <v>1656</v>
      </c>
      <c r="G1106" s="42">
        <v>44</v>
      </c>
      <c r="H1106" s="43">
        <v>33</v>
      </c>
      <c r="I1106" s="44">
        <v>1667</v>
      </c>
      <c r="J1106" s="45">
        <v>75</v>
      </c>
    </row>
    <row r="1107" spans="1:10" ht="15.75" customHeight="1">
      <c r="A1107" s="36" t="s">
        <v>9</v>
      </c>
      <c r="B1107" s="37">
        <v>46123</v>
      </c>
      <c r="C1107" s="38" t="s">
        <v>48</v>
      </c>
      <c r="D1107" s="39" t="s">
        <v>49</v>
      </c>
      <c r="E1107" s="40" t="s">
        <v>34</v>
      </c>
      <c r="F1107" s="41">
        <v>3515</v>
      </c>
      <c r="G1107" s="42">
        <v>43</v>
      </c>
      <c r="H1107" s="43">
        <v>35</v>
      </c>
      <c r="I1107" s="44">
        <v>3523</v>
      </c>
      <c r="J1107" s="45">
        <v>81.400000000000006</v>
      </c>
    </row>
    <row r="1108" spans="1:10" ht="15.75" customHeight="1">
      <c r="A1108" s="36" t="s">
        <v>9</v>
      </c>
      <c r="B1108" s="37">
        <v>46123</v>
      </c>
      <c r="C1108" s="38" t="s">
        <v>48</v>
      </c>
      <c r="D1108" s="39" t="s">
        <v>49</v>
      </c>
      <c r="E1108" s="40" t="s">
        <v>25</v>
      </c>
      <c r="F1108" s="41">
        <v>1926</v>
      </c>
      <c r="G1108" s="42">
        <v>50</v>
      </c>
      <c r="H1108" s="43">
        <v>42</v>
      </c>
      <c r="I1108" s="44">
        <v>1934</v>
      </c>
      <c r="J1108" s="45">
        <v>84</v>
      </c>
    </row>
    <row r="1109" spans="1:10" ht="15.75" customHeight="1">
      <c r="A1109" s="36" t="s">
        <v>9</v>
      </c>
      <c r="B1109" s="37">
        <v>46123</v>
      </c>
      <c r="C1109" s="38" t="s">
        <v>48</v>
      </c>
      <c r="D1109" s="39" t="s">
        <v>49</v>
      </c>
      <c r="E1109" s="40" t="s">
        <v>35</v>
      </c>
      <c r="F1109" s="41">
        <v>2047</v>
      </c>
      <c r="G1109" s="42">
        <v>63</v>
      </c>
      <c r="H1109" s="43">
        <v>47</v>
      </c>
      <c r="I1109" s="44">
        <v>2063</v>
      </c>
      <c r="J1109" s="46">
        <v>74.599999999999994</v>
      </c>
    </row>
    <row r="1110" spans="1:10" ht="15.75" customHeight="1">
      <c r="A1110" s="36" t="s">
        <v>9</v>
      </c>
      <c r="B1110" s="37">
        <v>46123</v>
      </c>
      <c r="C1110" s="38" t="s">
        <v>48</v>
      </c>
      <c r="D1110" s="39" t="s">
        <v>49</v>
      </c>
      <c r="E1110" s="40" t="s">
        <v>29</v>
      </c>
      <c r="F1110" s="41">
        <v>2410</v>
      </c>
      <c r="G1110" s="42">
        <v>29</v>
      </c>
      <c r="H1110" s="43">
        <v>23</v>
      </c>
      <c r="I1110" s="44">
        <v>2416</v>
      </c>
      <c r="J1110" s="45">
        <v>79.3</v>
      </c>
    </row>
    <row r="1111" spans="1:10" ht="15.75" customHeight="1">
      <c r="A1111" s="36" t="s">
        <v>9</v>
      </c>
      <c r="B1111" s="37">
        <v>46123</v>
      </c>
      <c r="C1111" s="38" t="s">
        <v>48</v>
      </c>
      <c r="D1111" s="39" t="s">
        <v>49</v>
      </c>
      <c r="E1111" s="40" t="s">
        <v>31</v>
      </c>
      <c r="F1111" s="41">
        <v>3017</v>
      </c>
      <c r="G1111" s="42">
        <v>39</v>
      </c>
      <c r="H1111" s="43">
        <v>26</v>
      </c>
      <c r="I1111" s="44">
        <v>3030</v>
      </c>
      <c r="J1111" s="46">
        <v>66.7</v>
      </c>
    </row>
    <row r="1112" spans="1:10" ht="15.75" customHeight="1">
      <c r="A1112" s="36" t="s">
        <v>9</v>
      </c>
      <c r="B1112" s="37">
        <v>46123</v>
      </c>
      <c r="C1112" s="38" t="s">
        <v>48</v>
      </c>
      <c r="D1112" s="39" t="s">
        <v>49</v>
      </c>
      <c r="E1112" s="40" t="s">
        <v>33</v>
      </c>
      <c r="F1112" s="41">
        <v>1172</v>
      </c>
      <c r="G1112" s="42">
        <v>24</v>
      </c>
      <c r="H1112" s="43">
        <v>22</v>
      </c>
      <c r="I1112" s="44">
        <v>1174</v>
      </c>
      <c r="J1112" s="45">
        <v>91.7</v>
      </c>
    </row>
    <row r="1113" spans="1:10" ht="15.75" customHeight="1">
      <c r="A1113" s="36" t="s">
        <v>9</v>
      </c>
      <c r="B1113" s="37">
        <v>46123</v>
      </c>
      <c r="C1113" s="38" t="s">
        <v>48</v>
      </c>
      <c r="D1113" s="39" t="s">
        <v>49</v>
      </c>
      <c r="E1113" s="40" t="s">
        <v>36</v>
      </c>
      <c r="F1113" s="41">
        <v>3822</v>
      </c>
      <c r="G1113" s="42">
        <v>42</v>
      </c>
      <c r="H1113" s="43">
        <v>28</v>
      </c>
      <c r="I1113" s="44">
        <v>3836</v>
      </c>
      <c r="J1113" s="46">
        <v>66.7</v>
      </c>
    </row>
    <row r="1114" spans="1:10" ht="15.75" customHeight="1">
      <c r="A1114" s="36" t="s">
        <v>9</v>
      </c>
      <c r="B1114" s="37">
        <v>46124</v>
      </c>
      <c r="C1114" s="38" t="s">
        <v>50</v>
      </c>
      <c r="D1114" s="39" t="s">
        <v>49</v>
      </c>
      <c r="E1114" s="40" t="s">
        <v>26</v>
      </c>
      <c r="F1114" s="41">
        <v>3053</v>
      </c>
      <c r="G1114" s="42">
        <v>74</v>
      </c>
      <c r="H1114" s="43">
        <v>57</v>
      </c>
      <c r="I1114" s="44">
        <v>3070</v>
      </c>
      <c r="J1114" s="45">
        <v>77</v>
      </c>
    </row>
    <row r="1115" spans="1:10" ht="15.75" customHeight="1">
      <c r="A1115" s="36" t="s">
        <v>9</v>
      </c>
      <c r="B1115" s="37">
        <v>46124</v>
      </c>
      <c r="C1115" s="38" t="s">
        <v>50</v>
      </c>
      <c r="D1115" s="39" t="s">
        <v>49</v>
      </c>
      <c r="E1115" s="40" t="s">
        <v>27</v>
      </c>
      <c r="F1115" s="41">
        <v>2217</v>
      </c>
      <c r="G1115" s="42">
        <v>64</v>
      </c>
      <c r="H1115" s="43">
        <v>52</v>
      </c>
      <c r="I1115" s="44">
        <v>2229</v>
      </c>
      <c r="J1115" s="45">
        <v>81.2</v>
      </c>
    </row>
    <row r="1116" spans="1:10" ht="15.75" customHeight="1">
      <c r="A1116" s="36" t="s">
        <v>9</v>
      </c>
      <c r="B1116" s="37">
        <v>46124</v>
      </c>
      <c r="C1116" s="38" t="s">
        <v>50</v>
      </c>
      <c r="D1116" s="39" t="s">
        <v>49</v>
      </c>
      <c r="E1116" s="40" t="s">
        <v>30</v>
      </c>
      <c r="F1116" s="41">
        <v>3571</v>
      </c>
      <c r="G1116" s="42">
        <v>56</v>
      </c>
      <c r="H1116" s="43">
        <v>37</v>
      </c>
      <c r="I1116" s="44">
        <v>3590</v>
      </c>
      <c r="J1116" s="46">
        <v>66.099999999999994</v>
      </c>
    </row>
    <row r="1117" spans="1:10" ht="15.75" customHeight="1">
      <c r="A1117" s="36" t="s">
        <v>9</v>
      </c>
      <c r="B1117" s="37">
        <v>46124</v>
      </c>
      <c r="C1117" s="38" t="s">
        <v>50</v>
      </c>
      <c r="D1117" s="39" t="s">
        <v>49</v>
      </c>
      <c r="E1117" s="40" t="s">
        <v>32</v>
      </c>
      <c r="F1117" s="41">
        <v>1667</v>
      </c>
      <c r="G1117" s="42">
        <v>37</v>
      </c>
      <c r="H1117" s="43">
        <v>32</v>
      </c>
      <c r="I1117" s="44">
        <v>1672</v>
      </c>
      <c r="J1117" s="45">
        <v>86.5</v>
      </c>
    </row>
    <row r="1118" spans="1:10" ht="15.75" customHeight="1">
      <c r="A1118" s="36" t="s">
        <v>9</v>
      </c>
      <c r="B1118" s="37">
        <v>46124</v>
      </c>
      <c r="C1118" s="38" t="s">
        <v>50</v>
      </c>
      <c r="D1118" s="39" t="s">
        <v>49</v>
      </c>
      <c r="E1118" s="40" t="s">
        <v>34</v>
      </c>
      <c r="F1118" s="41">
        <v>3523</v>
      </c>
      <c r="G1118" s="42">
        <v>55</v>
      </c>
      <c r="H1118" s="43">
        <v>38</v>
      </c>
      <c r="I1118" s="44">
        <v>3540</v>
      </c>
      <c r="J1118" s="46">
        <v>69.099999999999994</v>
      </c>
    </row>
    <row r="1119" spans="1:10" ht="15.75" customHeight="1">
      <c r="A1119" s="36" t="s">
        <v>9</v>
      </c>
      <c r="B1119" s="37">
        <v>46124</v>
      </c>
      <c r="C1119" s="38" t="s">
        <v>50</v>
      </c>
      <c r="D1119" s="39" t="s">
        <v>49</v>
      </c>
      <c r="E1119" s="40" t="s">
        <v>25</v>
      </c>
      <c r="F1119" s="41">
        <v>1934</v>
      </c>
      <c r="G1119" s="42">
        <v>45</v>
      </c>
      <c r="H1119" s="43">
        <v>32</v>
      </c>
      <c r="I1119" s="44">
        <v>1947</v>
      </c>
      <c r="J1119" s="46">
        <v>71.099999999999994</v>
      </c>
    </row>
    <row r="1120" spans="1:10" ht="15.75" customHeight="1">
      <c r="A1120" s="36" t="s">
        <v>9</v>
      </c>
      <c r="B1120" s="37">
        <v>46124</v>
      </c>
      <c r="C1120" s="38" t="s">
        <v>50</v>
      </c>
      <c r="D1120" s="39" t="s">
        <v>49</v>
      </c>
      <c r="E1120" s="40" t="s">
        <v>35</v>
      </c>
      <c r="F1120" s="41">
        <v>2063</v>
      </c>
      <c r="G1120" s="42">
        <v>49</v>
      </c>
      <c r="H1120" s="43">
        <v>42</v>
      </c>
      <c r="I1120" s="44">
        <v>2070</v>
      </c>
      <c r="J1120" s="45">
        <v>85.7</v>
      </c>
    </row>
    <row r="1121" spans="1:10" ht="15.75" customHeight="1">
      <c r="A1121" s="36" t="s">
        <v>9</v>
      </c>
      <c r="B1121" s="37">
        <v>46124</v>
      </c>
      <c r="C1121" s="38" t="s">
        <v>50</v>
      </c>
      <c r="D1121" s="39" t="s">
        <v>49</v>
      </c>
      <c r="E1121" s="40" t="s">
        <v>29</v>
      </c>
      <c r="F1121" s="41">
        <v>2416</v>
      </c>
      <c r="G1121" s="42">
        <v>46</v>
      </c>
      <c r="H1121" s="43">
        <v>31</v>
      </c>
      <c r="I1121" s="44">
        <v>2431</v>
      </c>
      <c r="J1121" s="46">
        <v>67.400000000000006</v>
      </c>
    </row>
    <row r="1122" spans="1:10" ht="15.75" customHeight="1">
      <c r="A1122" s="36" t="s">
        <v>9</v>
      </c>
      <c r="B1122" s="37">
        <v>46124</v>
      </c>
      <c r="C1122" s="38" t="s">
        <v>50</v>
      </c>
      <c r="D1122" s="39" t="s">
        <v>49</v>
      </c>
      <c r="E1122" s="40" t="s">
        <v>31</v>
      </c>
      <c r="F1122" s="41">
        <v>3030</v>
      </c>
      <c r="G1122" s="42">
        <v>34</v>
      </c>
      <c r="H1122" s="43">
        <v>28</v>
      </c>
      <c r="I1122" s="44">
        <v>3036</v>
      </c>
      <c r="J1122" s="45">
        <v>82.4</v>
      </c>
    </row>
    <row r="1123" spans="1:10" ht="15.75" customHeight="1">
      <c r="A1123" s="36" t="s">
        <v>9</v>
      </c>
      <c r="B1123" s="37">
        <v>46124</v>
      </c>
      <c r="C1123" s="38" t="s">
        <v>50</v>
      </c>
      <c r="D1123" s="39" t="s">
        <v>49</v>
      </c>
      <c r="E1123" s="40" t="s">
        <v>33</v>
      </c>
      <c r="F1123" s="41">
        <v>1174</v>
      </c>
      <c r="G1123" s="42">
        <v>41</v>
      </c>
      <c r="H1123" s="43">
        <v>40</v>
      </c>
      <c r="I1123" s="44">
        <v>1175</v>
      </c>
      <c r="J1123" s="45">
        <v>97.6</v>
      </c>
    </row>
    <row r="1124" spans="1:10" ht="15.75" customHeight="1">
      <c r="A1124" s="36" t="s">
        <v>9</v>
      </c>
      <c r="B1124" s="37">
        <v>46124</v>
      </c>
      <c r="C1124" s="38" t="s">
        <v>50</v>
      </c>
      <c r="D1124" s="39" t="s">
        <v>49</v>
      </c>
      <c r="E1124" s="40" t="s">
        <v>36</v>
      </c>
      <c r="F1124" s="41">
        <v>3836</v>
      </c>
      <c r="G1124" s="42">
        <v>44</v>
      </c>
      <c r="H1124" s="43">
        <v>27</v>
      </c>
      <c r="I1124" s="44">
        <v>3853</v>
      </c>
      <c r="J1124" s="46">
        <v>61.4</v>
      </c>
    </row>
    <row r="1125" spans="1:10" ht="15.75" customHeight="1">
      <c r="A1125" s="14" t="s">
        <v>9</v>
      </c>
      <c r="B1125" s="15">
        <v>46125</v>
      </c>
      <c r="C1125" s="16" t="s">
        <v>51</v>
      </c>
      <c r="D1125" s="17" t="s">
        <v>46</v>
      </c>
      <c r="E1125" s="18" t="s">
        <v>26</v>
      </c>
      <c r="F1125" s="19">
        <v>3070</v>
      </c>
      <c r="G1125" s="20">
        <v>127</v>
      </c>
      <c r="H1125" s="21">
        <v>91</v>
      </c>
      <c r="I1125" s="22">
        <v>3106</v>
      </c>
      <c r="J1125" s="23">
        <v>71.7</v>
      </c>
    </row>
    <row r="1126" spans="1:10" ht="15.75" customHeight="1">
      <c r="A1126" s="24" t="s">
        <v>9</v>
      </c>
      <c r="B1126" s="25">
        <v>46125</v>
      </c>
      <c r="C1126" s="26" t="s">
        <v>51</v>
      </c>
      <c r="D1126" s="27" t="s">
        <v>46</v>
      </c>
      <c r="E1126" s="28" t="s">
        <v>27</v>
      </c>
      <c r="F1126" s="29">
        <v>2229</v>
      </c>
      <c r="G1126" s="30">
        <v>80</v>
      </c>
      <c r="H1126" s="31">
        <v>70</v>
      </c>
      <c r="I1126" s="32">
        <v>2239</v>
      </c>
      <c r="J1126" s="33">
        <v>87.5</v>
      </c>
    </row>
    <row r="1127" spans="1:10" ht="15.75" customHeight="1">
      <c r="A1127" s="14" t="s">
        <v>9</v>
      </c>
      <c r="B1127" s="15">
        <v>46125</v>
      </c>
      <c r="C1127" s="16" t="s">
        <v>51</v>
      </c>
      <c r="D1127" s="17" t="s">
        <v>46</v>
      </c>
      <c r="E1127" s="18" t="s">
        <v>30</v>
      </c>
      <c r="F1127" s="19">
        <v>3590</v>
      </c>
      <c r="G1127" s="20">
        <v>159</v>
      </c>
      <c r="H1127" s="21">
        <v>114</v>
      </c>
      <c r="I1127" s="22">
        <v>3635</v>
      </c>
      <c r="J1127" s="23">
        <v>71.7</v>
      </c>
    </row>
    <row r="1128" spans="1:10" ht="15.75" customHeight="1">
      <c r="A1128" s="24" t="s">
        <v>9</v>
      </c>
      <c r="B1128" s="25">
        <v>46125</v>
      </c>
      <c r="C1128" s="26" t="s">
        <v>51</v>
      </c>
      <c r="D1128" s="27" t="s">
        <v>46</v>
      </c>
      <c r="E1128" s="28" t="s">
        <v>32</v>
      </c>
      <c r="F1128" s="29">
        <v>1672</v>
      </c>
      <c r="G1128" s="30">
        <v>99</v>
      </c>
      <c r="H1128" s="31">
        <v>94</v>
      </c>
      <c r="I1128" s="32">
        <v>1677</v>
      </c>
      <c r="J1128" s="33">
        <v>94.9</v>
      </c>
    </row>
    <row r="1129" spans="1:10" ht="15.75" customHeight="1">
      <c r="A1129" s="14" t="s">
        <v>9</v>
      </c>
      <c r="B1129" s="15">
        <v>46125</v>
      </c>
      <c r="C1129" s="16" t="s">
        <v>51</v>
      </c>
      <c r="D1129" s="17" t="s">
        <v>46</v>
      </c>
      <c r="E1129" s="18" t="s">
        <v>34</v>
      </c>
      <c r="F1129" s="19">
        <v>3540</v>
      </c>
      <c r="G1129" s="20">
        <v>167</v>
      </c>
      <c r="H1129" s="21">
        <v>103</v>
      </c>
      <c r="I1129" s="22">
        <v>3604</v>
      </c>
      <c r="J1129" s="23">
        <v>61.7</v>
      </c>
    </row>
    <row r="1130" spans="1:10" ht="15.75" customHeight="1">
      <c r="A1130" s="24" t="s">
        <v>9</v>
      </c>
      <c r="B1130" s="25">
        <v>46125</v>
      </c>
      <c r="C1130" s="26" t="s">
        <v>51</v>
      </c>
      <c r="D1130" s="27" t="s">
        <v>46</v>
      </c>
      <c r="E1130" s="28" t="s">
        <v>25</v>
      </c>
      <c r="F1130" s="29">
        <v>1947</v>
      </c>
      <c r="G1130" s="30">
        <v>92</v>
      </c>
      <c r="H1130" s="31">
        <v>79</v>
      </c>
      <c r="I1130" s="32">
        <v>1960</v>
      </c>
      <c r="J1130" s="33">
        <v>85.9</v>
      </c>
    </row>
    <row r="1131" spans="1:10" ht="15.75" customHeight="1">
      <c r="A1131" s="14" t="s">
        <v>9</v>
      </c>
      <c r="B1131" s="15">
        <v>46125</v>
      </c>
      <c r="C1131" s="16" t="s">
        <v>51</v>
      </c>
      <c r="D1131" s="17" t="s">
        <v>46</v>
      </c>
      <c r="E1131" s="18" t="s">
        <v>35</v>
      </c>
      <c r="F1131" s="19">
        <v>2070</v>
      </c>
      <c r="G1131" s="20">
        <v>113</v>
      </c>
      <c r="H1131" s="21">
        <v>102</v>
      </c>
      <c r="I1131" s="22">
        <v>2081</v>
      </c>
      <c r="J1131" s="35">
        <v>90.3</v>
      </c>
    </row>
    <row r="1132" spans="1:10" ht="15.75" customHeight="1">
      <c r="A1132" s="24" t="s">
        <v>9</v>
      </c>
      <c r="B1132" s="25">
        <v>46125</v>
      </c>
      <c r="C1132" s="26" t="s">
        <v>51</v>
      </c>
      <c r="D1132" s="27" t="s">
        <v>46</v>
      </c>
      <c r="E1132" s="28" t="s">
        <v>29</v>
      </c>
      <c r="F1132" s="29">
        <v>2431</v>
      </c>
      <c r="G1132" s="30">
        <v>71</v>
      </c>
      <c r="H1132" s="31">
        <v>50</v>
      </c>
      <c r="I1132" s="32">
        <v>2452</v>
      </c>
      <c r="J1132" s="34">
        <v>70.400000000000006</v>
      </c>
    </row>
    <row r="1133" spans="1:10" ht="15.75" customHeight="1">
      <c r="A1133" s="14" t="s">
        <v>9</v>
      </c>
      <c r="B1133" s="15">
        <v>46125</v>
      </c>
      <c r="C1133" s="16" t="s">
        <v>51</v>
      </c>
      <c r="D1133" s="17" t="s">
        <v>46</v>
      </c>
      <c r="E1133" s="18" t="s">
        <v>31</v>
      </c>
      <c r="F1133" s="19">
        <v>3036</v>
      </c>
      <c r="G1133" s="20">
        <v>118</v>
      </c>
      <c r="H1133" s="21">
        <v>78</v>
      </c>
      <c r="I1133" s="22">
        <v>3076</v>
      </c>
      <c r="J1133" s="23">
        <v>66.099999999999994</v>
      </c>
    </row>
    <row r="1134" spans="1:10" ht="15.75" customHeight="1">
      <c r="A1134" s="24" t="s">
        <v>9</v>
      </c>
      <c r="B1134" s="25">
        <v>46125</v>
      </c>
      <c r="C1134" s="26" t="s">
        <v>51</v>
      </c>
      <c r="D1134" s="27" t="s">
        <v>46</v>
      </c>
      <c r="E1134" s="28" t="s">
        <v>33</v>
      </c>
      <c r="F1134" s="29">
        <v>1175</v>
      </c>
      <c r="G1134" s="30">
        <v>61</v>
      </c>
      <c r="H1134" s="31">
        <v>58</v>
      </c>
      <c r="I1134" s="32">
        <v>1178</v>
      </c>
      <c r="J1134" s="33">
        <v>95.1</v>
      </c>
    </row>
    <row r="1135" spans="1:10" ht="15.75" customHeight="1">
      <c r="A1135" s="14" t="s">
        <v>9</v>
      </c>
      <c r="B1135" s="15">
        <v>46125</v>
      </c>
      <c r="C1135" s="16" t="s">
        <v>51</v>
      </c>
      <c r="D1135" s="17" t="s">
        <v>46</v>
      </c>
      <c r="E1135" s="18" t="s">
        <v>36</v>
      </c>
      <c r="F1135" s="19">
        <v>3853</v>
      </c>
      <c r="G1135" s="20">
        <v>165</v>
      </c>
      <c r="H1135" s="21">
        <v>109</v>
      </c>
      <c r="I1135" s="22">
        <v>3909</v>
      </c>
      <c r="J1135" s="23">
        <v>66.099999999999994</v>
      </c>
    </row>
    <row r="1136" spans="1:10" ht="15.75" customHeight="1">
      <c r="A1136" s="24" t="s">
        <v>9</v>
      </c>
      <c r="B1136" s="25">
        <v>46126</v>
      </c>
      <c r="C1136" s="26" t="s">
        <v>52</v>
      </c>
      <c r="D1136" s="27" t="s">
        <v>46</v>
      </c>
      <c r="E1136" s="28" t="s">
        <v>26</v>
      </c>
      <c r="F1136" s="29">
        <v>3106</v>
      </c>
      <c r="G1136" s="30">
        <v>142</v>
      </c>
      <c r="H1136" s="31">
        <v>100</v>
      </c>
      <c r="I1136" s="32">
        <v>3148</v>
      </c>
      <c r="J1136" s="34">
        <v>70.400000000000006</v>
      </c>
    </row>
    <row r="1137" spans="1:10" ht="15.75" customHeight="1">
      <c r="A1137" s="14" t="s">
        <v>9</v>
      </c>
      <c r="B1137" s="15">
        <v>46126</v>
      </c>
      <c r="C1137" s="16" t="s">
        <v>52</v>
      </c>
      <c r="D1137" s="17" t="s">
        <v>46</v>
      </c>
      <c r="E1137" s="18" t="s">
        <v>27</v>
      </c>
      <c r="F1137" s="19">
        <v>2239</v>
      </c>
      <c r="G1137" s="20">
        <v>127</v>
      </c>
      <c r="H1137" s="21">
        <v>89</v>
      </c>
      <c r="I1137" s="22">
        <v>2277</v>
      </c>
      <c r="J1137" s="23">
        <v>70.099999999999994</v>
      </c>
    </row>
    <row r="1138" spans="1:10" ht="15.75" customHeight="1">
      <c r="A1138" s="24" t="s">
        <v>9</v>
      </c>
      <c r="B1138" s="25">
        <v>46126</v>
      </c>
      <c r="C1138" s="26" t="s">
        <v>52</v>
      </c>
      <c r="D1138" s="27" t="s">
        <v>46</v>
      </c>
      <c r="E1138" s="28" t="s">
        <v>30</v>
      </c>
      <c r="F1138" s="29">
        <v>3635</v>
      </c>
      <c r="G1138" s="30">
        <v>101</v>
      </c>
      <c r="H1138" s="31">
        <v>80</v>
      </c>
      <c r="I1138" s="32">
        <v>3656</v>
      </c>
      <c r="J1138" s="33">
        <v>79.2</v>
      </c>
    </row>
    <row r="1139" spans="1:10" ht="15.75" customHeight="1">
      <c r="A1139" s="14" t="s">
        <v>9</v>
      </c>
      <c r="B1139" s="15">
        <v>46126</v>
      </c>
      <c r="C1139" s="16" t="s">
        <v>52</v>
      </c>
      <c r="D1139" s="17" t="s">
        <v>46</v>
      </c>
      <c r="E1139" s="18" t="s">
        <v>32</v>
      </c>
      <c r="F1139" s="19">
        <v>1677</v>
      </c>
      <c r="G1139" s="20">
        <v>87</v>
      </c>
      <c r="H1139" s="21">
        <v>73</v>
      </c>
      <c r="I1139" s="22">
        <v>1691</v>
      </c>
      <c r="J1139" s="35">
        <v>83.9</v>
      </c>
    </row>
    <row r="1140" spans="1:10" ht="15.75" customHeight="1">
      <c r="A1140" s="24" t="s">
        <v>9</v>
      </c>
      <c r="B1140" s="25">
        <v>46126</v>
      </c>
      <c r="C1140" s="26" t="s">
        <v>52</v>
      </c>
      <c r="D1140" s="27" t="s">
        <v>46</v>
      </c>
      <c r="E1140" s="28" t="s">
        <v>34</v>
      </c>
      <c r="F1140" s="29">
        <v>3604</v>
      </c>
      <c r="G1140" s="30">
        <v>105</v>
      </c>
      <c r="H1140" s="31">
        <v>65</v>
      </c>
      <c r="I1140" s="32">
        <v>3644</v>
      </c>
      <c r="J1140" s="34">
        <v>61.9</v>
      </c>
    </row>
    <row r="1141" spans="1:10" ht="15.75" customHeight="1">
      <c r="A1141" s="14" t="s">
        <v>9</v>
      </c>
      <c r="B1141" s="15">
        <v>46126</v>
      </c>
      <c r="C1141" s="16" t="s">
        <v>52</v>
      </c>
      <c r="D1141" s="17" t="s">
        <v>46</v>
      </c>
      <c r="E1141" s="18" t="s">
        <v>25</v>
      </c>
      <c r="F1141" s="19">
        <v>1960</v>
      </c>
      <c r="G1141" s="20">
        <v>71</v>
      </c>
      <c r="H1141" s="21">
        <v>60</v>
      </c>
      <c r="I1141" s="22">
        <v>1971</v>
      </c>
      <c r="J1141" s="35">
        <v>84.5</v>
      </c>
    </row>
    <row r="1142" spans="1:10" ht="15.75" customHeight="1">
      <c r="A1142" s="24" t="s">
        <v>9</v>
      </c>
      <c r="B1142" s="25">
        <v>46126</v>
      </c>
      <c r="C1142" s="26" t="s">
        <v>52</v>
      </c>
      <c r="D1142" s="27" t="s">
        <v>46</v>
      </c>
      <c r="E1142" s="28" t="s">
        <v>35</v>
      </c>
      <c r="F1142" s="29">
        <v>2081</v>
      </c>
      <c r="G1142" s="30">
        <v>91</v>
      </c>
      <c r="H1142" s="31">
        <v>73</v>
      </c>
      <c r="I1142" s="32">
        <v>2099</v>
      </c>
      <c r="J1142" s="33">
        <v>80.2</v>
      </c>
    </row>
    <row r="1143" spans="1:10" ht="15.75" customHeight="1">
      <c r="A1143" s="14" t="s">
        <v>9</v>
      </c>
      <c r="B1143" s="15">
        <v>46126</v>
      </c>
      <c r="C1143" s="16" t="s">
        <v>52</v>
      </c>
      <c r="D1143" s="17" t="s">
        <v>46</v>
      </c>
      <c r="E1143" s="18" t="s">
        <v>29</v>
      </c>
      <c r="F1143" s="19">
        <v>2452</v>
      </c>
      <c r="G1143" s="20">
        <v>75</v>
      </c>
      <c r="H1143" s="21">
        <v>63</v>
      </c>
      <c r="I1143" s="22">
        <v>2464</v>
      </c>
      <c r="J1143" s="35">
        <v>84</v>
      </c>
    </row>
    <row r="1144" spans="1:10" ht="15.75" customHeight="1">
      <c r="A1144" s="24" t="s">
        <v>9</v>
      </c>
      <c r="B1144" s="25">
        <v>46126</v>
      </c>
      <c r="C1144" s="26" t="s">
        <v>52</v>
      </c>
      <c r="D1144" s="27" t="s">
        <v>46</v>
      </c>
      <c r="E1144" s="28" t="s">
        <v>31</v>
      </c>
      <c r="F1144" s="29">
        <v>3076</v>
      </c>
      <c r="G1144" s="30">
        <v>155</v>
      </c>
      <c r="H1144" s="31">
        <v>126</v>
      </c>
      <c r="I1144" s="32">
        <v>3105</v>
      </c>
      <c r="J1144" s="33">
        <v>81.3</v>
      </c>
    </row>
    <row r="1145" spans="1:10" ht="15.75" customHeight="1">
      <c r="A1145" s="14" t="s">
        <v>9</v>
      </c>
      <c r="B1145" s="15">
        <v>46126</v>
      </c>
      <c r="C1145" s="16" t="s">
        <v>52</v>
      </c>
      <c r="D1145" s="17" t="s">
        <v>46</v>
      </c>
      <c r="E1145" s="18" t="s">
        <v>33</v>
      </c>
      <c r="F1145" s="19">
        <v>1178</v>
      </c>
      <c r="G1145" s="20">
        <v>90</v>
      </c>
      <c r="H1145" s="21">
        <v>70</v>
      </c>
      <c r="I1145" s="22">
        <v>1198</v>
      </c>
      <c r="J1145" s="35">
        <v>77.8</v>
      </c>
    </row>
    <row r="1146" spans="1:10" ht="15.75" customHeight="1">
      <c r="A1146" s="24" t="s">
        <v>9</v>
      </c>
      <c r="B1146" s="25">
        <v>46126</v>
      </c>
      <c r="C1146" s="26" t="s">
        <v>52</v>
      </c>
      <c r="D1146" s="27" t="s">
        <v>46</v>
      </c>
      <c r="E1146" s="28" t="s">
        <v>36</v>
      </c>
      <c r="F1146" s="29">
        <v>3909</v>
      </c>
      <c r="G1146" s="30">
        <v>109</v>
      </c>
      <c r="H1146" s="31">
        <v>68</v>
      </c>
      <c r="I1146" s="32">
        <v>3950</v>
      </c>
      <c r="J1146" s="34">
        <v>62.4</v>
      </c>
    </row>
    <row r="1147" spans="1:10" ht="15.75" customHeight="1">
      <c r="A1147" s="14" t="s">
        <v>9</v>
      </c>
      <c r="B1147" s="15">
        <v>46127</v>
      </c>
      <c r="C1147" s="16" t="s">
        <v>53</v>
      </c>
      <c r="D1147" s="17" t="s">
        <v>46</v>
      </c>
      <c r="E1147" s="18" t="s">
        <v>26</v>
      </c>
      <c r="F1147" s="19">
        <v>3148</v>
      </c>
      <c r="G1147" s="20">
        <v>96</v>
      </c>
      <c r="H1147" s="21">
        <v>63</v>
      </c>
      <c r="I1147" s="22">
        <v>3181</v>
      </c>
      <c r="J1147" s="23">
        <v>65.599999999999994</v>
      </c>
    </row>
    <row r="1148" spans="1:10" ht="15.75" customHeight="1">
      <c r="A1148" s="24" t="s">
        <v>9</v>
      </c>
      <c r="B1148" s="25">
        <v>46127</v>
      </c>
      <c r="C1148" s="26" t="s">
        <v>53</v>
      </c>
      <c r="D1148" s="27" t="s">
        <v>46</v>
      </c>
      <c r="E1148" s="28" t="s">
        <v>27</v>
      </c>
      <c r="F1148" s="29">
        <v>2277</v>
      </c>
      <c r="G1148" s="30">
        <v>89</v>
      </c>
      <c r="H1148" s="31">
        <v>73</v>
      </c>
      <c r="I1148" s="32">
        <v>2293</v>
      </c>
      <c r="J1148" s="33">
        <v>82</v>
      </c>
    </row>
    <row r="1149" spans="1:10" ht="15.75" customHeight="1">
      <c r="A1149" s="14" t="s">
        <v>9</v>
      </c>
      <c r="B1149" s="15">
        <v>46127</v>
      </c>
      <c r="C1149" s="16" t="s">
        <v>53</v>
      </c>
      <c r="D1149" s="17" t="s">
        <v>46</v>
      </c>
      <c r="E1149" s="18" t="s">
        <v>30</v>
      </c>
      <c r="F1149" s="19">
        <v>3656</v>
      </c>
      <c r="G1149" s="20">
        <v>95</v>
      </c>
      <c r="H1149" s="21">
        <v>68</v>
      </c>
      <c r="I1149" s="22">
        <v>3683</v>
      </c>
      <c r="J1149" s="23">
        <v>71.599999999999994</v>
      </c>
    </row>
    <row r="1150" spans="1:10" ht="15.75" customHeight="1">
      <c r="A1150" s="24" t="s">
        <v>9</v>
      </c>
      <c r="B1150" s="25">
        <v>46127</v>
      </c>
      <c r="C1150" s="26" t="s">
        <v>53</v>
      </c>
      <c r="D1150" s="27" t="s">
        <v>46</v>
      </c>
      <c r="E1150" s="28" t="s">
        <v>32</v>
      </c>
      <c r="F1150" s="29">
        <v>1691</v>
      </c>
      <c r="G1150" s="30">
        <v>73</v>
      </c>
      <c r="H1150" s="31">
        <v>61</v>
      </c>
      <c r="I1150" s="32">
        <v>1703</v>
      </c>
      <c r="J1150" s="33">
        <v>83.6</v>
      </c>
    </row>
    <row r="1151" spans="1:10" ht="15.75" customHeight="1">
      <c r="A1151" s="14" t="s">
        <v>9</v>
      </c>
      <c r="B1151" s="15">
        <v>46127</v>
      </c>
      <c r="C1151" s="16" t="s">
        <v>53</v>
      </c>
      <c r="D1151" s="17" t="s">
        <v>46</v>
      </c>
      <c r="E1151" s="18" t="s">
        <v>34</v>
      </c>
      <c r="F1151" s="19">
        <v>3644</v>
      </c>
      <c r="G1151" s="20">
        <v>113</v>
      </c>
      <c r="H1151" s="21">
        <v>81</v>
      </c>
      <c r="I1151" s="22">
        <v>3676</v>
      </c>
      <c r="J1151" s="23">
        <v>71.7</v>
      </c>
    </row>
    <row r="1152" spans="1:10" ht="15.75" customHeight="1">
      <c r="A1152" s="24" t="s">
        <v>9</v>
      </c>
      <c r="B1152" s="25">
        <v>46127</v>
      </c>
      <c r="C1152" s="26" t="s">
        <v>53</v>
      </c>
      <c r="D1152" s="27" t="s">
        <v>46</v>
      </c>
      <c r="E1152" s="28" t="s">
        <v>25</v>
      </c>
      <c r="F1152" s="29">
        <v>1971</v>
      </c>
      <c r="G1152" s="30">
        <v>99</v>
      </c>
      <c r="H1152" s="31">
        <v>84</v>
      </c>
      <c r="I1152" s="32">
        <v>1986</v>
      </c>
      <c r="J1152" s="33">
        <v>84.8</v>
      </c>
    </row>
    <row r="1153" spans="1:10" ht="15.75" customHeight="1">
      <c r="A1153" s="14" t="s">
        <v>9</v>
      </c>
      <c r="B1153" s="15">
        <v>46127</v>
      </c>
      <c r="C1153" s="16" t="s">
        <v>53</v>
      </c>
      <c r="D1153" s="17" t="s">
        <v>46</v>
      </c>
      <c r="E1153" s="18" t="s">
        <v>35</v>
      </c>
      <c r="F1153" s="19">
        <v>2099</v>
      </c>
      <c r="G1153" s="20">
        <v>127</v>
      </c>
      <c r="H1153" s="21">
        <v>110</v>
      </c>
      <c r="I1153" s="22">
        <v>2116</v>
      </c>
      <c r="J1153" s="35">
        <v>86.6</v>
      </c>
    </row>
    <row r="1154" spans="1:10" ht="15.75" customHeight="1">
      <c r="A1154" s="24" t="s">
        <v>9</v>
      </c>
      <c r="B1154" s="25">
        <v>46127</v>
      </c>
      <c r="C1154" s="26" t="s">
        <v>53</v>
      </c>
      <c r="D1154" s="27" t="s">
        <v>46</v>
      </c>
      <c r="E1154" s="28" t="s">
        <v>29</v>
      </c>
      <c r="F1154" s="29">
        <v>2464</v>
      </c>
      <c r="G1154" s="30">
        <v>112</v>
      </c>
      <c r="H1154" s="31">
        <v>77</v>
      </c>
      <c r="I1154" s="32">
        <v>2499</v>
      </c>
      <c r="J1154" s="34">
        <v>68.8</v>
      </c>
    </row>
    <row r="1155" spans="1:10" ht="15.75" customHeight="1">
      <c r="A1155" s="14" t="s">
        <v>9</v>
      </c>
      <c r="B1155" s="15">
        <v>46127</v>
      </c>
      <c r="C1155" s="16" t="s">
        <v>53</v>
      </c>
      <c r="D1155" s="17" t="s">
        <v>46</v>
      </c>
      <c r="E1155" s="18" t="s">
        <v>31</v>
      </c>
      <c r="F1155" s="19">
        <v>3105</v>
      </c>
      <c r="G1155" s="20">
        <v>115</v>
      </c>
      <c r="H1155" s="21">
        <v>78</v>
      </c>
      <c r="I1155" s="22">
        <v>3142</v>
      </c>
      <c r="J1155" s="23">
        <v>67.8</v>
      </c>
    </row>
    <row r="1156" spans="1:10" ht="15.75" customHeight="1">
      <c r="A1156" s="24" t="s">
        <v>9</v>
      </c>
      <c r="B1156" s="25">
        <v>46127</v>
      </c>
      <c r="C1156" s="26" t="s">
        <v>53</v>
      </c>
      <c r="D1156" s="27" t="s">
        <v>46</v>
      </c>
      <c r="E1156" s="28" t="s">
        <v>33</v>
      </c>
      <c r="F1156" s="29">
        <v>1198</v>
      </c>
      <c r="G1156" s="30">
        <v>66</v>
      </c>
      <c r="H1156" s="31">
        <v>57</v>
      </c>
      <c r="I1156" s="32">
        <v>1207</v>
      </c>
      <c r="J1156" s="33">
        <v>86.4</v>
      </c>
    </row>
    <row r="1157" spans="1:10" ht="15.75" customHeight="1">
      <c r="A1157" s="14" t="s">
        <v>9</v>
      </c>
      <c r="B1157" s="15">
        <v>46127</v>
      </c>
      <c r="C1157" s="16" t="s">
        <v>53</v>
      </c>
      <c r="D1157" s="17" t="s">
        <v>46</v>
      </c>
      <c r="E1157" s="18" t="s">
        <v>36</v>
      </c>
      <c r="F1157" s="19">
        <v>3950</v>
      </c>
      <c r="G1157" s="20">
        <v>98</v>
      </c>
      <c r="H1157" s="21">
        <v>64</v>
      </c>
      <c r="I1157" s="22">
        <v>3984</v>
      </c>
      <c r="J1157" s="23">
        <v>65.3</v>
      </c>
    </row>
    <row r="1158" spans="1:10" ht="15.75" customHeight="1">
      <c r="A1158" s="24" t="s">
        <v>9</v>
      </c>
      <c r="B1158" s="25">
        <v>46128</v>
      </c>
      <c r="C1158" s="26" t="s">
        <v>45</v>
      </c>
      <c r="D1158" s="27" t="s">
        <v>46</v>
      </c>
      <c r="E1158" s="28" t="s">
        <v>26</v>
      </c>
      <c r="F1158" s="29">
        <v>3181</v>
      </c>
      <c r="G1158" s="30">
        <v>84</v>
      </c>
      <c r="H1158" s="31">
        <v>69</v>
      </c>
      <c r="I1158" s="32">
        <v>3196</v>
      </c>
      <c r="J1158" s="33">
        <v>82.1</v>
      </c>
    </row>
    <row r="1159" spans="1:10" ht="15.75" customHeight="1">
      <c r="A1159" s="14" t="s">
        <v>9</v>
      </c>
      <c r="B1159" s="15">
        <v>46128</v>
      </c>
      <c r="C1159" s="16" t="s">
        <v>45</v>
      </c>
      <c r="D1159" s="17" t="s">
        <v>46</v>
      </c>
      <c r="E1159" s="18" t="s">
        <v>27</v>
      </c>
      <c r="F1159" s="19">
        <v>2293</v>
      </c>
      <c r="G1159" s="20">
        <v>84</v>
      </c>
      <c r="H1159" s="21">
        <v>64</v>
      </c>
      <c r="I1159" s="22">
        <v>2313</v>
      </c>
      <c r="J1159" s="35">
        <v>76.2</v>
      </c>
    </row>
    <row r="1160" spans="1:10" ht="15.75" customHeight="1">
      <c r="A1160" s="24" t="s">
        <v>9</v>
      </c>
      <c r="B1160" s="25">
        <v>46128</v>
      </c>
      <c r="C1160" s="26" t="s">
        <v>45</v>
      </c>
      <c r="D1160" s="27" t="s">
        <v>46</v>
      </c>
      <c r="E1160" s="28" t="s">
        <v>30</v>
      </c>
      <c r="F1160" s="29">
        <v>3683</v>
      </c>
      <c r="G1160" s="30">
        <v>148</v>
      </c>
      <c r="H1160" s="31">
        <v>99</v>
      </c>
      <c r="I1160" s="32">
        <v>3732</v>
      </c>
      <c r="J1160" s="34">
        <v>66.900000000000006</v>
      </c>
    </row>
    <row r="1161" spans="1:10" ht="15.75" customHeight="1">
      <c r="A1161" s="14" t="s">
        <v>9</v>
      </c>
      <c r="B1161" s="15">
        <v>46128</v>
      </c>
      <c r="C1161" s="16" t="s">
        <v>45</v>
      </c>
      <c r="D1161" s="17" t="s">
        <v>46</v>
      </c>
      <c r="E1161" s="18" t="s">
        <v>32</v>
      </c>
      <c r="F1161" s="19">
        <v>1703</v>
      </c>
      <c r="G1161" s="20">
        <v>79</v>
      </c>
      <c r="H1161" s="21">
        <v>66</v>
      </c>
      <c r="I1161" s="22">
        <v>1716</v>
      </c>
      <c r="J1161" s="35">
        <v>83.5</v>
      </c>
    </row>
    <row r="1162" spans="1:10" ht="15.75" customHeight="1">
      <c r="A1162" s="24" t="s">
        <v>9</v>
      </c>
      <c r="B1162" s="25">
        <v>46128</v>
      </c>
      <c r="C1162" s="26" t="s">
        <v>45</v>
      </c>
      <c r="D1162" s="27" t="s">
        <v>46</v>
      </c>
      <c r="E1162" s="28" t="s">
        <v>34</v>
      </c>
      <c r="F1162" s="29">
        <v>3676</v>
      </c>
      <c r="G1162" s="30">
        <v>128</v>
      </c>
      <c r="H1162" s="31">
        <v>79</v>
      </c>
      <c r="I1162" s="32">
        <v>3725</v>
      </c>
      <c r="J1162" s="34">
        <v>61.7</v>
      </c>
    </row>
    <row r="1163" spans="1:10" ht="15.75" customHeight="1">
      <c r="A1163" s="14" t="s">
        <v>9</v>
      </c>
      <c r="B1163" s="15">
        <v>46128</v>
      </c>
      <c r="C1163" s="16" t="s">
        <v>45</v>
      </c>
      <c r="D1163" s="17" t="s">
        <v>46</v>
      </c>
      <c r="E1163" s="18" t="s">
        <v>25</v>
      </c>
      <c r="F1163" s="19">
        <v>1986</v>
      </c>
      <c r="G1163" s="20">
        <v>92</v>
      </c>
      <c r="H1163" s="21">
        <v>68</v>
      </c>
      <c r="I1163" s="22">
        <v>2010</v>
      </c>
      <c r="J1163" s="23">
        <v>73.900000000000006</v>
      </c>
    </row>
    <row r="1164" spans="1:10" ht="15.75" customHeight="1">
      <c r="A1164" s="24" t="s">
        <v>9</v>
      </c>
      <c r="B1164" s="25">
        <v>46128</v>
      </c>
      <c r="C1164" s="26" t="s">
        <v>45</v>
      </c>
      <c r="D1164" s="27" t="s">
        <v>46</v>
      </c>
      <c r="E1164" s="28" t="s">
        <v>35</v>
      </c>
      <c r="F1164" s="29">
        <v>2116</v>
      </c>
      <c r="G1164" s="30">
        <v>126</v>
      </c>
      <c r="H1164" s="31">
        <v>100</v>
      </c>
      <c r="I1164" s="32">
        <v>2142</v>
      </c>
      <c r="J1164" s="33">
        <v>79.400000000000006</v>
      </c>
    </row>
    <row r="1165" spans="1:10" ht="15.75" customHeight="1">
      <c r="A1165" s="14" t="s">
        <v>9</v>
      </c>
      <c r="B1165" s="15">
        <v>46128</v>
      </c>
      <c r="C1165" s="16" t="s">
        <v>45</v>
      </c>
      <c r="D1165" s="17" t="s">
        <v>46</v>
      </c>
      <c r="E1165" s="18" t="s">
        <v>29</v>
      </c>
      <c r="F1165" s="19">
        <v>2499</v>
      </c>
      <c r="G1165" s="20">
        <v>82</v>
      </c>
      <c r="H1165" s="21">
        <v>56</v>
      </c>
      <c r="I1165" s="22">
        <v>2525</v>
      </c>
      <c r="J1165" s="23">
        <v>68.3</v>
      </c>
    </row>
    <row r="1166" spans="1:10" ht="15.75" customHeight="1">
      <c r="A1166" s="24" t="s">
        <v>9</v>
      </c>
      <c r="B1166" s="25">
        <v>46128</v>
      </c>
      <c r="C1166" s="26" t="s">
        <v>45</v>
      </c>
      <c r="D1166" s="27" t="s">
        <v>46</v>
      </c>
      <c r="E1166" s="28" t="s">
        <v>31</v>
      </c>
      <c r="F1166" s="29">
        <v>3142</v>
      </c>
      <c r="G1166" s="30">
        <v>120</v>
      </c>
      <c r="H1166" s="31">
        <v>87</v>
      </c>
      <c r="I1166" s="32">
        <v>3175</v>
      </c>
      <c r="J1166" s="34">
        <v>72.5</v>
      </c>
    </row>
    <row r="1167" spans="1:10" ht="15.75" customHeight="1">
      <c r="A1167" s="14" t="s">
        <v>9</v>
      </c>
      <c r="B1167" s="15">
        <v>46128</v>
      </c>
      <c r="C1167" s="16" t="s">
        <v>45</v>
      </c>
      <c r="D1167" s="17" t="s">
        <v>46</v>
      </c>
      <c r="E1167" s="18" t="s">
        <v>33</v>
      </c>
      <c r="F1167" s="19">
        <v>1207</v>
      </c>
      <c r="G1167" s="20">
        <v>96</v>
      </c>
      <c r="H1167" s="21">
        <v>90</v>
      </c>
      <c r="I1167" s="22">
        <v>1213</v>
      </c>
      <c r="J1167" s="35">
        <v>93.8</v>
      </c>
    </row>
    <row r="1168" spans="1:10" ht="15.75" customHeight="1">
      <c r="A1168" s="24" t="s">
        <v>9</v>
      </c>
      <c r="B1168" s="25">
        <v>46128</v>
      </c>
      <c r="C1168" s="26" t="s">
        <v>45</v>
      </c>
      <c r="D1168" s="27" t="s">
        <v>46</v>
      </c>
      <c r="E1168" s="28" t="s">
        <v>36</v>
      </c>
      <c r="F1168" s="29">
        <v>3984</v>
      </c>
      <c r="G1168" s="30">
        <v>146</v>
      </c>
      <c r="H1168" s="31">
        <v>110</v>
      </c>
      <c r="I1168" s="32">
        <v>4020</v>
      </c>
      <c r="J1168" s="33">
        <v>75.3</v>
      </c>
    </row>
    <row r="1169" spans="1:10" ht="15.75" customHeight="1">
      <c r="A1169" s="14" t="s">
        <v>9</v>
      </c>
      <c r="B1169" s="15">
        <v>46129</v>
      </c>
      <c r="C1169" s="16" t="s">
        <v>47</v>
      </c>
      <c r="D1169" s="17" t="s">
        <v>46</v>
      </c>
      <c r="E1169" s="18" t="s">
        <v>26</v>
      </c>
      <c r="F1169" s="19">
        <v>3196</v>
      </c>
      <c r="G1169" s="20">
        <v>135</v>
      </c>
      <c r="H1169" s="21">
        <v>98</v>
      </c>
      <c r="I1169" s="22">
        <v>3233</v>
      </c>
      <c r="J1169" s="23">
        <v>72.599999999999994</v>
      </c>
    </row>
    <row r="1170" spans="1:10" ht="15.75" customHeight="1">
      <c r="A1170" s="24" t="s">
        <v>9</v>
      </c>
      <c r="B1170" s="25">
        <v>46129</v>
      </c>
      <c r="C1170" s="26" t="s">
        <v>47</v>
      </c>
      <c r="D1170" s="27" t="s">
        <v>46</v>
      </c>
      <c r="E1170" s="28" t="s">
        <v>27</v>
      </c>
      <c r="F1170" s="29">
        <v>2313</v>
      </c>
      <c r="G1170" s="30">
        <v>116</v>
      </c>
      <c r="H1170" s="31">
        <v>91</v>
      </c>
      <c r="I1170" s="32">
        <v>2338</v>
      </c>
      <c r="J1170" s="33">
        <v>78.400000000000006</v>
      </c>
    </row>
    <row r="1171" spans="1:10" ht="15.75" customHeight="1">
      <c r="A1171" s="14" t="s">
        <v>9</v>
      </c>
      <c r="B1171" s="15">
        <v>46129</v>
      </c>
      <c r="C1171" s="16" t="s">
        <v>47</v>
      </c>
      <c r="D1171" s="17" t="s">
        <v>46</v>
      </c>
      <c r="E1171" s="18" t="s">
        <v>30</v>
      </c>
      <c r="F1171" s="19">
        <v>3732</v>
      </c>
      <c r="G1171" s="20">
        <v>145</v>
      </c>
      <c r="H1171" s="21">
        <v>106</v>
      </c>
      <c r="I1171" s="22">
        <v>3771</v>
      </c>
      <c r="J1171" s="23">
        <v>73.099999999999994</v>
      </c>
    </row>
    <row r="1172" spans="1:10" ht="15.75" customHeight="1">
      <c r="A1172" s="24" t="s">
        <v>9</v>
      </c>
      <c r="B1172" s="25">
        <v>46129</v>
      </c>
      <c r="C1172" s="26" t="s">
        <v>47</v>
      </c>
      <c r="D1172" s="27" t="s">
        <v>46</v>
      </c>
      <c r="E1172" s="28" t="s">
        <v>32</v>
      </c>
      <c r="F1172" s="29">
        <v>1716</v>
      </c>
      <c r="G1172" s="30">
        <v>92</v>
      </c>
      <c r="H1172" s="31">
        <v>72</v>
      </c>
      <c r="I1172" s="32">
        <v>1736</v>
      </c>
      <c r="J1172" s="33">
        <v>78.3</v>
      </c>
    </row>
    <row r="1173" spans="1:10" ht="15.75" customHeight="1">
      <c r="A1173" s="14" t="s">
        <v>9</v>
      </c>
      <c r="B1173" s="15">
        <v>46129</v>
      </c>
      <c r="C1173" s="16" t="s">
        <v>47</v>
      </c>
      <c r="D1173" s="17" t="s">
        <v>46</v>
      </c>
      <c r="E1173" s="18" t="s">
        <v>34</v>
      </c>
      <c r="F1173" s="19">
        <v>3725</v>
      </c>
      <c r="G1173" s="20">
        <v>149</v>
      </c>
      <c r="H1173" s="21">
        <v>120</v>
      </c>
      <c r="I1173" s="22">
        <v>3754</v>
      </c>
      <c r="J1173" s="35">
        <v>80.5</v>
      </c>
    </row>
    <row r="1174" spans="1:10" ht="15.75" customHeight="1">
      <c r="A1174" s="24" t="s">
        <v>9</v>
      </c>
      <c r="B1174" s="25">
        <v>46129</v>
      </c>
      <c r="C1174" s="26" t="s">
        <v>47</v>
      </c>
      <c r="D1174" s="27" t="s">
        <v>46</v>
      </c>
      <c r="E1174" s="28" t="s">
        <v>25</v>
      </c>
      <c r="F1174" s="29">
        <v>2010</v>
      </c>
      <c r="G1174" s="30">
        <v>86</v>
      </c>
      <c r="H1174" s="31">
        <v>64</v>
      </c>
      <c r="I1174" s="32">
        <v>2032</v>
      </c>
      <c r="J1174" s="34">
        <v>74.400000000000006</v>
      </c>
    </row>
    <row r="1175" spans="1:10" ht="15.75" customHeight="1">
      <c r="A1175" s="14" t="s">
        <v>9</v>
      </c>
      <c r="B1175" s="15">
        <v>46129</v>
      </c>
      <c r="C1175" s="16" t="s">
        <v>47</v>
      </c>
      <c r="D1175" s="17" t="s">
        <v>46</v>
      </c>
      <c r="E1175" s="18" t="s">
        <v>35</v>
      </c>
      <c r="F1175" s="19">
        <v>2142</v>
      </c>
      <c r="G1175" s="20">
        <v>107</v>
      </c>
      <c r="H1175" s="21">
        <v>78</v>
      </c>
      <c r="I1175" s="22">
        <v>2171</v>
      </c>
      <c r="J1175" s="23">
        <v>72.900000000000006</v>
      </c>
    </row>
    <row r="1176" spans="1:10" ht="15.75" customHeight="1">
      <c r="A1176" s="24" t="s">
        <v>9</v>
      </c>
      <c r="B1176" s="25">
        <v>46129</v>
      </c>
      <c r="C1176" s="26" t="s">
        <v>47</v>
      </c>
      <c r="D1176" s="27" t="s">
        <v>46</v>
      </c>
      <c r="E1176" s="28" t="s">
        <v>29</v>
      </c>
      <c r="F1176" s="29">
        <v>2525</v>
      </c>
      <c r="G1176" s="30">
        <v>110</v>
      </c>
      <c r="H1176" s="31">
        <v>85</v>
      </c>
      <c r="I1176" s="32">
        <v>2550</v>
      </c>
      <c r="J1176" s="33">
        <v>77.3</v>
      </c>
    </row>
    <row r="1177" spans="1:10" ht="15.75" customHeight="1">
      <c r="A1177" s="14" t="s">
        <v>9</v>
      </c>
      <c r="B1177" s="15">
        <v>46129</v>
      </c>
      <c r="C1177" s="16" t="s">
        <v>47</v>
      </c>
      <c r="D1177" s="17" t="s">
        <v>46</v>
      </c>
      <c r="E1177" s="18" t="s">
        <v>31</v>
      </c>
      <c r="F1177" s="19">
        <v>3175</v>
      </c>
      <c r="G1177" s="20">
        <v>85</v>
      </c>
      <c r="H1177" s="21">
        <v>70</v>
      </c>
      <c r="I1177" s="22">
        <v>3190</v>
      </c>
      <c r="J1177" s="35">
        <v>82.4</v>
      </c>
    </row>
    <row r="1178" spans="1:10" ht="15.75" customHeight="1">
      <c r="A1178" s="24" t="s">
        <v>9</v>
      </c>
      <c r="B1178" s="25">
        <v>46129</v>
      </c>
      <c r="C1178" s="26" t="s">
        <v>47</v>
      </c>
      <c r="D1178" s="27" t="s">
        <v>46</v>
      </c>
      <c r="E1178" s="28" t="s">
        <v>33</v>
      </c>
      <c r="F1178" s="29">
        <v>1213</v>
      </c>
      <c r="G1178" s="30">
        <v>89</v>
      </c>
      <c r="H1178" s="31">
        <v>75</v>
      </c>
      <c r="I1178" s="32">
        <v>1227</v>
      </c>
      <c r="J1178" s="33">
        <v>84.3</v>
      </c>
    </row>
    <row r="1179" spans="1:10" ht="15.75" customHeight="1">
      <c r="A1179" s="14" t="s">
        <v>9</v>
      </c>
      <c r="B1179" s="15">
        <v>46129</v>
      </c>
      <c r="C1179" s="16" t="s">
        <v>47</v>
      </c>
      <c r="D1179" s="17" t="s">
        <v>46</v>
      </c>
      <c r="E1179" s="18" t="s">
        <v>36</v>
      </c>
      <c r="F1179" s="19">
        <v>4020</v>
      </c>
      <c r="G1179" s="20">
        <v>141</v>
      </c>
      <c r="H1179" s="21">
        <v>99</v>
      </c>
      <c r="I1179" s="22">
        <v>4062</v>
      </c>
      <c r="J1179" s="23">
        <v>70.2</v>
      </c>
    </row>
    <row r="1180" spans="1:10" ht="15.75" customHeight="1">
      <c r="A1180" s="36" t="s">
        <v>9</v>
      </c>
      <c r="B1180" s="37">
        <v>46130</v>
      </c>
      <c r="C1180" s="38" t="s">
        <v>48</v>
      </c>
      <c r="D1180" s="39" t="s">
        <v>49</v>
      </c>
      <c r="E1180" s="40" t="s">
        <v>26</v>
      </c>
      <c r="F1180" s="41">
        <v>3233</v>
      </c>
      <c r="G1180" s="42">
        <v>51</v>
      </c>
      <c r="H1180" s="43">
        <v>43</v>
      </c>
      <c r="I1180" s="44">
        <v>3241</v>
      </c>
      <c r="J1180" s="45">
        <v>84.3</v>
      </c>
    </row>
    <row r="1181" spans="1:10" ht="15.75" customHeight="1">
      <c r="A1181" s="36" t="s">
        <v>9</v>
      </c>
      <c r="B1181" s="37">
        <v>46130</v>
      </c>
      <c r="C1181" s="38" t="s">
        <v>48</v>
      </c>
      <c r="D1181" s="39" t="s">
        <v>49</v>
      </c>
      <c r="E1181" s="40" t="s">
        <v>27</v>
      </c>
      <c r="F1181" s="41">
        <v>2338</v>
      </c>
      <c r="G1181" s="42">
        <v>54</v>
      </c>
      <c r="H1181" s="43">
        <v>42</v>
      </c>
      <c r="I1181" s="44">
        <v>2350</v>
      </c>
      <c r="J1181" s="45">
        <v>77.8</v>
      </c>
    </row>
    <row r="1182" spans="1:10" ht="15.75" customHeight="1">
      <c r="A1182" s="36" t="s">
        <v>9</v>
      </c>
      <c r="B1182" s="37">
        <v>46130</v>
      </c>
      <c r="C1182" s="38" t="s">
        <v>48</v>
      </c>
      <c r="D1182" s="39" t="s">
        <v>49</v>
      </c>
      <c r="E1182" s="40" t="s">
        <v>30</v>
      </c>
      <c r="F1182" s="41">
        <v>3771</v>
      </c>
      <c r="G1182" s="42">
        <v>61</v>
      </c>
      <c r="H1182" s="43">
        <v>47</v>
      </c>
      <c r="I1182" s="44">
        <v>3785</v>
      </c>
      <c r="J1182" s="45">
        <v>77</v>
      </c>
    </row>
    <row r="1183" spans="1:10" ht="15.75" customHeight="1">
      <c r="A1183" s="36" t="s">
        <v>9</v>
      </c>
      <c r="B1183" s="37">
        <v>46130</v>
      </c>
      <c r="C1183" s="38" t="s">
        <v>48</v>
      </c>
      <c r="D1183" s="39" t="s">
        <v>49</v>
      </c>
      <c r="E1183" s="40" t="s">
        <v>32</v>
      </c>
      <c r="F1183" s="41">
        <v>1736</v>
      </c>
      <c r="G1183" s="42">
        <v>42</v>
      </c>
      <c r="H1183" s="43">
        <v>39</v>
      </c>
      <c r="I1183" s="44">
        <v>1739</v>
      </c>
      <c r="J1183" s="45">
        <v>92.9</v>
      </c>
    </row>
    <row r="1184" spans="1:10" ht="15.75" customHeight="1">
      <c r="A1184" s="36" t="s">
        <v>9</v>
      </c>
      <c r="B1184" s="37">
        <v>46130</v>
      </c>
      <c r="C1184" s="38" t="s">
        <v>48</v>
      </c>
      <c r="D1184" s="39" t="s">
        <v>49</v>
      </c>
      <c r="E1184" s="40" t="s">
        <v>34</v>
      </c>
      <c r="F1184" s="41">
        <v>3754</v>
      </c>
      <c r="G1184" s="42">
        <v>48</v>
      </c>
      <c r="H1184" s="43">
        <v>32</v>
      </c>
      <c r="I1184" s="44">
        <v>3770</v>
      </c>
      <c r="J1184" s="46">
        <v>66.7</v>
      </c>
    </row>
    <row r="1185" spans="1:10" ht="15.75" customHeight="1">
      <c r="A1185" s="36" t="s">
        <v>9</v>
      </c>
      <c r="B1185" s="37">
        <v>46130</v>
      </c>
      <c r="C1185" s="38" t="s">
        <v>48</v>
      </c>
      <c r="D1185" s="39" t="s">
        <v>49</v>
      </c>
      <c r="E1185" s="40" t="s">
        <v>25</v>
      </c>
      <c r="F1185" s="41">
        <v>2032</v>
      </c>
      <c r="G1185" s="42">
        <v>46</v>
      </c>
      <c r="H1185" s="43">
        <v>37</v>
      </c>
      <c r="I1185" s="44">
        <v>2041</v>
      </c>
      <c r="J1185" s="45">
        <v>80.400000000000006</v>
      </c>
    </row>
    <row r="1186" spans="1:10" ht="15.75" customHeight="1">
      <c r="A1186" s="36" t="s">
        <v>9</v>
      </c>
      <c r="B1186" s="37">
        <v>46130</v>
      </c>
      <c r="C1186" s="38" t="s">
        <v>48</v>
      </c>
      <c r="D1186" s="39" t="s">
        <v>49</v>
      </c>
      <c r="E1186" s="40" t="s">
        <v>35</v>
      </c>
      <c r="F1186" s="41">
        <v>2171</v>
      </c>
      <c r="G1186" s="42">
        <v>41</v>
      </c>
      <c r="H1186" s="43">
        <v>33</v>
      </c>
      <c r="I1186" s="44">
        <v>2179</v>
      </c>
      <c r="J1186" s="45">
        <v>80.5</v>
      </c>
    </row>
    <row r="1187" spans="1:10" ht="15.75" customHeight="1">
      <c r="A1187" s="36" t="s">
        <v>9</v>
      </c>
      <c r="B1187" s="37">
        <v>46130</v>
      </c>
      <c r="C1187" s="38" t="s">
        <v>48</v>
      </c>
      <c r="D1187" s="39" t="s">
        <v>49</v>
      </c>
      <c r="E1187" s="40" t="s">
        <v>29</v>
      </c>
      <c r="F1187" s="41">
        <v>2550</v>
      </c>
      <c r="G1187" s="42">
        <v>51</v>
      </c>
      <c r="H1187" s="43">
        <v>41</v>
      </c>
      <c r="I1187" s="44">
        <v>2560</v>
      </c>
      <c r="J1187" s="45">
        <v>80.400000000000006</v>
      </c>
    </row>
    <row r="1188" spans="1:10" ht="15.75" customHeight="1">
      <c r="A1188" s="36" t="s">
        <v>9</v>
      </c>
      <c r="B1188" s="37">
        <v>46130</v>
      </c>
      <c r="C1188" s="38" t="s">
        <v>48</v>
      </c>
      <c r="D1188" s="39" t="s">
        <v>49</v>
      </c>
      <c r="E1188" s="40" t="s">
        <v>31</v>
      </c>
      <c r="F1188" s="41">
        <v>3190</v>
      </c>
      <c r="G1188" s="42">
        <v>34</v>
      </c>
      <c r="H1188" s="43">
        <v>25</v>
      </c>
      <c r="I1188" s="44">
        <v>3199</v>
      </c>
      <c r="J1188" s="46">
        <v>73.5</v>
      </c>
    </row>
    <row r="1189" spans="1:10" ht="15.75" customHeight="1">
      <c r="A1189" s="36" t="s">
        <v>9</v>
      </c>
      <c r="B1189" s="37">
        <v>46130</v>
      </c>
      <c r="C1189" s="38" t="s">
        <v>48</v>
      </c>
      <c r="D1189" s="39" t="s">
        <v>49</v>
      </c>
      <c r="E1189" s="40" t="s">
        <v>33</v>
      </c>
      <c r="F1189" s="41">
        <v>1227</v>
      </c>
      <c r="G1189" s="42">
        <v>31</v>
      </c>
      <c r="H1189" s="43">
        <v>25</v>
      </c>
      <c r="I1189" s="44">
        <v>1233</v>
      </c>
      <c r="J1189" s="45">
        <v>80.599999999999994</v>
      </c>
    </row>
    <row r="1190" spans="1:10" ht="15.75" customHeight="1">
      <c r="A1190" s="36" t="s">
        <v>9</v>
      </c>
      <c r="B1190" s="37">
        <v>46130</v>
      </c>
      <c r="C1190" s="38" t="s">
        <v>48</v>
      </c>
      <c r="D1190" s="39" t="s">
        <v>49</v>
      </c>
      <c r="E1190" s="40" t="s">
        <v>36</v>
      </c>
      <c r="F1190" s="41">
        <v>4062</v>
      </c>
      <c r="G1190" s="42">
        <v>65</v>
      </c>
      <c r="H1190" s="43">
        <v>51</v>
      </c>
      <c r="I1190" s="44">
        <v>4076</v>
      </c>
      <c r="J1190" s="45">
        <v>78.5</v>
      </c>
    </row>
    <row r="1191" spans="1:10" ht="15.75" customHeight="1">
      <c r="A1191" s="36" t="s">
        <v>9</v>
      </c>
      <c r="B1191" s="37">
        <v>46131</v>
      </c>
      <c r="C1191" s="38" t="s">
        <v>50</v>
      </c>
      <c r="D1191" s="39" t="s">
        <v>49</v>
      </c>
      <c r="E1191" s="40" t="s">
        <v>26</v>
      </c>
      <c r="F1191" s="41">
        <v>3241</v>
      </c>
      <c r="G1191" s="42">
        <v>64</v>
      </c>
      <c r="H1191" s="43">
        <v>48</v>
      </c>
      <c r="I1191" s="44">
        <v>3257</v>
      </c>
      <c r="J1191" s="45">
        <v>75</v>
      </c>
    </row>
    <row r="1192" spans="1:10" ht="15.75" customHeight="1">
      <c r="A1192" s="36" t="s">
        <v>9</v>
      </c>
      <c r="B1192" s="37">
        <v>46131</v>
      </c>
      <c r="C1192" s="38" t="s">
        <v>50</v>
      </c>
      <c r="D1192" s="39" t="s">
        <v>49</v>
      </c>
      <c r="E1192" s="40" t="s">
        <v>27</v>
      </c>
      <c r="F1192" s="41">
        <v>2350</v>
      </c>
      <c r="G1192" s="42">
        <v>38</v>
      </c>
      <c r="H1192" s="43">
        <v>27</v>
      </c>
      <c r="I1192" s="44">
        <v>2361</v>
      </c>
      <c r="J1192" s="46">
        <v>71.099999999999994</v>
      </c>
    </row>
    <row r="1193" spans="1:10" ht="15.75" customHeight="1">
      <c r="A1193" s="36" t="s">
        <v>9</v>
      </c>
      <c r="B1193" s="37">
        <v>46131</v>
      </c>
      <c r="C1193" s="38" t="s">
        <v>50</v>
      </c>
      <c r="D1193" s="39" t="s">
        <v>49</v>
      </c>
      <c r="E1193" s="40" t="s">
        <v>30</v>
      </c>
      <c r="F1193" s="41">
        <v>3785</v>
      </c>
      <c r="G1193" s="42">
        <v>54</v>
      </c>
      <c r="H1193" s="43">
        <v>40</v>
      </c>
      <c r="I1193" s="44">
        <v>3799</v>
      </c>
      <c r="J1193" s="46">
        <v>74.099999999999994</v>
      </c>
    </row>
    <row r="1194" spans="1:10" ht="15.75" customHeight="1">
      <c r="A1194" s="36" t="s">
        <v>9</v>
      </c>
      <c r="B1194" s="37">
        <v>46131</v>
      </c>
      <c r="C1194" s="38" t="s">
        <v>50</v>
      </c>
      <c r="D1194" s="39" t="s">
        <v>49</v>
      </c>
      <c r="E1194" s="40" t="s">
        <v>32</v>
      </c>
      <c r="F1194" s="41">
        <v>1739</v>
      </c>
      <c r="G1194" s="42">
        <v>45</v>
      </c>
      <c r="H1194" s="43">
        <v>34</v>
      </c>
      <c r="I1194" s="44">
        <v>1750</v>
      </c>
      <c r="J1194" s="45">
        <v>75.599999999999994</v>
      </c>
    </row>
    <row r="1195" spans="1:10" ht="15.75" customHeight="1">
      <c r="A1195" s="36" t="s">
        <v>9</v>
      </c>
      <c r="B1195" s="37">
        <v>46131</v>
      </c>
      <c r="C1195" s="38" t="s">
        <v>50</v>
      </c>
      <c r="D1195" s="39" t="s">
        <v>49</v>
      </c>
      <c r="E1195" s="40" t="s">
        <v>34</v>
      </c>
      <c r="F1195" s="41">
        <v>3770</v>
      </c>
      <c r="G1195" s="42">
        <v>88</v>
      </c>
      <c r="H1195" s="43">
        <v>61</v>
      </c>
      <c r="I1195" s="44">
        <v>3797</v>
      </c>
      <c r="J1195" s="46">
        <v>69.3</v>
      </c>
    </row>
    <row r="1196" spans="1:10" ht="15.75" customHeight="1">
      <c r="A1196" s="36" t="s">
        <v>9</v>
      </c>
      <c r="B1196" s="37">
        <v>46131</v>
      </c>
      <c r="C1196" s="38" t="s">
        <v>50</v>
      </c>
      <c r="D1196" s="39" t="s">
        <v>49</v>
      </c>
      <c r="E1196" s="40" t="s">
        <v>25</v>
      </c>
      <c r="F1196" s="41">
        <v>2041</v>
      </c>
      <c r="G1196" s="42">
        <v>39</v>
      </c>
      <c r="H1196" s="43">
        <v>29</v>
      </c>
      <c r="I1196" s="44">
        <v>2051</v>
      </c>
      <c r="J1196" s="46">
        <v>74.400000000000006</v>
      </c>
    </row>
    <row r="1197" spans="1:10" ht="15.75" customHeight="1">
      <c r="A1197" s="36" t="s">
        <v>9</v>
      </c>
      <c r="B1197" s="37">
        <v>46131</v>
      </c>
      <c r="C1197" s="38" t="s">
        <v>50</v>
      </c>
      <c r="D1197" s="39" t="s">
        <v>49</v>
      </c>
      <c r="E1197" s="40" t="s">
        <v>35</v>
      </c>
      <c r="F1197" s="41">
        <v>2179</v>
      </c>
      <c r="G1197" s="42">
        <v>42</v>
      </c>
      <c r="H1197" s="43">
        <v>32</v>
      </c>
      <c r="I1197" s="44">
        <v>2189</v>
      </c>
      <c r="J1197" s="45">
        <v>76.2</v>
      </c>
    </row>
    <row r="1198" spans="1:10" ht="15.75" customHeight="1">
      <c r="A1198" s="36" t="s">
        <v>9</v>
      </c>
      <c r="B1198" s="37">
        <v>46131</v>
      </c>
      <c r="C1198" s="38" t="s">
        <v>50</v>
      </c>
      <c r="D1198" s="39" t="s">
        <v>49</v>
      </c>
      <c r="E1198" s="40" t="s">
        <v>29</v>
      </c>
      <c r="F1198" s="41">
        <v>2560</v>
      </c>
      <c r="G1198" s="42">
        <v>27</v>
      </c>
      <c r="H1198" s="43">
        <v>17</v>
      </c>
      <c r="I1198" s="44">
        <v>2570</v>
      </c>
      <c r="J1198" s="46">
        <v>63</v>
      </c>
    </row>
    <row r="1199" spans="1:10" ht="15.75" customHeight="1">
      <c r="A1199" s="36" t="s">
        <v>9</v>
      </c>
      <c r="B1199" s="37">
        <v>46131</v>
      </c>
      <c r="C1199" s="38" t="s">
        <v>50</v>
      </c>
      <c r="D1199" s="39" t="s">
        <v>49</v>
      </c>
      <c r="E1199" s="40" t="s">
        <v>31</v>
      </c>
      <c r="F1199" s="41">
        <v>3199</v>
      </c>
      <c r="G1199" s="42">
        <v>49</v>
      </c>
      <c r="H1199" s="43">
        <v>38</v>
      </c>
      <c r="I1199" s="44">
        <v>3210</v>
      </c>
      <c r="J1199" s="45">
        <v>77.599999999999994</v>
      </c>
    </row>
    <row r="1200" spans="1:10" ht="15.75" customHeight="1">
      <c r="A1200" s="36" t="s">
        <v>9</v>
      </c>
      <c r="B1200" s="37">
        <v>46131</v>
      </c>
      <c r="C1200" s="38" t="s">
        <v>50</v>
      </c>
      <c r="D1200" s="39" t="s">
        <v>49</v>
      </c>
      <c r="E1200" s="40" t="s">
        <v>33</v>
      </c>
      <c r="F1200" s="41">
        <v>1233</v>
      </c>
      <c r="G1200" s="42">
        <v>41</v>
      </c>
      <c r="H1200" s="43">
        <v>32</v>
      </c>
      <c r="I1200" s="44">
        <v>1242</v>
      </c>
      <c r="J1200" s="45">
        <v>78</v>
      </c>
    </row>
    <row r="1201" spans="1:10" ht="15.75" customHeight="1">
      <c r="A1201" s="36" t="s">
        <v>9</v>
      </c>
      <c r="B1201" s="37">
        <v>46131</v>
      </c>
      <c r="C1201" s="38" t="s">
        <v>50</v>
      </c>
      <c r="D1201" s="39" t="s">
        <v>49</v>
      </c>
      <c r="E1201" s="40" t="s">
        <v>36</v>
      </c>
      <c r="F1201" s="41">
        <v>4076</v>
      </c>
      <c r="G1201" s="42">
        <v>67</v>
      </c>
      <c r="H1201" s="43">
        <v>46</v>
      </c>
      <c r="I1201" s="44">
        <v>4097</v>
      </c>
      <c r="J1201" s="46">
        <v>68.7</v>
      </c>
    </row>
    <row r="1202" spans="1:10" ht="15.75" customHeight="1">
      <c r="A1202" s="24" t="s">
        <v>9</v>
      </c>
      <c r="B1202" s="25">
        <v>46132</v>
      </c>
      <c r="C1202" s="26" t="s">
        <v>51</v>
      </c>
      <c r="D1202" s="27" t="s">
        <v>46</v>
      </c>
      <c r="E1202" s="28" t="s">
        <v>26</v>
      </c>
      <c r="F1202" s="29">
        <v>3257</v>
      </c>
      <c r="G1202" s="30">
        <v>93</v>
      </c>
      <c r="H1202" s="31">
        <v>73</v>
      </c>
      <c r="I1202" s="32">
        <v>3277</v>
      </c>
      <c r="J1202" s="33">
        <v>78.5</v>
      </c>
    </row>
    <row r="1203" spans="1:10" ht="15.75" customHeight="1">
      <c r="A1203" s="14" t="s">
        <v>9</v>
      </c>
      <c r="B1203" s="15">
        <v>46132</v>
      </c>
      <c r="C1203" s="16" t="s">
        <v>51</v>
      </c>
      <c r="D1203" s="17" t="s">
        <v>46</v>
      </c>
      <c r="E1203" s="18" t="s">
        <v>27</v>
      </c>
      <c r="F1203" s="19">
        <v>2361</v>
      </c>
      <c r="G1203" s="20">
        <v>84</v>
      </c>
      <c r="H1203" s="21">
        <v>63</v>
      </c>
      <c r="I1203" s="22">
        <v>2382</v>
      </c>
      <c r="J1203" s="35">
        <v>75</v>
      </c>
    </row>
    <row r="1204" spans="1:10" ht="15.75" customHeight="1">
      <c r="A1204" s="24" t="s">
        <v>9</v>
      </c>
      <c r="B1204" s="25">
        <v>46132</v>
      </c>
      <c r="C1204" s="26" t="s">
        <v>51</v>
      </c>
      <c r="D1204" s="27" t="s">
        <v>46</v>
      </c>
      <c r="E1204" s="28" t="s">
        <v>30</v>
      </c>
      <c r="F1204" s="29">
        <v>3799</v>
      </c>
      <c r="G1204" s="30">
        <v>156</v>
      </c>
      <c r="H1204" s="31">
        <v>122</v>
      </c>
      <c r="I1204" s="32">
        <v>3833</v>
      </c>
      <c r="J1204" s="33">
        <v>78.2</v>
      </c>
    </row>
    <row r="1205" spans="1:10" ht="15.75" customHeight="1">
      <c r="A1205" s="14" t="s">
        <v>9</v>
      </c>
      <c r="B1205" s="15">
        <v>46132</v>
      </c>
      <c r="C1205" s="16" t="s">
        <v>51</v>
      </c>
      <c r="D1205" s="17" t="s">
        <v>46</v>
      </c>
      <c r="E1205" s="18" t="s">
        <v>32</v>
      </c>
      <c r="F1205" s="19">
        <v>1750</v>
      </c>
      <c r="G1205" s="20">
        <v>63</v>
      </c>
      <c r="H1205" s="21">
        <v>55</v>
      </c>
      <c r="I1205" s="22">
        <v>1758</v>
      </c>
      <c r="J1205" s="35">
        <v>87.3</v>
      </c>
    </row>
    <row r="1206" spans="1:10" ht="15.75" customHeight="1">
      <c r="A1206" s="24" t="s">
        <v>9</v>
      </c>
      <c r="B1206" s="25">
        <v>46132</v>
      </c>
      <c r="C1206" s="26" t="s">
        <v>51</v>
      </c>
      <c r="D1206" s="27" t="s">
        <v>46</v>
      </c>
      <c r="E1206" s="28" t="s">
        <v>34</v>
      </c>
      <c r="F1206" s="29">
        <v>3797</v>
      </c>
      <c r="G1206" s="30">
        <v>131</v>
      </c>
      <c r="H1206" s="31">
        <v>84</v>
      </c>
      <c r="I1206" s="32">
        <v>3844</v>
      </c>
      <c r="J1206" s="34">
        <v>64.099999999999994</v>
      </c>
    </row>
    <row r="1207" spans="1:10" ht="15.75" customHeight="1">
      <c r="A1207" s="14" t="s">
        <v>9</v>
      </c>
      <c r="B1207" s="15">
        <v>46132</v>
      </c>
      <c r="C1207" s="16" t="s">
        <v>51</v>
      </c>
      <c r="D1207" s="17" t="s">
        <v>46</v>
      </c>
      <c r="E1207" s="18" t="s">
        <v>25</v>
      </c>
      <c r="F1207" s="19">
        <v>2051</v>
      </c>
      <c r="G1207" s="20">
        <v>79</v>
      </c>
      <c r="H1207" s="21">
        <v>57</v>
      </c>
      <c r="I1207" s="22">
        <v>2073</v>
      </c>
      <c r="J1207" s="23">
        <v>72.2</v>
      </c>
    </row>
    <row r="1208" spans="1:10" ht="15.75" customHeight="1">
      <c r="A1208" s="24" t="s">
        <v>9</v>
      </c>
      <c r="B1208" s="25">
        <v>46132</v>
      </c>
      <c r="C1208" s="26" t="s">
        <v>51</v>
      </c>
      <c r="D1208" s="27" t="s">
        <v>46</v>
      </c>
      <c r="E1208" s="28" t="s">
        <v>35</v>
      </c>
      <c r="F1208" s="29">
        <v>2189</v>
      </c>
      <c r="G1208" s="30">
        <v>134</v>
      </c>
      <c r="H1208" s="31">
        <v>117</v>
      </c>
      <c r="I1208" s="32">
        <v>2206</v>
      </c>
      <c r="J1208" s="33">
        <v>87.3</v>
      </c>
    </row>
    <row r="1209" spans="1:10" ht="15.75" customHeight="1">
      <c r="A1209" s="14" t="s">
        <v>9</v>
      </c>
      <c r="B1209" s="15">
        <v>46132</v>
      </c>
      <c r="C1209" s="16" t="s">
        <v>51</v>
      </c>
      <c r="D1209" s="17" t="s">
        <v>46</v>
      </c>
      <c r="E1209" s="18" t="s">
        <v>29</v>
      </c>
      <c r="F1209" s="19">
        <v>2570</v>
      </c>
      <c r="G1209" s="20">
        <v>98</v>
      </c>
      <c r="H1209" s="21">
        <v>81</v>
      </c>
      <c r="I1209" s="22">
        <v>2587</v>
      </c>
      <c r="J1209" s="35">
        <v>82.7</v>
      </c>
    </row>
    <row r="1210" spans="1:10" ht="15.75" customHeight="1">
      <c r="A1210" s="24" t="s">
        <v>9</v>
      </c>
      <c r="B1210" s="25">
        <v>46132</v>
      </c>
      <c r="C1210" s="26" t="s">
        <v>51</v>
      </c>
      <c r="D1210" s="27" t="s">
        <v>46</v>
      </c>
      <c r="E1210" s="28" t="s">
        <v>31</v>
      </c>
      <c r="F1210" s="29">
        <v>3210</v>
      </c>
      <c r="G1210" s="30">
        <v>125</v>
      </c>
      <c r="H1210" s="31">
        <v>104</v>
      </c>
      <c r="I1210" s="32">
        <v>3231</v>
      </c>
      <c r="J1210" s="33">
        <v>83.2</v>
      </c>
    </row>
    <row r="1211" spans="1:10" ht="15.75" customHeight="1">
      <c r="A1211" s="14" t="s">
        <v>9</v>
      </c>
      <c r="B1211" s="15">
        <v>46132</v>
      </c>
      <c r="C1211" s="16" t="s">
        <v>51</v>
      </c>
      <c r="D1211" s="17" t="s">
        <v>46</v>
      </c>
      <c r="E1211" s="18" t="s">
        <v>33</v>
      </c>
      <c r="F1211" s="19">
        <v>1242</v>
      </c>
      <c r="G1211" s="20">
        <v>83</v>
      </c>
      <c r="H1211" s="21">
        <v>80</v>
      </c>
      <c r="I1211" s="22">
        <v>1245</v>
      </c>
      <c r="J1211" s="35">
        <v>96.4</v>
      </c>
    </row>
    <row r="1212" spans="1:10" ht="15.75" customHeight="1">
      <c r="A1212" s="24" t="s">
        <v>9</v>
      </c>
      <c r="B1212" s="25">
        <v>46132</v>
      </c>
      <c r="C1212" s="26" t="s">
        <v>51</v>
      </c>
      <c r="D1212" s="27" t="s">
        <v>46</v>
      </c>
      <c r="E1212" s="28" t="s">
        <v>36</v>
      </c>
      <c r="F1212" s="29">
        <v>4097</v>
      </c>
      <c r="G1212" s="30">
        <v>149</v>
      </c>
      <c r="H1212" s="31">
        <v>116</v>
      </c>
      <c r="I1212" s="32">
        <v>4130</v>
      </c>
      <c r="J1212" s="33">
        <v>77.900000000000006</v>
      </c>
    </row>
    <row r="1213" spans="1:10" ht="15.75" customHeight="1">
      <c r="A1213" s="14" t="s">
        <v>9</v>
      </c>
      <c r="B1213" s="15">
        <v>46133</v>
      </c>
      <c r="C1213" s="16" t="s">
        <v>52</v>
      </c>
      <c r="D1213" s="17" t="s">
        <v>46</v>
      </c>
      <c r="E1213" s="18" t="s">
        <v>26</v>
      </c>
      <c r="F1213" s="19">
        <v>3277</v>
      </c>
      <c r="G1213" s="20">
        <v>146</v>
      </c>
      <c r="H1213" s="21">
        <v>109</v>
      </c>
      <c r="I1213" s="22">
        <v>3314</v>
      </c>
      <c r="J1213" s="23">
        <v>74.7</v>
      </c>
    </row>
    <row r="1214" spans="1:10" ht="15.75" customHeight="1">
      <c r="A1214" s="24" t="s">
        <v>9</v>
      </c>
      <c r="B1214" s="25">
        <v>46133</v>
      </c>
      <c r="C1214" s="26" t="s">
        <v>52</v>
      </c>
      <c r="D1214" s="27" t="s">
        <v>46</v>
      </c>
      <c r="E1214" s="28" t="s">
        <v>27</v>
      </c>
      <c r="F1214" s="29">
        <v>2382</v>
      </c>
      <c r="G1214" s="30">
        <v>110</v>
      </c>
      <c r="H1214" s="31">
        <v>84</v>
      </c>
      <c r="I1214" s="32">
        <v>2408</v>
      </c>
      <c r="J1214" s="33">
        <v>76.400000000000006</v>
      </c>
    </row>
    <row r="1215" spans="1:10" ht="15.75" customHeight="1">
      <c r="A1215" s="14" t="s">
        <v>9</v>
      </c>
      <c r="B1215" s="15">
        <v>46133</v>
      </c>
      <c r="C1215" s="16" t="s">
        <v>52</v>
      </c>
      <c r="D1215" s="17" t="s">
        <v>46</v>
      </c>
      <c r="E1215" s="18" t="s">
        <v>30</v>
      </c>
      <c r="F1215" s="19">
        <v>3833</v>
      </c>
      <c r="G1215" s="20">
        <v>125</v>
      </c>
      <c r="H1215" s="21">
        <v>89</v>
      </c>
      <c r="I1215" s="22">
        <v>3869</v>
      </c>
      <c r="J1215" s="23">
        <v>71.2</v>
      </c>
    </row>
    <row r="1216" spans="1:10" ht="15.75" customHeight="1">
      <c r="A1216" s="24" t="s">
        <v>9</v>
      </c>
      <c r="B1216" s="25">
        <v>46133</v>
      </c>
      <c r="C1216" s="26" t="s">
        <v>52</v>
      </c>
      <c r="D1216" s="27" t="s">
        <v>46</v>
      </c>
      <c r="E1216" s="28" t="s">
        <v>32</v>
      </c>
      <c r="F1216" s="29">
        <v>1758</v>
      </c>
      <c r="G1216" s="30">
        <v>64</v>
      </c>
      <c r="H1216" s="31">
        <v>59</v>
      </c>
      <c r="I1216" s="32">
        <v>1763</v>
      </c>
      <c r="J1216" s="33">
        <v>92.2</v>
      </c>
    </row>
    <row r="1217" spans="1:10" ht="15.75" customHeight="1">
      <c r="A1217" s="14" t="s">
        <v>9</v>
      </c>
      <c r="B1217" s="15">
        <v>46133</v>
      </c>
      <c r="C1217" s="16" t="s">
        <v>52</v>
      </c>
      <c r="D1217" s="17" t="s">
        <v>46</v>
      </c>
      <c r="E1217" s="18" t="s">
        <v>34</v>
      </c>
      <c r="F1217" s="19">
        <v>3844</v>
      </c>
      <c r="G1217" s="20">
        <v>136</v>
      </c>
      <c r="H1217" s="21">
        <v>91</v>
      </c>
      <c r="I1217" s="22">
        <v>3889</v>
      </c>
      <c r="J1217" s="23">
        <v>66.900000000000006</v>
      </c>
    </row>
    <row r="1218" spans="1:10" ht="15.75" customHeight="1">
      <c r="A1218" s="24" t="s">
        <v>9</v>
      </c>
      <c r="B1218" s="25">
        <v>46133</v>
      </c>
      <c r="C1218" s="26" t="s">
        <v>52</v>
      </c>
      <c r="D1218" s="27" t="s">
        <v>46</v>
      </c>
      <c r="E1218" s="28" t="s">
        <v>25</v>
      </c>
      <c r="F1218" s="29">
        <v>2073</v>
      </c>
      <c r="G1218" s="30">
        <v>67</v>
      </c>
      <c r="H1218" s="31">
        <v>50</v>
      </c>
      <c r="I1218" s="32">
        <v>2090</v>
      </c>
      <c r="J1218" s="34">
        <v>74.599999999999994</v>
      </c>
    </row>
    <row r="1219" spans="1:10" ht="15.75" customHeight="1">
      <c r="A1219" s="14" t="s">
        <v>9</v>
      </c>
      <c r="B1219" s="15">
        <v>46133</v>
      </c>
      <c r="C1219" s="16" t="s">
        <v>52</v>
      </c>
      <c r="D1219" s="17" t="s">
        <v>46</v>
      </c>
      <c r="E1219" s="18" t="s">
        <v>35</v>
      </c>
      <c r="F1219" s="19">
        <v>2206</v>
      </c>
      <c r="G1219" s="20">
        <v>115</v>
      </c>
      <c r="H1219" s="21">
        <v>99</v>
      </c>
      <c r="I1219" s="22">
        <v>2222</v>
      </c>
      <c r="J1219" s="35">
        <v>86.1</v>
      </c>
    </row>
    <row r="1220" spans="1:10" ht="15.75" customHeight="1">
      <c r="A1220" s="24" t="s">
        <v>9</v>
      </c>
      <c r="B1220" s="25">
        <v>46133</v>
      </c>
      <c r="C1220" s="26" t="s">
        <v>52</v>
      </c>
      <c r="D1220" s="27" t="s">
        <v>46</v>
      </c>
      <c r="E1220" s="28" t="s">
        <v>29</v>
      </c>
      <c r="F1220" s="29">
        <v>2587</v>
      </c>
      <c r="G1220" s="30">
        <v>70</v>
      </c>
      <c r="H1220" s="31">
        <v>48</v>
      </c>
      <c r="I1220" s="32">
        <v>2609</v>
      </c>
      <c r="J1220" s="34">
        <v>68.599999999999994</v>
      </c>
    </row>
    <row r="1221" spans="1:10" ht="15.75" customHeight="1">
      <c r="A1221" s="14" t="s">
        <v>9</v>
      </c>
      <c r="B1221" s="15">
        <v>46133</v>
      </c>
      <c r="C1221" s="16" t="s">
        <v>52</v>
      </c>
      <c r="D1221" s="17" t="s">
        <v>46</v>
      </c>
      <c r="E1221" s="18" t="s">
        <v>31</v>
      </c>
      <c r="F1221" s="19">
        <v>3231</v>
      </c>
      <c r="G1221" s="20">
        <v>104</v>
      </c>
      <c r="H1221" s="21">
        <v>73</v>
      </c>
      <c r="I1221" s="22">
        <v>3262</v>
      </c>
      <c r="J1221" s="23">
        <v>70.2</v>
      </c>
    </row>
    <row r="1222" spans="1:10" ht="15.75" customHeight="1">
      <c r="A1222" s="24" t="s">
        <v>9</v>
      </c>
      <c r="B1222" s="25">
        <v>46133</v>
      </c>
      <c r="C1222" s="26" t="s">
        <v>52</v>
      </c>
      <c r="D1222" s="27" t="s">
        <v>46</v>
      </c>
      <c r="E1222" s="28" t="s">
        <v>33</v>
      </c>
      <c r="F1222" s="29">
        <v>1245</v>
      </c>
      <c r="G1222" s="30">
        <v>79</v>
      </c>
      <c r="H1222" s="31">
        <v>65</v>
      </c>
      <c r="I1222" s="32">
        <v>1259</v>
      </c>
      <c r="J1222" s="33">
        <v>82.3</v>
      </c>
    </row>
    <row r="1223" spans="1:10" ht="15.75" customHeight="1">
      <c r="A1223" s="14" t="s">
        <v>9</v>
      </c>
      <c r="B1223" s="15">
        <v>46133</v>
      </c>
      <c r="C1223" s="16" t="s">
        <v>52</v>
      </c>
      <c r="D1223" s="17" t="s">
        <v>46</v>
      </c>
      <c r="E1223" s="18" t="s">
        <v>36</v>
      </c>
      <c r="F1223" s="19">
        <v>4130</v>
      </c>
      <c r="G1223" s="20">
        <v>122</v>
      </c>
      <c r="H1223" s="21">
        <v>76</v>
      </c>
      <c r="I1223" s="22">
        <v>4176</v>
      </c>
      <c r="J1223" s="23">
        <v>62.3</v>
      </c>
    </row>
    <row r="1224" spans="1:10" ht="15.75" customHeight="1">
      <c r="A1224" s="24" t="s">
        <v>9</v>
      </c>
      <c r="B1224" s="25">
        <v>46134</v>
      </c>
      <c r="C1224" s="26" t="s">
        <v>53</v>
      </c>
      <c r="D1224" s="27" t="s">
        <v>46</v>
      </c>
      <c r="E1224" s="28" t="s">
        <v>26</v>
      </c>
      <c r="F1224" s="29">
        <v>3314</v>
      </c>
      <c r="G1224" s="30">
        <v>133</v>
      </c>
      <c r="H1224" s="31">
        <v>98</v>
      </c>
      <c r="I1224" s="32">
        <v>3349</v>
      </c>
      <c r="J1224" s="34">
        <v>73.7</v>
      </c>
    </row>
    <row r="1225" spans="1:10" ht="15.75" customHeight="1">
      <c r="A1225" s="14" t="s">
        <v>9</v>
      </c>
      <c r="B1225" s="15">
        <v>46134</v>
      </c>
      <c r="C1225" s="16" t="s">
        <v>53</v>
      </c>
      <c r="D1225" s="17" t="s">
        <v>46</v>
      </c>
      <c r="E1225" s="18" t="s">
        <v>27</v>
      </c>
      <c r="F1225" s="19">
        <v>2408</v>
      </c>
      <c r="G1225" s="20">
        <v>127</v>
      </c>
      <c r="H1225" s="21">
        <v>112</v>
      </c>
      <c r="I1225" s="22">
        <v>2423</v>
      </c>
      <c r="J1225" s="35">
        <v>88.2</v>
      </c>
    </row>
    <row r="1226" spans="1:10" ht="15.75" customHeight="1">
      <c r="A1226" s="24" t="s">
        <v>9</v>
      </c>
      <c r="B1226" s="25">
        <v>46134</v>
      </c>
      <c r="C1226" s="26" t="s">
        <v>53</v>
      </c>
      <c r="D1226" s="27" t="s">
        <v>46</v>
      </c>
      <c r="E1226" s="28" t="s">
        <v>30</v>
      </c>
      <c r="F1226" s="29">
        <v>3869</v>
      </c>
      <c r="G1226" s="30">
        <v>92</v>
      </c>
      <c r="H1226" s="31">
        <v>73</v>
      </c>
      <c r="I1226" s="32">
        <v>3888</v>
      </c>
      <c r="J1226" s="33">
        <v>79.3</v>
      </c>
    </row>
    <row r="1227" spans="1:10" ht="15.75" customHeight="1">
      <c r="A1227" s="14" t="s">
        <v>9</v>
      </c>
      <c r="B1227" s="15">
        <v>46134</v>
      </c>
      <c r="C1227" s="16" t="s">
        <v>53</v>
      </c>
      <c r="D1227" s="17" t="s">
        <v>46</v>
      </c>
      <c r="E1227" s="18" t="s">
        <v>32</v>
      </c>
      <c r="F1227" s="19">
        <v>1763</v>
      </c>
      <c r="G1227" s="20">
        <v>84</v>
      </c>
      <c r="H1227" s="21">
        <v>78</v>
      </c>
      <c r="I1227" s="22">
        <v>1769</v>
      </c>
      <c r="J1227" s="35">
        <v>92.9</v>
      </c>
    </row>
    <row r="1228" spans="1:10" ht="15.75" customHeight="1">
      <c r="A1228" s="24" t="s">
        <v>9</v>
      </c>
      <c r="B1228" s="25">
        <v>46134</v>
      </c>
      <c r="C1228" s="26" t="s">
        <v>53</v>
      </c>
      <c r="D1228" s="27" t="s">
        <v>46</v>
      </c>
      <c r="E1228" s="28" t="s">
        <v>34</v>
      </c>
      <c r="F1228" s="29">
        <v>3889</v>
      </c>
      <c r="G1228" s="30">
        <v>100</v>
      </c>
      <c r="H1228" s="31">
        <v>73</v>
      </c>
      <c r="I1228" s="32">
        <v>3916</v>
      </c>
      <c r="J1228" s="34">
        <v>73</v>
      </c>
    </row>
    <row r="1229" spans="1:10" ht="15.75" customHeight="1">
      <c r="A1229" s="14" t="s">
        <v>9</v>
      </c>
      <c r="B1229" s="15">
        <v>46134</v>
      </c>
      <c r="C1229" s="16" t="s">
        <v>53</v>
      </c>
      <c r="D1229" s="17" t="s">
        <v>46</v>
      </c>
      <c r="E1229" s="18" t="s">
        <v>25</v>
      </c>
      <c r="F1229" s="19">
        <v>2090</v>
      </c>
      <c r="G1229" s="20">
        <v>69</v>
      </c>
      <c r="H1229" s="21">
        <v>58</v>
      </c>
      <c r="I1229" s="22">
        <v>2101</v>
      </c>
      <c r="J1229" s="35">
        <v>84.1</v>
      </c>
    </row>
    <row r="1230" spans="1:10" ht="15.75" customHeight="1">
      <c r="A1230" s="24" t="s">
        <v>9</v>
      </c>
      <c r="B1230" s="25">
        <v>46134</v>
      </c>
      <c r="C1230" s="26" t="s">
        <v>53</v>
      </c>
      <c r="D1230" s="27" t="s">
        <v>46</v>
      </c>
      <c r="E1230" s="28" t="s">
        <v>35</v>
      </c>
      <c r="F1230" s="29">
        <v>2222</v>
      </c>
      <c r="G1230" s="30">
        <v>124</v>
      </c>
      <c r="H1230" s="31">
        <v>102</v>
      </c>
      <c r="I1230" s="32">
        <v>2244</v>
      </c>
      <c r="J1230" s="33">
        <v>82.3</v>
      </c>
    </row>
    <row r="1231" spans="1:10" ht="15.75" customHeight="1">
      <c r="A1231" s="14" t="s">
        <v>9</v>
      </c>
      <c r="B1231" s="15">
        <v>46134</v>
      </c>
      <c r="C1231" s="16" t="s">
        <v>53</v>
      </c>
      <c r="D1231" s="17" t="s">
        <v>46</v>
      </c>
      <c r="E1231" s="18" t="s">
        <v>29</v>
      </c>
      <c r="F1231" s="19">
        <v>2609</v>
      </c>
      <c r="G1231" s="20">
        <v>99</v>
      </c>
      <c r="H1231" s="21">
        <v>82</v>
      </c>
      <c r="I1231" s="22">
        <v>2626</v>
      </c>
      <c r="J1231" s="35">
        <v>82.8</v>
      </c>
    </row>
    <row r="1232" spans="1:10" ht="15.75" customHeight="1">
      <c r="A1232" s="24" t="s">
        <v>9</v>
      </c>
      <c r="B1232" s="25">
        <v>46134</v>
      </c>
      <c r="C1232" s="26" t="s">
        <v>53</v>
      </c>
      <c r="D1232" s="27" t="s">
        <v>46</v>
      </c>
      <c r="E1232" s="28" t="s">
        <v>31</v>
      </c>
      <c r="F1232" s="29">
        <v>3262</v>
      </c>
      <c r="G1232" s="30">
        <v>113</v>
      </c>
      <c r="H1232" s="31">
        <v>87</v>
      </c>
      <c r="I1232" s="32">
        <v>3288</v>
      </c>
      <c r="J1232" s="33">
        <v>77</v>
      </c>
    </row>
    <row r="1233" spans="1:10" ht="15.75" customHeight="1">
      <c r="A1233" s="14" t="s">
        <v>9</v>
      </c>
      <c r="B1233" s="15">
        <v>46134</v>
      </c>
      <c r="C1233" s="16" t="s">
        <v>53</v>
      </c>
      <c r="D1233" s="17" t="s">
        <v>46</v>
      </c>
      <c r="E1233" s="18" t="s">
        <v>33</v>
      </c>
      <c r="F1233" s="19">
        <v>1259</v>
      </c>
      <c r="G1233" s="20">
        <v>69</v>
      </c>
      <c r="H1233" s="21">
        <v>57</v>
      </c>
      <c r="I1233" s="22">
        <v>1271</v>
      </c>
      <c r="J1233" s="35">
        <v>82.6</v>
      </c>
    </row>
    <row r="1234" spans="1:10" ht="15.75" customHeight="1">
      <c r="A1234" s="24" t="s">
        <v>9</v>
      </c>
      <c r="B1234" s="25">
        <v>46134</v>
      </c>
      <c r="C1234" s="26" t="s">
        <v>53</v>
      </c>
      <c r="D1234" s="27" t="s">
        <v>46</v>
      </c>
      <c r="E1234" s="28" t="s">
        <v>36</v>
      </c>
      <c r="F1234" s="29">
        <v>4176</v>
      </c>
      <c r="G1234" s="30">
        <v>150</v>
      </c>
      <c r="H1234" s="31">
        <v>106</v>
      </c>
      <c r="I1234" s="32">
        <v>4220</v>
      </c>
      <c r="J1234" s="34">
        <v>70.7</v>
      </c>
    </row>
    <row r="1235" spans="1:10" ht="15.75" customHeight="1">
      <c r="A1235" s="14" t="s">
        <v>9</v>
      </c>
      <c r="B1235" s="15">
        <v>46135</v>
      </c>
      <c r="C1235" s="16" t="s">
        <v>45</v>
      </c>
      <c r="D1235" s="17" t="s">
        <v>46</v>
      </c>
      <c r="E1235" s="18" t="s">
        <v>26</v>
      </c>
      <c r="F1235" s="19">
        <v>3349</v>
      </c>
      <c r="G1235" s="20">
        <v>96</v>
      </c>
      <c r="H1235" s="21">
        <v>81</v>
      </c>
      <c r="I1235" s="22">
        <v>3364</v>
      </c>
      <c r="J1235" s="35">
        <v>84.4</v>
      </c>
    </row>
    <row r="1236" spans="1:10" ht="15.75" customHeight="1">
      <c r="A1236" s="24" t="s">
        <v>9</v>
      </c>
      <c r="B1236" s="25">
        <v>46135</v>
      </c>
      <c r="C1236" s="26" t="s">
        <v>45</v>
      </c>
      <c r="D1236" s="27" t="s">
        <v>46</v>
      </c>
      <c r="E1236" s="28" t="s">
        <v>27</v>
      </c>
      <c r="F1236" s="29">
        <v>2423</v>
      </c>
      <c r="G1236" s="30">
        <v>104</v>
      </c>
      <c r="H1236" s="31">
        <v>72</v>
      </c>
      <c r="I1236" s="32">
        <v>2455</v>
      </c>
      <c r="J1236" s="34">
        <v>69.2</v>
      </c>
    </row>
    <row r="1237" spans="1:10" ht="15.75" customHeight="1">
      <c r="A1237" s="14" t="s">
        <v>9</v>
      </c>
      <c r="B1237" s="15">
        <v>46135</v>
      </c>
      <c r="C1237" s="16" t="s">
        <v>45</v>
      </c>
      <c r="D1237" s="17" t="s">
        <v>46</v>
      </c>
      <c r="E1237" s="18" t="s">
        <v>30</v>
      </c>
      <c r="F1237" s="19">
        <v>3888</v>
      </c>
      <c r="G1237" s="20">
        <v>140</v>
      </c>
      <c r="H1237" s="21">
        <v>102</v>
      </c>
      <c r="I1237" s="22">
        <v>3926</v>
      </c>
      <c r="J1237" s="23">
        <v>72.900000000000006</v>
      </c>
    </row>
    <row r="1238" spans="1:10" ht="15.75" customHeight="1">
      <c r="A1238" s="24" t="s">
        <v>9</v>
      </c>
      <c r="B1238" s="25">
        <v>46135</v>
      </c>
      <c r="C1238" s="26" t="s">
        <v>45</v>
      </c>
      <c r="D1238" s="27" t="s">
        <v>46</v>
      </c>
      <c r="E1238" s="28" t="s">
        <v>32</v>
      </c>
      <c r="F1238" s="29">
        <v>1769</v>
      </c>
      <c r="G1238" s="30">
        <v>96</v>
      </c>
      <c r="H1238" s="31">
        <v>72</v>
      </c>
      <c r="I1238" s="32">
        <v>1793</v>
      </c>
      <c r="J1238" s="33">
        <v>75</v>
      </c>
    </row>
    <row r="1239" spans="1:10" ht="15.75" customHeight="1">
      <c r="A1239" s="14" t="s">
        <v>9</v>
      </c>
      <c r="B1239" s="15">
        <v>46135</v>
      </c>
      <c r="C1239" s="16" t="s">
        <v>45</v>
      </c>
      <c r="D1239" s="17" t="s">
        <v>46</v>
      </c>
      <c r="E1239" s="18" t="s">
        <v>34</v>
      </c>
      <c r="F1239" s="19">
        <v>3916</v>
      </c>
      <c r="G1239" s="20">
        <v>110</v>
      </c>
      <c r="H1239" s="21">
        <v>88</v>
      </c>
      <c r="I1239" s="22">
        <v>3938</v>
      </c>
      <c r="J1239" s="35">
        <v>80</v>
      </c>
    </row>
    <row r="1240" spans="1:10" ht="15.75" customHeight="1">
      <c r="A1240" s="24" t="s">
        <v>9</v>
      </c>
      <c r="B1240" s="25">
        <v>46135</v>
      </c>
      <c r="C1240" s="26" t="s">
        <v>45</v>
      </c>
      <c r="D1240" s="27" t="s">
        <v>46</v>
      </c>
      <c r="E1240" s="28" t="s">
        <v>25</v>
      </c>
      <c r="F1240" s="29">
        <v>2101</v>
      </c>
      <c r="G1240" s="30">
        <v>77</v>
      </c>
      <c r="H1240" s="31">
        <v>56</v>
      </c>
      <c r="I1240" s="32">
        <v>2122</v>
      </c>
      <c r="J1240" s="34">
        <v>72.7</v>
      </c>
    </row>
    <row r="1241" spans="1:10" ht="15.75" customHeight="1">
      <c r="A1241" s="14" t="s">
        <v>9</v>
      </c>
      <c r="B1241" s="15">
        <v>46135</v>
      </c>
      <c r="C1241" s="16" t="s">
        <v>45</v>
      </c>
      <c r="D1241" s="17" t="s">
        <v>46</v>
      </c>
      <c r="E1241" s="18" t="s">
        <v>35</v>
      </c>
      <c r="F1241" s="19">
        <v>2244</v>
      </c>
      <c r="G1241" s="20">
        <v>134</v>
      </c>
      <c r="H1241" s="21">
        <v>101</v>
      </c>
      <c r="I1241" s="22">
        <v>2277</v>
      </c>
      <c r="J1241" s="35">
        <v>75.400000000000006</v>
      </c>
    </row>
    <row r="1242" spans="1:10" ht="15.75" customHeight="1">
      <c r="A1242" s="24" t="s">
        <v>9</v>
      </c>
      <c r="B1242" s="25">
        <v>46135</v>
      </c>
      <c r="C1242" s="26" t="s">
        <v>45</v>
      </c>
      <c r="D1242" s="27" t="s">
        <v>46</v>
      </c>
      <c r="E1242" s="28" t="s">
        <v>29</v>
      </c>
      <c r="F1242" s="29">
        <v>2626</v>
      </c>
      <c r="G1242" s="30">
        <v>68</v>
      </c>
      <c r="H1242" s="31">
        <v>48</v>
      </c>
      <c r="I1242" s="32">
        <v>2646</v>
      </c>
      <c r="J1242" s="34">
        <v>70.599999999999994</v>
      </c>
    </row>
    <row r="1243" spans="1:10" ht="15.75" customHeight="1">
      <c r="A1243" s="14" t="s">
        <v>9</v>
      </c>
      <c r="B1243" s="15">
        <v>46135</v>
      </c>
      <c r="C1243" s="16" t="s">
        <v>45</v>
      </c>
      <c r="D1243" s="17" t="s">
        <v>46</v>
      </c>
      <c r="E1243" s="18" t="s">
        <v>31</v>
      </c>
      <c r="F1243" s="19">
        <v>3288</v>
      </c>
      <c r="G1243" s="20">
        <v>133</v>
      </c>
      <c r="H1243" s="21">
        <v>95</v>
      </c>
      <c r="I1243" s="22">
        <v>3326</v>
      </c>
      <c r="J1243" s="23">
        <v>71.400000000000006</v>
      </c>
    </row>
    <row r="1244" spans="1:10" ht="15.75" customHeight="1">
      <c r="A1244" s="24" t="s">
        <v>9</v>
      </c>
      <c r="B1244" s="25">
        <v>46135</v>
      </c>
      <c r="C1244" s="26" t="s">
        <v>45</v>
      </c>
      <c r="D1244" s="27" t="s">
        <v>46</v>
      </c>
      <c r="E1244" s="28" t="s">
        <v>33</v>
      </c>
      <c r="F1244" s="29">
        <v>1271</v>
      </c>
      <c r="G1244" s="30">
        <v>68</v>
      </c>
      <c r="H1244" s="31">
        <v>60</v>
      </c>
      <c r="I1244" s="32">
        <v>1279</v>
      </c>
      <c r="J1244" s="33">
        <v>88.2</v>
      </c>
    </row>
    <row r="1245" spans="1:10" ht="15.75" customHeight="1">
      <c r="A1245" s="14" t="s">
        <v>9</v>
      </c>
      <c r="B1245" s="15">
        <v>46135</v>
      </c>
      <c r="C1245" s="16" t="s">
        <v>45</v>
      </c>
      <c r="D1245" s="17" t="s">
        <v>46</v>
      </c>
      <c r="E1245" s="18" t="s">
        <v>36</v>
      </c>
      <c r="F1245" s="19">
        <v>4220</v>
      </c>
      <c r="G1245" s="20">
        <v>136</v>
      </c>
      <c r="H1245" s="21">
        <v>92</v>
      </c>
      <c r="I1245" s="22">
        <v>4264</v>
      </c>
      <c r="J1245" s="23">
        <v>67.599999999999994</v>
      </c>
    </row>
    <row r="1246" spans="1:10" ht="15.75" customHeight="1">
      <c r="A1246" s="24" t="s">
        <v>9</v>
      </c>
      <c r="B1246" s="25">
        <v>46136</v>
      </c>
      <c r="C1246" s="26" t="s">
        <v>47</v>
      </c>
      <c r="D1246" s="27" t="s">
        <v>46</v>
      </c>
      <c r="E1246" s="28" t="s">
        <v>26</v>
      </c>
      <c r="F1246" s="29">
        <v>3364</v>
      </c>
      <c r="G1246" s="30">
        <v>149</v>
      </c>
      <c r="H1246" s="31">
        <v>97</v>
      </c>
      <c r="I1246" s="32">
        <v>3416</v>
      </c>
      <c r="J1246" s="34">
        <v>65.099999999999994</v>
      </c>
    </row>
    <row r="1247" spans="1:10" ht="15.75" customHeight="1">
      <c r="A1247" s="14" t="s">
        <v>9</v>
      </c>
      <c r="B1247" s="15">
        <v>46136</v>
      </c>
      <c r="C1247" s="16" t="s">
        <v>47</v>
      </c>
      <c r="D1247" s="17" t="s">
        <v>46</v>
      </c>
      <c r="E1247" s="18" t="s">
        <v>27</v>
      </c>
      <c r="F1247" s="19">
        <v>2455</v>
      </c>
      <c r="G1247" s="20">
        <v>130</v>
      </c>
      <c r="H1247" s="21">
        <v>102</v>
      </c>
      <c r="I1247" s="22">
        <v>2483</v>
      </c>
      <c r="J1247" s="35">
        <v>78.5</v>
      </c>
    </row>
    <row r="1248" spans="1:10" ht="15.75" customHeight="1">
      <c r="A1248" s="24" t="s">
        <v>9</v>
      </c>
      <c r="B1248" s="25">
        <v>46136</v>
      </c>
      <c r="C1248" s="26" t="s">
        <v>47</v>
      </c>
      <c r="D1248" s="27" t="s">
        <v>46</v>
      </c>
      <c r="E1248" s="28" t="s">
        <v>30</v>
      </c>
      <c r="F1248" s="29">
        <v>3926</v>
      </c>
      <c r="G1248" s="30">
        <v>118</v>
      </c>
      <c r="H1248" s="31">
        <v>90</v>
      </c>
      <c r="I1248" s="32">
        <v>3954</v>
      </c>
      <c r="J1248" s="33">
        <v>76.3</v>
      </c>
    </row>
    <row r="1249" spans="1:10" ht="15.75" customHeight="1">
      <c r="A1249" s="14" t="s">
        <v>9</v>
      </c>
      <c r="B1249" s="15">
        <v>46136</v>
      </c>
      <c r="C1249" s="16" t="s">
        <v>47</v>
      </c>
      <c r="D1249" s="17" t="s">
        <v>46</v>
      </c>
      <c r="E1249" s="18" t="s">
        <v>32</v>
      </c>
      <c r="F1249" s="19">
        <v>1793</v>
      </c>
      <c r="G1249" s="20">
        <v>64</v>
      </c>
      <c r="H1249" s="21">
        <v>60</v>
      </c>
      <c r="I1249" s="22">
        <v>1797</v>
      </c>
      <c r="J1249" s="35">
        <v>93.8</v>
      </c>
    </row>
    <row r="1250" spans="1:10" ht="15.75" customHeight="1">
      <c r="A1250" s="24" t="s">
        <v>9</v>
      </c>
      <c r="B1250" s="25">
        <v>46136</v>
      </c>
      <c r="C1250" s="26" t="s">
        <v>47</v>
      </c>
      <c r="D1250" s="27" t="s">
        <v>46</v>
      </c>
      <c r="E1250" s="28" t="s">
        <v>34</v>
      </c>
      <c r="F1250" s="29">
        <v>3938</v>
      </c>
      <c r="G1250" s="30">
        <v>105</v>
      </c>
      <c r="H1250" s="31">
        <v>65</v>
      </c>
      <c r="I1250" s="32">
        <v>3978</v>
      </c>
      <c r="J1250" s="34">
        <v>61.9</v>
      </c>
    </row>
    <row r="1251" spans="1:10" ht="15.75" customHeight="1">
      <c r="A1251" s="14" t="s">
        <v>9</v>
      </c>
      <c r="B1251" s="15">
        <v>46136</v>
      </c>
      <c r="C1251" s="16" t="s">
        <v>47</v>
      </c>
      <c r="D1251" s="17" t="s">
        <v>46</v>
      </c>
      <c r="E1251" s="18" t="s">
        <v>25</v>
      </c>
      <c r="F1251" s="19">
        <v>2122</v>
      </c>
      <c r="G1251" s="20">
        <v>110</v>
      </c>
      <c r="H1251" s="21">
        <v>81</v>
      </c>
      <c r="I1251" s="22">
        <v>2151</v>
      </c>
      <c r="J1251" s="23">
        <v>73.599999999999994</v>
      </c>
    </row>
    <row r="1252" spans="1:10" ht="15.75" customHeight="1">
      <c r="A1252" s="24" t="s">
        <v>9</v>
      </c>
      <c r="B1252" s="25">
        <v>46136</v>
      </c>
      <c r="C1252" s="26" t="s">
        <v>47</v>
      </c>
      <c r="D1252" s="27" t="s">
        <v>46</v>
      </c>
      <c r="E1252" s="28" t="s">
        <v>35</v>
      </c>
      <c r="F1252" s="29">
        <v>2277</v>
      </c>
      <c r="G1252" s="30">
        <v>100</v>
      </c>
      <c r="H1252" s="31">
        <v>72</v>
      </c>
      <c r="I1252" s="32">
        <v>2305</v>
      </c>
      <c r="J1252" s="34">
        <v>72</v>
      </c>
    </row>
    <row r="1253" spans="1:10" ht="15.75" customHeight="1">
      <c r="A1253" s="14" t="s">
        <v>9</v>
      </c>
      <c r="B1253" s="15">
        <v>46136</v>
      </c>
      <c r="C1253" s="16" t="s">
        <v>47</v>
      </c>
      <c r="D1253" s="17" t="s">
        <v>46</v>
      </c>
      <c r="E1253" s="18" t="s">
        <v>29</v>
      </c>
      <c r="F1253" s="19">
        <v>2646</v>
      </c>
      <c r="G1253" s="20">
        <v>104</v>
      </c>
      <c r="H1253" s="21">
        <v>72</v>
      </c>
      <c r="I1253" s="22">
        <v>2678</v>
      </c>
      <c r="J1253" s="23">
        <v>69.2</v>
      </c>
    </row>
    <row r="1254" spans="1:10" ht="15.75" customHeight="1">
      <c r="A1254" s="24" t="s">
        <v>9</v>
      </c>
      <c r="B1254" s="25">
        <v>46136</v>
      </c>
      <c r="C1254" s="26" t="s">
        <v>47</v>
      </c>
      <c r="D1254" s="27" t="s">
        <v>46</v>
      </c>
      <c r="E1254" s="28" t="s">
        <v>31</v>
      </c>
      <c r="F1254" s="29">
        <v>3326</v>
      </c>
      <c r="G1254" s="30">
        <v>115</v>
      </c>
      <c r="H1254" s="31">
        <v>77</v>
      </c>
      <c r="I1254" s="32">
        <v>3364</v>
      </c>
      <c r="J1254" s="34">
        <v>67</v>
      </c>
    </row>
    <row r="1255" spans="1:10" ht="15.75" customHeight="1">
      <c r="A1255" s="14" t="s">
        <v>9</v>
      </c>
      <c r="B1255" s="15">
        <v>46136</v>
      </c>
      <c r="C1255" s="16" t="s">
        <v>47</v>
      </c>
      <c r="D1255" s="17" t="s">
        <v>46</v>
      </c>
      <c r="E1255" s="18" t="s">
        <v>33</v>
      </c>
      <c r="F1255" s="19">
        <v>1279</v>
      </c>
      <c r="G1255" s="20">
        <v>85</v>
      </c>
      <c r="H1255" s="21">
        <v>69</v>
      </c>
      <c r="I1255" s="22">
        <v>1295</v>
      </c>
      <c r="J1255" s="35">
        <v>81.2</v>
      </c>
    </row>
    <row r="1256" spans="1:10" ht="15.75" customHeight="1">
      <c r="A1256" s="24" t="s">
        <v>9</v>
      </c>
      <c r="B1256" s="25">
        <v>46136</v>
      </c>
      <c r="C1256" s="26" t="s">
        <v>47</v>
      </c>
      <c r="D1256" s="27" t="s">
        <v>46</v>
      </c>
      <c r="E1256" s="28" t="s">
        <v>36</v>
      </c>
      <c r="F1256" s="29">
        <v>4264</v>
      </c>
      <c r="G1256" s="30">
        <v>167</v>
      </c>
      <c r="H1256" s="31">
        <v>114</v>
      </c>
      <c r="I1256" s="32">
        <v>4317</v>
      </c>
      <c r="J1256" s="34">
        <v>68.3</v>
      </c>
    </row>
    <row r="1257" spans="1:10" ht="15.75" customHeight="1">
      <c r="A1257" s="36" t="s">
        <v>9</v>
      </c>
      <c r="B1257" s="37">
        <v>46137</v>
      </c>
      <c r="C1257" s="38" t="s">
        <v>48</v>
      </c>
      <c r="D1257" s="39" t="s">
        <v>49</v>
      </c>
      <c r="E1257" s="40" t="s">
        <v>26</v>
      </c>
      <c r="F1257" s="41">
        <v>3416</v>
      </c>
      <c r="G1257" s="42">
        <v>51</v>
      </c>
      <c r="H1257" s="43">
        <v>34</v>
      </c>
      <c r="I1257" s="44">
        <v>3433</v>
      </c>
      <c r="J1257" s="46">
        <v>66.7</v>
      </c>
    </row>
    <row r="1258" spans="1:10" ht="15.75" customHeight="1">
      <c r="A1258" s="36" t="s">
        <v>9</v>
      </c>
      <c r="B1258" s="37">
        <v>46137</v>
      </c>
      <c r="C1258" s="38" t="s">
        <v>48</v>
      </c>
      <c r="D1258" s="39" t="s">
        <v>49</v>
      </c>
      <c r="E1258" s="40" t="s">
        <v>27</v>
      </c>
      <c r="F1258" s="41">
        <v>2483</v>
      </c>
      <c r="G1258" s="42">
        <v>65</v>
      </c>
      <c r="H1258" s="43">
        <v>45</v>
      </c>
      <c r="I1258" s="44">
        <v>2503</v>
      </c>
      <c r="J1258" s="46">
        <v>69.2</v>
      </c>
    </row>
    <row r="1259" spans="1:10" ht="15.75" customHeight="1">
      <c r="A1259" s="36" t="s">
        <v>9</v>
      </c>
      <c r="B1259" s="37">
        <v>46137</v>
      </c>
      <c r="C1259" s="38" t="s">
        <v>48</v>
      </c>
      <c r="D1259" s="39" t="s">
        <v>49</v>
      </c>
      <c r="E1259" s="40" t="s">
        <v>30</v>
      </c>
      <c r="F1259" s="41">
        <v>3954</v>
      </c>
      <c r="G1259" s="42">
        <v>55</v>
      </c>
      <c r="H1259" s="43">
        <v>42</v>
      </c>
      <c r="I1259" s="44">
        <v>3967</v>
      </c>
      <c r="J1259" s="45">
        <v>76.400000000000006</v>
      </c>
    </row>
    <row r="1260" spans="1:10" ht="15.75" customHeight="1">
      <c r="A1260" s="36" t="s">
        <v>9</v>
      </c>
      <c r="B1260" s="37">
        <v>46137</v>
      </c>
      <c r="C1260" s="38" t="s">
        <v>48</v>
      </c>
      <c r="D1260" s="39" t="s">
        <v>49</v>
      </c>
      <c r="E1260" s="40" t="s">
        <v>32</v>
      </c>
      <c r="F1260" s="41">
        <v>1797</v>
      </c>
      <c r="G1260" s="42">
        <v>48</v>
      </c>
      <c r="H1260" s="43">
        <v>42</v>
      </c>
      <c r="I1260" s="44">
        <v>1803</v>
      </c>
      <c r="J1260" s="45">
        <v>87.5</v>
      </c>
    </row>
    <row r="1261" spans="1:10" ht="15.75" customHeight="1">
      <c r="A1261" s="36" t="s">
        <v>9</v>
      </c>
      <c r="B1261" s="37">
        <v>46137</v>
      </c>
      <c r="C1261" s="38" t="s">
        <v>48</v>
      </c>
      <c r="D1261" s="39" t="s">
        <v>49</v>
      </c>
      <c r="E1261" s="40" t="s">
        <v>34</v>
      </c>
      <c r="F1261" s="41">
        <v>3978</v>
      </c>
      <c r="G1261" s="42">
        <v>85</v>
      </c>
      <c r="H1261" s="43">
        <v>58</v>
      </c>
      <c r="I1261" s="44">
        <v>4005</v>
      </c>
      <c r="J1261" s="46">
        <v>68.2</v>
      </c>
    </row>
    <row r="1262" spans="1:10" ht="15.75" customHeight="1">
      <c r="A1262" s="36" t="s">
        <v>9</v>
      </c>
      <c r="B1262" s="37">
        <v>46137</v>
      </c>
      <c r="C1262" s="38" t="s">
        <v>48</v>
      </c>
      <c r="D1262" s="39" t="s">
        <v>49</v>
      </c>
      <c r="E1262" s="40" t="s">
        <v>25</v>
      </c>
      <c r="F1262" s="41">
        <v>2151</v>
      </c>
      <c r="G1262" s="42">
        <v>24</v>
      </c>
      <c r="H1262" s="43">
        <v>20</v>
      </c>
      <c r="I1262" s="44">
        <v>2155</v>
      </c>
      <c r="J1262" s="45">
        <v>83.3</v>
      </c>
    </row>
    <row r="1263" spans="1:10" ht="15.75" customHeight="1">
      <c r="A1263" s="36" t="s">
        <v>9</v>
      </c>
      <c r="B1263" s="37">
        <v>46137</v>
      </c>
      <c r="C1263" s="38" t="s">
        <v>48</v>
      </c>
      <c r="D1263" s="39" t="s">
        <v>49</v>
      </c>
      <c r="E1263" s="40" t="s">
        <v>35</v>
      </c>
      <c r="F1263" s="41">
        <v>2305</v>
      </c>
      <c r="G1263" s="42">
        <v>70</v>
      </c>
      <c r="H1263" s="43">
        <v>53</v>
      </c>
      <c r="I1263" s="44">
        <v>2322</v>
      </c>
      <c r="J1263" s="45">
        <v>75.7</v>
      </c>
    </row>
    <row r="1264" spans="1:10" ht="15.75" customHeight="1">
      <c r="A1264" s="36" t="s">
        <v>9</v>
      </c>
      <c r="B1264" s="37">
        <v>46137</v>
      </c>
      <c r="C1264" s="38" t="s">
        <v>48</v>
      </c>
      <c r="D1264" s="39" t="s">
        <v>49</v>
      </c>
      <c r="E1264" s="40" t="s">
        <v>29</v>
      </c>
      <c r="F1264" s="41">
        <v>2678</v>
      </c>
      <c r="G1264" s="42">
        <v>32</v>
      </c>
      <c r="H1264" s="43">
        <v>26</v>
      </c>
      <c r="I1264" s="44">
        <v>2684</v>
      </c>
      <c r="J1264" s="45">
        <v>81.2</v>
      </c>
    </row>
    <row r="1265" spans="1:10" ht="15.75" customHeight="1">
      <c r="A1265" s="36" t="s">
        <v>9</v>
      </c>
      <c r="B1265" s="37">
        <v>46137</v>
      </c>
      <c r="C1265" s="38" t="s">
        <v>48</v>
      </c>
      <c r="D1265" s="39" t="s">
        <v>49</v>
      </c>
      <c r="E1265" s="40" t="s">
        <v>31</v>
      </c>
      <c r="F1265" s="41">
        <v>3364</v>
      </c>
      <c r="G1265" s="42">
        <v>53</v>
      </c>
      <c r="H1265" s="43">
        <v>43</v>
      </c>
      <c r="I1265" s="44">
        <v>3374</v>
      </c>
      <c r="J1265" s="45">
        <v>81.099999999999994</v>
      </c>
    </row>
    <row r="1266" spans="1:10" ht="15.75" customHeight="1">
      <c r="A1266" s="36" t="s">
        <v>9</v>
      </c>
      <c r="B1266" s="37">
        <v>46137</v>
      </c>
      <c r="C1266" s="38" t="s">
        <v>48</v>
      </c>
      <c r="D1266" s="39" t="s">
        <v>49</v>
      </c>
      <c r="E1266" s="40" t="s">
        <v>33</v>
      </c>
      <c r="F1266" s="41">
        <v>1295</v>
      </c>
      <c r="G1266" s="42">
        <v>41</v>
      </c>
      <c r="H1266" s="43">
        <v>32</v>
      </c>
      <c r="I1266" s="44">
        <v>1304</v>
      </c>
      <c r="J1266" s="45">
        <v>78</v>
      </c>
    </row>
    <row r="1267" spans="1:10" ht="15.75" customHeight="1">
      <c r="A1267" s="36" t="s">
        <v>9</v>
      </c>
      <c r="B1267" s="37">
        <v>46137</v>
      </c>
      <c r="C1267" s="38" t="s">
        <v>48</v>
      </c>
      <c r="D1267" s="39" t="s">
        <v>49</v>
      </c>
      <c r="E1267" s="40" t="s">
        <v>36</v>
      </c>
      <c r="F1267" s="41">
        <v>4317</v>
      </c>
      <c r="G1267" s="42">
        <v>74</v>
      </c>
      <c r="H1267" s="43">
        <v>57</v>
      </c>
      <c r="I1267" s="44">
        <v>4334</v>
      </c>
      <c r="J1267" s="45">
        <v>77</v>
      </c>
    </row>
    <row r="1268" spans="1:10" ht="15.75" customHeight="1">
      <c r="A1268" s="36" t="s">
        <v>9</v>
      </c>
      <c r="B1268" s="37">
        <v>46138</v>
      </c>
      <c r="C1268" s="38" t="s">
        <v>50</v>
      </c>
      <c r="D1268" s="39" t="s">
        <v>49</v>
      </c>
      <c r="E1268" s="40" t="s">
        <v>26</v>
      </c>
      <c r="F1268" s="41">
        <v>3433</v>
      </c>
      <c r="G1268" s="42">
        <v>53</v>
      </c>
      <c r="H1268" s="43">
        <v>34</v>
      </c>
      <c r="I1268" s="44">
        <v>3452</v>
      </c>
      <c r="J1268" s="46">
        <v>64.2</v>
      </c>
    </row>
    <row r="1269" spans="1:10" ht="15.75" customHeight="1">
      <c r="A1269" s="36" t="s">
        <v>9</v>
      </c>
      <c r="B1269" s="37">
        <v>46138</v>
      </c>
      <c r="C1269" s="38" t="s">
        <v>50</v>
      </c>
      <c r="D1269" s="39" t="s">
        <v>49</v>
      </c>
      <c r="E1269" s="40" t="s">
        <v>27</v>
      </c>
      <c r="F1269" s="41">
        <v>2503</v>
      </c>
      <c r="G1269" s="42">
        <v>54</v>
      </c>
      <c r="H1269" s="43">
        <v>44</v>
      </c>
      <c r="I1269" s="44">
        <v>2513</v>
      </c>
      <c r="J1269" s="45">
        <v>81.5</v>
      </c>
    </row>
    <row r="1270" spans="1:10" ht="15.75" customHeight="1">
      <c r="A1270" s="36" t="s">
        <v>9</v>
      </c>
      <c r="B1270" s="37">
        <v>46138</v>
      </c>
      <c r="C1270" s="38" t="s">
        <v>50</v>
      </c>
      <c r="D1270" s="39" t="s">
        <v>49</v>
      </c>
      <c r="E1270" s="40" t="s">
        <v>30</v>
      </c>
      <c r="F1270" s="41">
        <v>3967</v>
      </c>
      <c r="G1270" s="42">
        <v>42</v>
      </c>
      <c r="H1270" s="43">
        <v>31</v>
      </c>
      <c r="I1270" s="44">
        <v>3978</v>
      </c>
      <c r="J1270" s="46">
        <v>73.8</v>
      </c>
    </row>
    <row r="1271" spans="1:10" ht="15.75" customHeight="1">
      <c r="A1271" s="36" t="s">
        <v>9</v>
      </c>
      <c r="B1271" s="37">
        <v>46138</v>
      </c>
      <c r="C1271" s="38" t="s">
        <v>50</v>
      </c>
      <c r="D1271" s="39" t="s">
        <v>49</v>
      </c>
      <c r="E1271" s="40" t="s">
        <v>32</v>
      </c>
      <c r="F1271" s="41">
        <v>1803</v>
      </c>
      <c r="G1271" s="42">
        <v>47</v>
      </c>
      <c r="H1271" s="43">
        <v>42</v>
      </c>
      <c r="I1271" s="44">
        <v>1808</v>
      </c>
      <c r="J1271" s="45">
        <v>89.4</v>
      </c>
    </row>
    <row r="1272" spans="1:10" ht="15.75" customHeight="1">
      <c r="A1272" s="36" t="s">
        <v>9</v>
      </c>
      <c r="B1272" s="37">
        <v>46138</v>
      </c>
      <c r="C1272" s="38" t="s">
        <v>50</v>
      </c>
      <c r="D1272" s="39" t="s">
        <v>49</v>
      </c>
      <c r="E1272" s="40" t="s">
        <v>34</v>
      </c>
      <c r="F1272" s="41">
        <v>4005</v>
      </c>
      <c r="G1272" s="42">
        <v>85</v>
      </c>
      <c r="H1272" s="43">
        <v>56</v>
      </c>
      <c r="I1272" s="44">
        <v>4034</v>
      </c>
      <c r="J1272" s="46">
        <v>65.900000000000006</v>
      </c>
    </row>
    <row r="1273" spans="1:10" ht="15.75" customHeight="1">
      <c r="A1273" s="36" t="s">
        <v>9</v>
      </c>
      <c r="B1273" s="37">
        <v>46138</v>
      </c>
      <c r="C1273" s="38" t="s">
        <v>50</v>
      </c>
      <c r="D1273" s="39" t="s">
        <v>49</v>
      </c>
      <c r="E1273" s="40" t="s">
        <v>25</v>
      </c>
      <c r="F1273" s="41">
        <v>2155</v>
      </c>
      <c r="G1273" s="42">
        <v>47</v>
      </c>
      <c r="H1273" s="43">
        <v>33</v>
      </c>
      <c r="I1273" s="44">
        <v>2169</v>
      </c>
      <c r="J1273" s="46">
        <v>70.2</v>
      </c>
    </row>
    <row r="1274" spans="1:10" ht="15.75" customHeight="1">
      <c r="A1274" s="36" t="s">
        <v>9</v>
      </c>
      <c r="B1274" s="37">
        <v>46138</v>
      </c>
      <c r="C1274" s="38" t="s">
        <v>50</v>
      </c>
      <c r="D1274" s="39" t="s">
        <v>49</v>
      </c>
      <c r="E1274" s="40" t="s">
        <v>35</v>
      </c>
      <c r="F1274" s="41">
        <v>2322</v>
      </c>
      <c r="G1274" s="42">
        <v>63</v>
      </c>
      <c r="H1274" s="43">
        <v>55</v>
      </c>
      <c r="I1274" s="44">
        <v>2330</v>
      </c>
      <c r="J1274" s="45">
        <v>87.3</v>
      </c>
    </row>
    <row r="1275" spans="1:10" ht="15.75" customHeight="1">
      <c r="A1275" s="36" t="s">
        <v>9</v>
      </c>
      <c r="B1275" s="37">
        <v>46138</v>
      </c>
      <c r="C1275" s="38" t="s">
        <v>50</v>
      </c>
      <c r="D1275" s="39" t="s">
        <v>49</v>
      </c>
      <c r="E1275" s="40" t="s">
        <v>29</v>
      </c>
      <c r="F1275" s="41">
        <v>2684</v>
      </c>
      <c r="G1275" s="42">
        <v>43</v>
      </c>
      <c r="H1275" s="43">
        <v>36</v>
      </c>
      <c r="I1275" s="44">
        <v>2691</v>
      </c>
      <c r="J1275" s="45">
        <v>83.7</v>
      </c>
    </row>
    <row r="1276" spans="1:10" ht="15.75" customHeight="1">
      <c r="A1276" s="36" t="s">
        <v>9</v>
      </c>
      <c r="B1276" s="37">
        <v>46138</v>
      </c>
      <c r="C1276" s="38" t="s">
        <v>50</v>
      </c>
      <c r="D1276" s="39" t="s">
        <v>49</v>
      </c>
      <c r="E1276" s="40" t="s">
        <v>31</v>
      </c>
      <c r="F1276" s="41">
        <v>3374</v>
      </c>
      <c r="G1276" s="42">
        <v>64</v>
      </c>
      <c r="H1276" s="43">
        <v>47</v>
      </c>
      <c r="I1276" s="44">
        <v>3391</v>
      </c>
      <c r="J1276" s="46">
        <v>73.400000000000006</v>
      </c>
    </row>
    <row r="1277" spans="1:10" ht="15.75" customHeight="1">
      <c r="A1277" s="36" t="s">
        <v>9</v>
      </c>
      <c r="B1277" s="37">
        <v>46138</v>
      </c>
      <c r="C1277" s="38" t="s">
        <v>50</v>
      </c>
      <c r="D1277" s="39" t="s">
        <v>49</v>
      </c>
      <c r="E1277" s="40" t="s">
        <v>33</v>
      </c>
      <c r="F1277" s="41">
        <v>1304</v>
      </c>
      <c r="G1277" s="42">
        <v>35</v>
      </c>
      <c r="H1277" s="43">
        <v>31</v>
      </c>
      <c r="I1277" s="44">
        <v>1308</v>
      </c>
      <c r="J1277" s="45">
        <v>88.6</v>
      </c>
    </row>
    <row r="1278" spans="1:10" ht="15.75" customHeight="1">
      <c r="A1278" s="36" t="s">
        <v>9</v>
      </c>
      <c r="B1278" s="37">
        <v>46138</v>
      </c>
      <c r="C1278" s="38" t="s">
        <v>50</v>
      </c>
      <c r="D1278" s="39" t="s">
        <v>49</v>
      </c>
      <c r="E1278" s="40" t="s">
        <v>36</v>
      </c>
      <c r="F1278" s="41">
        <v>4334</v>
      </c>
      <c r="G1278" s="42">
        <v>58</v>
      </c>
      <c r="H1278" s="43">
        <v>38</v>
      </c>
      <c r="I1278" s="44">
        <v>4354</v>
      </c>
      <c r="J1278" s="46">
        <v>65.5</v>
      </c>
    </row>
    <row r="1279" spans="1:10" ht="15.75" customHeight="1">
      <c r="A1279" s="14" t="s">
        <v>9</v>
      </c>
      <c r="B1279" s="15">
        <v>46139</v>
      </c>
      <c r="C1279" s="16" t="s">
        <v>51</v>
      </c>
      <c r="D1279" s="17" t="s">
        <v>46</v>
      </c>
      <c r="E1279" s="18" t="s">
        <v>26</v>
      </c>
      <c r="F1279" s="19">
        <v>3452</v>
      </c>
      <c r="G1279" s="20">
        <v>123</v>
      </c>
      <c r="H1279" s="21">
        <v>79</v>
      </c>
      <c r="I1279" s="22">
        <v>3496</v>
      </c>
      <c r="J1279" s="23">
        <v>64.2</v>
      </c>
    </row>
    <row r="1280" spans="1:10" ht="15.75" customHeight="1">
      <c r="A1280" s="24" t="s">
        <v>9</v>
      </c>
      <c r="B1280" s="25">
        <v>46139</v>
      </c>
      <c r="C1280" s="26" t="s">
        <v>51</v>
      </c>
      <c r="D1280" s="27" t="s">
        <v>46</v>
      </c>
      <c r="E1280" s="28" t="s">
        <v>27</v>
      </c>
      <c r="F1280" s="29">
        <v>2513</v>
      </c>
      <c r="G1280" s="30">
        <v>101</v>
      </c>
      <c r="H1280" s="31">
        <v>80</v>
      </c>
      <c r="I1280" s="32">
        <v>2534</v>
      </c>
      <c r="J1280" s="33">
        <v>79.2</v>
      </c>
    </row>
    <row r="1281" spans="1:10" ht="15.75" customHeight="1">
      <c r="A1281" s="14" t="s">
        <v>9</v>
      </c>
      <c r="B1281" s="15">
        <v>46139</v>
      </c>
      <c r="C1281" s="16" t="s">
        <v>51</v>
      </c>
      <c r="D1281" s="17" t="s">
        <v>46</v>
      </c>
      <c r="E1281" s="18" t="s">
        <v>30</v>
      </c>
      <c r="F1281" s="19">
        <v>3978</v>
      </c>
      <c r="G1281" s="20">
        <v>113</v>
      </c>
      <c r="H1281" s="21">
        <v>82</v>
      </c>
      <c r="I1281" s="22">
        <v>4009</v>
      </c>
      <c r="J1281" s="23">
        <v>72.599999999999994</v>
      </c>
    </row>
    <row r="1282" spans="1:10" ht="15.75" customHeight="1">
      <c r="A1282" s="24" t="s">
        <v>9</v>
      </c>
      <c r="B1282" s="25">
        <v>46139</v>
      </c>
      <c r="C1282" s="26" t="s">
        <v>51</v>
      </c>
      <c r="D1282" s="27" t="s">
        <v>46</v>
      </c>
      <c r="E1282" s="28" t="s">
        <v>32</v>
      </c>
      <c r="F1282" s="29">
        <v>1808</v>
      </c>
      <c r="G1282" s="30">
        <v>73</v>
      </c>
      <c r="H1282" s="31">
        <v>65</v>
      </c>
      <c r="I1282" s="32">
        <v>1816</v>
      </c>
      <c r="J1282" s="33">
        <v>89</v>
      </c>
    </row>
    <row r="1283" spans="1:10" ht="15.75" customHeight="1">
      <c r="A1283" s="14" t="s">
        <v>9</v>
      </c>
      <c r="B1283" s="15">
        <v>46139</v>
      </c>
      <c r="C1283" s="16" t="s">
        <v>51</v>
      </c>
      <c r="D1283" s="17" t="s">
        <v>46</v>
      </c>
      <c r="E1283" s="18" t="s">
        <v>34</v>
      </c>
      <c r="F1283" s="19">
        <v>4034</v>
      </c>
      <c r="G1283" s="20">
        <v>133</v>
      </c>
      <c r="H1283" s="21">
        <v>92</v>
      </c>
      <c r="I1283" s="22">
        <v>4075</v>
      </c>
      <c r="J1283" s="23">
        <v>69.2</v>
      </c>
    </row>
    <row r="1284" spans="1:10" ht="15.75" customHeight="1">
      <c r="A1284" s="24" t="s">
        <v>9</v>
      </c>
      <c r="B1284" s="25">
        <v>46139</v>
      </c>
      <c r="C1284" s="26" t="s">
        <v>51</v>
      </c>
      <c r="D1284" s="27" t="s">
        <v>46</v>
      </c>
      <c r="E1284" s="28" t="s">
        <v>25</v>
      </c>
      <c r="F1284" s="29">
        <v>2169</v>
      </c>
      <c r="G1284" s="30">
        <v>67</v>
      </c>
      <c r="H1284" s="31">
        <v>54</v>
      </c>
      <c r="I1284" s="32">
        <v>2182</v>
      </c>
      <c r="J1284" s="33">
        <v>80.599999999999994</v>
      </c>
    </row>
    <row r="1285" spans="1:10" ht="15.75" customHeight="1">
      <c r="A1285" s="14" t="s">
        <v>9</v>
      </c>
      <c r="B1285" s="15">
        <v>46139</v>
      </c>
      <c r="C1285" s="16" t="s">
        <v>51</v>
      </c>
      <c r="D1285" s="17" t="s">
        <v>46</v>
      </c>
      <c r="E1285" s="18" t="s">
        <v>35</v>
      </c>
      <c r="F1285" s="19">
        <v>2330</v>
      </c>
      <c r="G1285" s="20">
        <v>110</v>
      </c>
      <c r="H1285" s="21">
        <v>96</v>
      </c>
      <c r="I1285" s="22">
        <v>2344</v>
      </c>
      <c r="J1285" s="35">
        <v>87.3</v>
      </c>
    </row>
    <row r="1286" spans="1:10" ht="15.75" customHeight="1">
      <c r="A1286" s="24" t="s">
        <v>9</v>
      </c>
      <c r="B1286" s="25">
        <v>46139</v>
      </c>
      <c r="C1286" s="26" t="s">
        <v>51</v>
      </c>
      <c r="D1286" s="27" t="s">
        <v>46</v>
      </c>
      <c r="E1286" s="28" t="s">
        <v>29</v>
      </c>
      <c r="F1286" s="29">
        <v>2691</v>
      </c>
      <c r="G1286" s="30">
        <v>65</v>
      </c>
      <c r="H1286" s="31">
        <v>50</v>
      </c>
      <c r="I1286" s="32">
        <v>2706</v>
      </c>
      <c r="J1286" s="33">
        <v>76.900000000000006</v>
      </c>
    </row>
    <row r="1287" spans="1:10" ht="15.75" customHeight="1">
      <c r="A1287" s="14" t="s">
        <v>9</v>
      </c>
      <c r="B1287" s="15">
        <v>46139</v>
      </c>
      <c r="C1287" s="16" t="s">
        <v>51</v>
      </c>
      <c r="D1287" s="17" t="s">
        <v>46</v>
      </c>
      <c r="E1287" s="18" t="s">
        <v>31</v>
      </c>
      <c r="F1287" s="19">
        <v>3391</v>
      </c>
      <c r="G1287" s="20">
        <v>109</v>
      </c>
      <c r="H1287" s="21">
        <v>71</v>
      </c>
      <c r="I1287" s="22">
        <v>3429</v>
      </c>
      <c r="J1287" s="23">
        <v>65.099999999999994</v>
      </c>
    </row>
    <row r="1288" spans="1:10" ht="15.75" customHeight="1">
      <c r="A1288" s="24" t="s">
        <v>9</v>
      </c>
      <c r="B1288" s="25">
        <v>46139</v>
      </c>
      <c r="C1288" s="26" t="s">
        <v>51</v>
      </c>
      <c r="D1288" s="27" t="s">
        <v>46</v>
      </c>
      <c r="E1288" s="28" t="s">
        <v>33</v>
      </c>
      <c r="F1288" s="29">
        <v>1308</v>
      </c>
      <c r="G1288" s="30">
        <v>70</v>
      </c>
      <c r="H1288" s="31">
        <v>65</v>
      </c>
      <c r="I1288" s="32">
        <v>1313</v>
      </c>
      <c r="J1288" s="33">
        <v>92.9</v>
      </c>
    </row>
    <row r="1289" spans="1:10" ht="15.75" customHeight="1">
      <c r="A1289" s="14" t="s">
        <v>9</v>
      </c>
      <c r="B1289" s="15">
        <v>46139</v>
      </c>
      <c r="C1289" s="16" t="s">
        <v>51</v>
      </c>
      <c r="D1289" s="17" t="s">
        <v>46</v>
      </c>
      <c r="E1289" s="18" t="s">
        <v>36</v>
      </c>
      <c r="F1289" s="19">
        <v>4354</v>
      </c>
      <c r="G1289" s="20">
        <v>147</v>
      </c>
      <c r="H1289" s="21">
        <v>104</v>
      </c>
      <c r="I1289" s="22">
        <v>4397</v>
      </c>
      <c r="J1289" s="23">
        <v>70.7</v>
      </c>
    </row>
    <row r="1290" spans="1:10" ht="15.75" customHeight="1">
      <c r="A1290" s="24" t="s">
        <v>9</v>
      </c>
      <c r="B1290" s="25">
        <v>46140</v>
      </c>
      <c r="C1290" s="26" t="s">
        <v>52</v>
      </c>
      <c r="D1290" s="27" t="s">
        <v>46</v>
      </c>
      <c r="E1290" s="28" t="s">
        <v>26</v>
      </c>
      <c r="F1290" s="29">
        <v>3496</v>
      </c>
      <c r="G1290" s="30">
        <v>108</v>
      </c>
      <c r="H1290" s="31">
        <v>82</v>
      </c>
      <c r="I1290" s="32">
        <v>3522</v>
      </c>
      <c r="J1290" s="33">
        <v>75.900000000000006</v>
      </c>
    </row>
    <row r="1291" spans="1:10" ht="15.75" customHeight="1">
      <c r="A1291" s="14" t="s">
        <v>9</v>
      </c>
      <c r="B1291" s="15">
        <v>46140</v>
      </c>
      <c r="C1291" s="16" t="s">
        <v>52</v>
      </c>
      <c r="D1291" s="17" t="s">
        <v>46</v>
      </c>
      <c r="E1291" s="18" t="s">
        <v>27</v>
      </c>
      <c r="F1291" s="19">
        <v>2534</v>
      </c>
      <c r="G1291" s="20">
        <v>114</v>
      </c>
      <c r="H1291" s="21">
        <v>86</v>
      </c>
      <c r="I1291" s="22">
        <v>2562</v>
      </c>
      <c r="J1291" s="35">
        <v>75.400000000000006</v>
      </c>
    </row>
    <row r="1292" spans="1:10" ht="15.75" customHeight="1">
      <c r="A1292" s="24" t="s">
        <v>9</v>
      </c>
      <c r="B1292" s="25">
        <v>46140</v>
      </c>
      <c r="C1292" s="26" t="s">
        <v>52</v>
      </c>
      <c r="D1292" s="27" t="s">
        <v>46</v>
      </c>
      <c r="E1292" s="28" t="s">
        <v>30</v>
      </c>
      <c r="F1292" s="29">
        <v>4009</v>
      </c>
      <c r="G1292" s="30">
        <v>129</v>
      </c>
      <c r="H1292" s="31">
        <v>98</v>
      </c>
      <c r="I1292" s="32">
        <v>4040</v>
      </c>
      <c r="J1292" s="33">
        <v>76</v>
      </c>
    </row>
    <row r="1293" spans="1:10" ht="15.75" customHeight="1">
      <c r="A1293" s="14" t="s">
        <v>9</v>
      </c>
      <c r="B1293" s="15">
        <v>46140</v>
      </c>
      <c r="C1293" s="16" t="s">
        <v>52</v>
      </c>
      <c r="D1293" s="17" t="s">
        <v>46</v>
      </c>
      <c r="E1293" s="18" t="s">
        <v>32</v>
      </c>
      <c r="F1293" s="19">
        <v>1816</v>
      </c>
      <c r="G1293" s="20">
        <v>97</v>
      </c>
      <c r="H1293" s="21">
        <v>83</v>
      </c>
      <c r="I1293" s="22">
        <v>1830</v>
      </c>
      <c r="J1293" s="35">
        <v>85.6</v>
      </c>
    </row>
    <row r="1294" spans="1:10" ht="15.75" customHeight="1">
      <c r="A1294" s="24" t="s">
        <v>9</v>
      </c>
      <c r="B1294" s="25">
        <v>46140</v>
      </c>
      <c r="C1294" s="26" t="s">
        <v>52</v>
      </c>
      <c r="D1294" s="27" t="s">
        <v>46</v>
      </c>
      <c r="E1294" s="28" t="s">
        <v>34</v>
      </c>
      <c r="F1294" s="29">
        <v>4075</v>
      </c>
      <c r="G1294" s="30">
        <v>160</v>
      </c>
      <c r="H1294" s="31">
        <v>121</v>
      </c>
      <c r="I1294" s="32">
        <v>4114</v>
      </c>
      <c r="J1294" s="33">
        <v>75.599999999999994</v>
      </c>
    </row>
    <row r="1295" spans="1:10" ht="15.75" customHeight="1">
      <c r="A1295" s="14" t="s">
        <v>9</v>
      </c>
      <c r="B1295" s="15">
        <v>46140</v>
      </c>
      <c r="C1295" s="16" t="s">
        <v>52</v>
      </c>
      <c r="D1295" s="17" t="s">
        <v>46</v>
      </c>
      <c r="E1295" s="18" t="s">
        <v>25</v>
      </c>
      <c r="F1295" s="19">
        <v>2182</v>
      </c>
      <c r="G1295" s="20">
        <v>77</v>
      </c>
      <c r="H1295" s="21">
        <v>62</v>
      </c>
      <c r="I1295" s="22">
        <v>2197</v>
      </c>
      <c r="J1295" s="35">
        <v>80.5</v>
      </c>
    </row>
    <row r="1296" spans="1:10" ht="15.75" customHeight="1">
      <c r="A1296" s="24" t="s">
        <v>9</v>
      </c>
      <c r="B1296" s="25">
        <v>46140</v>
      </c>
      <c r="C1296" s="26" t="s">
        <v>52</v>
      </c>
      <c r="D1296" s="27" t="s">
        <v>46</v>
      </c>
      <c r="E1296" s="28" t="s">
        <v>35</v>
      </c>
      <c r="F1296" s="29">
        <v>2344</v>
      </c>
      <c r="G1296" s="30">
        <v>120</v>
      </c>
      <c r="H1296" s="31">
        <v>108</v>
      </c>
      <c r="I1296" s="32">
        <v>2356</v>
      </c>
      <c r="J1296" s="33">
        <v>90</v>
      </c>
    </row>
    <row r="1297" spans="1:10" ht="15.75" customHeight="1">
      <c r="A1297" s="14" t="s">
        <v>9</v>
      </c>
      <c r="B1297" s="15">
        <v>46140</v>
      </c>
      <c r="C1297" s="16" t="s">
        <v>52</v>
      </c>
      <c r="D1297" s="17" t="s">
        <v>46</v>
      </c>
      <c r="E1297" s="18" t="s">
        <v>29</v>
      </c>
      <c r="F1297" s="19">
        <v>2706</v>
      </c>
      <c r="G1297" s="20">
        <v>94</v>
      </c>
      <c r="H1297" s="21">
        <v>70</v>
      </c>
      <c r="I1297" s="22">
        <v>2730</v>
      </c>
      <c r="J1297" s="23">
        <v>74.5</v>
      </c>
    </row>
    <row r="1298" spans="1:10" ht="15.75" customHeight="1">
      <c r="A1298" s="24" t="s">
        <v>9</v>
      </c>
      <c r="B1298" s="25">
        <v>46140</v>
      </c>
      <c r="C1298" s="26" t="s">
        <v>52</v>
      </c>
      <c r="D1298" s="27" t="s">
        <v>46</v>
      </c>
      <c r="E1298" s="28" t="s">
        <v>31</v>
      </c>
      <c r="F1298" s="29">
        <v>3429</v>
      </c>
      <c r="G1298" s="30">
        <v>124</v>
      </c>
      <c r="H1298" s="31">
        <v>87</v>
      </c>
      <c r="I1298" s="32">
        <v>3466</v>
      </c>
      <c r="J1298" s="34">
        <v>70.2</v>
      </c>
    </row>
    <row r="1299" spans="1:10" ht="15.75" customHeight="1">
      <c r="A1299" s="14" t="s">
        <v>9</v>
      </c>
      <c r="B1299" s="15">
        <v>46140</v>
      </c>
      <c r="C1299" s="16" t="s">
        <v>52</v>
      </c>
      <c r="D1299" s="17" t="s">
        <v>46</v>
      </c>
      <c r="E1299" s="18" t="s">
        <v>33</v>
      </c>
      <c r="F1299" s="19">
        <v>1313</v>
      </c>
      <c r="G1299" s="20">
        <v>69</v>
      </c>
      <c r="H1299" s="21">
        <v>54</v>
      </c>
      <c r="I1299" s="22">
        <v>1328</v>
      </c>
      <c r="J1299" s="35">
        <v>78.3</v>
      </c>
    </row>
    <row r="1300" spans="1:10" ht="15.75" customHeight="1">
      <c r="A1300" s="24" t="s">
        <v>9</v>
      </c>
      <c r="B1300" s="25">
        <v>46140</v>
      </c>
      <c r="C1300" s="26" t="s">
        <v>52</v>
      </c>
      <c r="D1300" s="27" t="s">
        <v>46</v>
      </c>
      <c r="E1300" s="28" t="s">
        <v>36</v>
      </c>
      <c r="F1300" s="29">
        <v>4397</v>
      </c>
      <c r="G1300" s="30">
        <v>119</v>
      </c>
      <c r="H1300" s="31">
        <v>82</v>
      </c>
      <c r="I1300" s="32">
        <v>4434</v>
      </c>
      <c r="J1300" s="34">
        <v>68.900000000000006</v>
      </c>
    </row>
    <row r="1301" spans="1:10" ht="15.75" customHeight="1">
      <c r="A1301" s="14" t="s">
        <v>9</v>
      </c>
      <c r="B1301" s="15">
        <v>46141</v>
      </c>
      <c r="C1301" s="16" t="s">
        <v>53</v>
      </c>
      <c r="D1301" s="17" t="s">
        <v>46</v>
      </c>
      <c r="E1301" s="18" t="s">
        <v>26</v>
      </c>
      <c r="F1301" s="19">
        <v>3522</v>
      </c>
      <c r="G1301" s="20">
        <v>147</v>
      </c>
      <c r="H1301" s="21">
        <v>114</v>
      </c>
      <c r="I1301" s="22">
        <v>3555</v>
      </c>
      <c r="J1301" s="35">
        <v>77.599999999999994</v>
      </c>
    </row>
    <row r="1302" spans="1:10" ht="15.75" customHeight="1">
      <c r="A1302" s="24" t="s">
        <v>9</v>
      </c>
      <c r="B1302" s="25">
        <v>46141</v>
      </c>
      <c r="C1302" s="26" t="s">
        <v>53</v>
      </c>
      <c r="D1302" s="27" t="s">
        <v>46</v>
      </c>
      <c r="E1302" s="28" t="s">
        <v>27</v>
      </c>
      <c r="F1302" s="29">
        <v>2562</v>
      </c>
      <c r="G1302" s="30">
        <v>88</v>
      </c>
      <c r="H1302" s="31">
        <v>64</v>
      </c>
      <c r="I1302" s="32">
        <v>2586</v>
      </c>
      <c r="J1302" s="34">
        <v>72.7</v>
      </c>
    </row>
    <row r="1303" spans="1:10" ht="15.75" customHeight="1">
      <c r="A1303" s="14" t="s">
        <v>9</v>
      </c>
      <c r="B1303" s="15">
        <v>46141</v>
      </c>
      <c r="C1303" s="16" t="s">
        <v>53</v>
      </c>
      <c r="D1303" s="17" t="s">
        <v>46</v>
      </c>
      <c r="E1303" s="18" t="s">
        <v>30</v>
      </c>
      <c r="F1303" s="19">
        <v>4040</v>
      </c>
      <c r="G1303" s="20">
        <v>114</v>
      </c>
      <c r="H1303" s="21">
        <v>77</v>
      </c>
      <c r="I1303" s="22">
        <v>4077</v>
      </c>
      <c r="J1303" s="23">
        <v>67.5</v>
      </c>
    </row>
    <row r="1304" spans="1:10" ht="15.75" customHeight="1">
      <c r="A1304" s="24" t="s">
        <v>9</v>
      </c>
      <c r="B1304" s="25">
        <v>46141</v>
      </c>
      <c r="C1304" s="26" t="s">
        <v>53</v>
      </c>
      <c r="D1304" s="27" t="s">
        <v>46</v>
      </c>
      <c r="E1304" s="28" t="s">
        <v>32</v>
      </c>
      <c r="F1304" s="29">
        <v>1830</v>
      </c>
      <c r="G1304" s="30">
        <v>74</v>
      </c>
      <c r="H1304" s="31">
        <v>66</v>
      </c>
      <c r="I1304" s="32">
        <v>1838</v>
      </c>
      <c r="J1304" s="33">
        <v>89.2</v>
      </c>
    </row>
    <row r="1305" spans="1:10" ht="15.75" customHeight="1">
      <c r="A1305" s="14" t="s">
        <v>9</v>
      </c>
      <c r="B1305" s="15">
        <v>46141</v>
      </c>
      <c r="C1305" s="16" t="s">
        <v>53</v>
      </c>
      <c r="D1305" s="17" t="s">
        <v>46</v>
      </c>
      <c r="E1305" s="18" t="s">
        <v>34</v>
      </c>
      <c r="F1305" s="19">
        <v>4114</v>
      </c>
      <c r="G1305" s="20">
        <v>122</v>
      </c>
      <c r="H1305" s="21">
        <v>84</v>
      </c>
      <c r="I1305" s="22">
        <v>4152</v>
      </c>
      <c r="J1305" s="23">
        <v>68.900000000000006</v>
      </c>
    </row>
    <row r="1306" spans="1:10" ht="15.75" customHeight="1">
      <c r="A1306" s="24" t="s">
        <v>9</v>
      </c>
      <c r="B1306" s="25">
        <v>46141</v>
      </c>
      <c r="C1306" s="26" t="s">
        <v>53</v>
      </c>
      <c r="D1306" s="27" t="s">
        <v>46</v>
      </c>
      <c r="E1306" s="28" t="s">
        <v>25</v>
      </c>
      <c r="F1306" s="29">
        <v>2197</v>
      </c>
      <c r="G1306" s="30">
        <v>50</v>
      </c>
      <c r="H1306" s="31">
        <v>42</v>
      </c>
      <c r="I1306" s="32">
        <v>2205</v>
      </c>
      <c r="J1306" s="33">
        <v>84</v>
      </c>
    </row>
    <row r="1307" spans="1:10" ht="15.75" customHeight="1">
      <c r="A1307" s="14" t="s">
        <v>9</v>
      </c>
      <c r="B1307" s="15">
        <v>46141</v>
      </c>
      <c r="C1307" s="16" t="s">
        <v>53</v>
      </c>
      <c r="D1307" s="17" t="s">
        <v>46</v>
      </c>
      <c r="E1307" s="18" t="s">
        <v>35</v>
      </c>
      <c r="F1307" s="19">
        <v>2356</v>
      </c>
      <c r="G1307" s="20">
        <v>91</v>
      </c>
      <c r="H1307" s="21">
        <v>73</v>
      </c>
      <c r="I1307" s="22">
        <v>2374</v>
      </c>
      <c r="J1307" s="35">
        <v>80.2</v>
      </c>
    </row>
    <row r="1308" spans="1:10" ht="15.75" customHeight="1">
      <c r="A1308" s="24" t="s">
        <v>9</v>
      </c>
      <c r="B1308" s="25">
        <v>46141</v>
      </c>
      <c r="C1308" s="26" t="s">
        <v>53</v>
      </c>
      <c r="D1308" s="27" t="s">
        <v>46</v>
      </c>
      <c r="E1308" s="28" t="s">
        <v>29</v>
      </c>
      <c r="F1308" s="29">
        <v>2730</v>
      </c>
      <c r="G1308" s="30">
        <v>67</v>
      </c>
      <c r="H1308" s="31">
        <v>44</v>
      </c>
      <c r="I1308" s="32">
        <v>2753</v>
      </c>
      <c r="J1308" s="34">
        <v>65.7</v>
      </c>
    </row>
    <row r="1309" spans="1:10" ht="15.75" customHeight="1">
      <c r="A1309" s="14" t="s">
        <v>9</v>
      </c>
      <c r="B1309" s="15">
        <v>46141</v>
      </c>
      <c r="C1309" s="16" t="s">
        <v>53</v>
      </c>
      <c r="D1309" s="17" t="s">
        <v>46</v>
      </c>
      <c r="E1309" s="18" t="s">
        <v>31</v>
      </c>
      <c r="F1309" s="19">
        <v>3466</v>
      </c>
      <c r="G1309" s="20">
        <v>155</v>
      </c>
      <c r="H1309" s="21">
        <v>117</v>
      </c>
      <c r="I1309" s="22">
        <v>3504</v>
      </c>
      <c r="J1309" s="35">
        <v>75.5</v>
      </c>
    </row>
    <row r="1310" spans="1:10" ht="15.75" customHeight="1">
      <c r="A1310" s="24" t="s">
        <v>9</v>
      </c>
      <c r="B1310" s="25">
        <v>46141</v>
      </c>
      <c r="C1310" s="26" t="s">
        <v>53</v>
      </c>
      <c r="D1310" s="27" t="s">
        <v>46</v>
      </c>
      <c r="E1310" s="28" t="s">
        <v>33</v>
      </c>
      <c r="F1310" s="29">
        <v>1328</v>
      </c>
      <c r="G1310" s="30">
        <v>99</v>
      </c>
      <c r="H1310" s="31">
        <v>81</v>
      </c>
      <c r="I1310" s="32">
        <v>1346</v>
      </c>
      <c r="J1310" s="33">
        <v>81.8</v>
      </c>
    </row>
    <row r="1311" spans="1:10" ht="15.75" customHeight="1">
      <c r="A1311" s="14" t="s">
        <v>9</v>
      </c>
      <c r="B1311" s="15">
        <v>46141</v>
      </c>
      <c r="C1311" s="16" t="s">
        <v>53</v>
      </c>
      <c r="D1311" s="17" t="s">
        <v>46</v>
      </c>
      <c r="E1311" s="18" t="s">
        <v>36</v>
      </c>
      <c r="F1311" s="19">
        <v>4434</v>
      </c>
      <c r="G1311" s="20">
        <v>157</v>
      </c>
      <c r="H1311" s="21">
        <v>101</v>
      </c>
      <c r="I1311" s="22">
        <v>4490</v>
      </c>
      <c r="J1311" s="23">
        <v>64.3</v>
      </c>
    </row>
    <row r="1312" spans="1:10" ht="15.75" customHeight="1">
      <c r="A1312" s="24" t="s">
        <v>9</v>
      </c>
      <c r="B1312" s="25">
        <v>46142</v>
      </c>
      <c r="C1312" s="26" t="s">
        <v>45</v>
      </c>
      <c r="D1312" s="27" t="s">
        <v>46</v>
      </c>
      <c r="E1312" s="28" t="s">
        <v>26</v>
      </c>
      <c r="F1312" s="29">
        <v>3555</v>
      </c>
      <c r="G1312" s="30">
        <v>112</v>
      </c>
      <c r="H1312" s="31">
        <v>87</v>
      </c>
      <c r="I1312" s="32">
        <v>3580</v>
      </c>
      <c r="J1312" s="33">
        <v>77.7</v>
      </c>
    </row>
    <row r="1313" spans="1:10" ht="15.75" customHeight="1">
      <c r="A1313" s="14" t="s">
        <v>9</v>
      </c>
      <c r="B1313" s="15">
        <v>46142</v>
      </c>
      <c r="C1313" s="16" t="s">
        <v>45</v>
      </c>
      <c r="D1313" s="17" t="s">
        <v>46</v>
      </c>
      <c r="E1313" s="18" t="s">
        <v>27</v>
      </c>
      <c r="F1313" s="19">
        <v>2586</v>
      </c>
      <c r="G1313" s="20">
        <v>77</v>
      </c>
      <c r="H1313" s="21">
        <v>55</v>
      </c>
      <c r="I1313" s="22">
        <v>2608</v>
      </c>
      <c r="J1313" s="23">
        <v>71.400000000000006</v>
      </c>
    </row>
    <row r="1314" spans="1:10" ht="15.75" customHeight="1">
      <c r="A1314" s="24" t="s">
        <v>9</v>
      </c>
      <c r="B1314" s="25">
        <v>46142</v>
      </c>
      <c r="C1314" s="26" t="s">
        <v>45</v>
      </c>
      <c r="D1314" s="27" t="s">
        <v>46</v>
      </c>
      <c r="E1314" s="28" t="s">
        <v>30</v>
      </c>
      <c r="F1314" s="29">
        <v>4077</v>
      </c>
      <c r="G1314" s="30">
        <v>141</v>
      </c>
      <c r="H1314" s="31">
        <v>99</v>
      </c>
      <c r="I1314" s="32">
        <v>4119</v>
      </c>
      <c r="J1314" s="34">
        <v>70.2</v>
      </c>
    </row>
    <row r="1315" spans="1:10" ht="15.75" customHeight="1">
      <c r="A1315" s="14" t="s">
        <v>9</v>
      </c>
      <c r="B1315" s="15">
        <v>46142</v>
      </c>
      <c r="C1315" s="16" t="s">
        <v>45</v>
      </c>
      <c r="D1315" s="17" t="s">
        <v>46</v>
      </c>
      <c r="E1315" s="18" t="s">
        <v>32</v>
      </c>
      <c r="F1315" s="19">
        <v>1838</v>
      </c>
      <c r="G1315" s="20">
        <v>64</v>
      </c>
      <c r="H1315" s="21">
        <v>57</v>
      </c>
      <c r="I1315" s="22">
        <v>1845</v>
      </c>
      <c r="J1315" s="35">
        <v>89.1</v>
      </c>
    </row>
    <row r="1316" spans="1:10" ht="15.75" customHeight="1">
      <c r="A1316" s="24" t="s">
        <v>9</v>
      </c>
      <c r="B1316" s="25">
        <v>46142</v>
      </c>
      <c r="C1316" s="26" t="s">
        <v>45</v>
      </c>
      <c r="D1316" s="27" t="s">
        <v>46</v>
      </c>
      <c r="E1316" s="28" t="s">
        <v>34</v>
      </c>
      <c r="F1316" s="29">
        <v>4152</v>
      </c>
      <c r="G1316" s="30">
        <v>180</v>
      </c>
      <c r="H1316" s="31">
        <v>114</v>
      </c>
      <c r="I1316" s="32">
        <v>4218</v>
      </c>
      <c r="J1316" s="34">
        <v>63.3</v>
      </c>
    </row>
    <row r="1317" spans="1:10" ht="15.75" customHeight="1">
      <c r="A1317" s="14" t="s">
        <v>9</v>
      </c>
      <c r="B1317" s="15">
        <v>46142</v>
      </c>
      <c r="C1317" s="16" t="s">
        <v>45</v>
      </c>
      <c r="D1317" s="17" t="s">
        <v>46</v>
      </c>
      <c r="E1317" s="18" t="s">
        <v>25</v>
      </c>
      <c r="F1317" s="19">
        <v>2205</v>
      </c>
      <c r="G1317" s="20">
        <v>59</v>
      </c>
      <c r="H1317" s="21">
        <v>42</v>
      </c>
      <c r="I1317" s="22">
        <v>2222</v>
      </c>
      <c r="J1317" s="23">
        <v>71.2</v>
      </c>
    </row>
    <row r="1318" spans="1:10" ht="15.75" customHeight="1">
      <c r="A1318" s="24" t="s">
        <v>9</v>
      </c>
      <c r="B1318" s="25">
        <v>46142</v>
      </c>
      <c r="C1318" s="26" t="s">
        <v>45</v>
      </c>
      <c r="D1318" s="27" t="s">
        <v>46</v>
      </c>
      <c r="E1318" s="28" t="s">
        <v>35</v>
      </c>
      <c r="F1318" s="29">
        <v>2374</v>
      </c>
      <c r="G1318" s="30">
        <v>113</v>
      </c>
      <c r="H1318" s="31">
        <v>83</v>
      </c>
      <c r="I1318" s="32">
        <v>2404</v>
      </c>
      <c r="J1318" s="34">
        <v>73.5</v>
      </c>
    </row>
    <row r="1319" spans="1:10" ht="15.75" customHeight="1">
      <c r="A1319" s="14" t="s">
        <v>9</v>
      </c>
      <c r="B1319" s="15">
        <v>46142</v>
      </c>
      <c r="C1319" s="16" t="s">
        <v>45</v>
      </c>
      <c r="D1319" s="17" t="s">
        <v>46</v>
      </c>
      <c r="E1319" s="18" t="s">
        <v>29</v>
      </c>
      <c r="F1319" s="19">
        <v>2753</v>
      </c>
      <c r="G1319" s="20">
        <v>80</v>
      </c>
      <c r="H1319" s="21">
        <v>55</v>
      </c>
      <c r="I1319" s="22">
        <v>2778</v>
      </c>
      <c r="J1319" s="23">
        <v>68.8</v>
      </c>
    </row>
    <row r="1320" spans="1:10" ht="15.75" customHeight="1">
      <c r="A1320" s="24" t="s">
        <v>9</v>
      </c>
      <c r="B1320" s="25">
        <v>46142</v>
      </c>
      <c r="C1320" s="26" t="s">
        <v>45</v>
      </c>
      <c r="D1320" s="27" t="s">
        <v>46</v>
      </c>
      <c r="E1320" s="28" t="s">
        <v>31</v>
      </c>
      <c r="F1320" s="29">
        <v>3504</v>
      </c>
      <c r="G1320" s="30">
        <v>138</v>
      </c>
      <c r="H1320" s="31">
        <v>107</v>
      </c>
      <c r="I1320" s="32">
        <v>3535</v>
      </c>
      <c r="J1320" s="33">
        <v>77.5</v>
      </c>
    </row>
    <row r="1321" spans="1:10" ht="15.75" customHeight="1">
      <c r="A1321" s="14" t="s">
        <v>9</v>
      </c>
      <c r="B1321" s="15">
        <v>46142</v>
      </c>
      <c r="C1321" s="16" t="s">
        <v>45</v>
      </c>
      <c r="D1321" s="17" t="s">
        <v>46</v>
      </c>
      <c r="E1321" s="18" t="s">
        <v>33</v>
      </c>
      <c r="F1321" s="19">
        <v>1346</v>
      </c>
      <c r="G1321" s="20">
        <v>93</v>
      </c>
      <c r="H1321" s="21">
        <v>91</v>
      </c>
      <c r="I1321" s="22">
        <v>1348</v>
      </c>
      <c r="J1321" s="35">
        <v>97.8</v>
      </c>
    </row>
    <row r="1322" spans="1:10" ht="15.75" customHeight="1">
      <c r="A1322" s="24" t="s">
        <v>9</v>
      </c>
      <c r="B1322" s="25">
        <v>46142</v>
      </c>
      <c r="C1322" s="26" t="s">
        <v>45</v>
      </c>
      <c r="D1322" s="27" t="s">
        <v>46</v>
      </c>
      <c r="E1322" s="28" t="s">
        <v>36</v>
      </c>
      <c r="F1322" s="29">
        <v>4490</v>
      </c>
      <c r="G1322" s="30">
        <v>123</v>
      </c>
      <c r="H1322" s="31">
        <v>99</v>
      </c>
      <c r="I1322" s="32">
        <v>4514</v>
      </c>
      <c r="J1322" s="33">
        <v>80.5</v>
      </c>
    </row>
    <row r="1323" spans="1:10" ht="15.75" customHeight="1">
      <c r="A1323" s="14" t="s">
        <v>10</v>
      </c>
      <c r="B1323" s="15">
        <v>46143</v>
      </c>
      <c r="C1323" s="16" t="s">
        <v>47</v>
      </c>
      <c r="D1323" s="17" t="s">
        <v>46</v>
      </c>
      <c r="E1323" s="18" t="s">
        <v>26</v>
      </c>
      <c r="F1323" s="19">
        <v>3580</v>
      </c>
      <c r="G1323" s="20">
        <v>87</v>
      </c>
      <c r="H1323" s="21">
        <v>59</v>
      </c>
      <c r="I1323" s="22">
        <v>3608</v>
      </c>
      <c r="J1323" s="23">
        <v>67.8</v>
      </c>
    </row>
    <row r="1324" spans="1:10" ht="15.75" customHeight="1">
      <c r="A1324" s="24" t="s">
        <v>10</v>
      </c>
      <c r="B1324" s="25">
        <v>46143</v>
      </c>
      <c r="C1324" s="26" t="s">
        <v>47</v>
      </c>
      <c r="D1324" s="27" t="s">
        <v>46</v>
      </c>
      <c r="E1324" s="28" t="s">
        <v>27</v>
      </c>
      <c r="F1324" s="29">
        <v>2608</v>
      </c>
      <c r="G1324" s="30">
        <v>130</v>
      </c>
      <c r="H1324" s="31">
        <v>115</v>
      </c>
      <c r="I1324" s="32">
        <v>2623</v>
      </c>
      <c r="J1324" s="33">
        <v>88.5</v>
      </c>
    </row>
    <row r="1325" spans="1:10" ht="15.75" customHeight="1">
      <c r="A1325" s="14" t="s">
        <v>10</v>
      </c>
      <c r="B1325" s="15">
        <v>46143</v>
      </c>
      <c r="C1325" s="16" t="s">
        <v>47</v>
      </c>
      <c r="D1325" s="17" t="s">
        <v>46</v>
      </c>
      <c r="E1325" s="18" t="s">
        <v>30</v>
      </c>
      <c r="F1325" s="19">
        <v>4119</v>
      </c>
      <c r="G1325" s="20">
        <v>116</v>
      </c>
      <c r="H1325" s="21">
        <v>89</v>
      </c>
      <c r="I1325" s="22">
        <v>4146</v>
      </c>
      <c r="J1325" s="35">
        <v>76.7</v>
      </c>
    </row>
    <row r="1326" spans="1:10" ht="15.75" customHeight="1">
      <c r="A1326" s="24" t="s">
        <v>10</v>
      </c>
      <c r="B1326" s="25">
        <v>46143</v>
      </c>
      <c r="C1326" s="26" t="s">
        <v>47</v>
      </c>
      <c r="D1326" s="27" t="s">
        <v>46</v>
      </c>
      <c r="E1326" s="28" t="s">
        <v>32</v>
      </c>
      <c r="F1326" s="29">
        <v>1845</v>
      </c>
      <c r="G1326" s="30">
        <v>73</v>
      </c>
      <c r="H1326" s="31">
        <v>62</v>
      </c>
      <c r="I1326" s="32">
        <v>1856</v>
      </c>
      <c r="J1326" s="33">
        <v>84.9</v>
      </c>
    </row>
    <row r="1327" spans="1:10" ht="15.75" customHeight="1">
      <c r="A1327" s="14" t="s">
        <v>10</v>
      </c>
      <c r="B1327" s="15">
        <v>46143</v>
      </c>
      <c r="C1327" s="16" t="s">
        <v>47</v>
      </c>
      <c r="D1327" s="17" t="s">
        <v>46</v>
      </c>
      <c r="E1327" s="18" t="s">
        <v>34</v>
      </c>
      <c r="F1327" s="19">
        <v>4218</v>
      </c>
      <c r="G1327" s="20">
        <v>110</v>
      </c>
      <c r="H1327" s="21">
        <v>73</v>
      </c>
      <c r="I1327" s="22">
        <v>4255</v>
      </c>
      <c r="J1327" s="23">
        <v>66.400000000000006</v>
      </c>
    </row>
    <row r="1328" spans="1:10" ht="15.75" customHeight="1">
      <c r="A1328" s="24" t="s">
        <v>10</v>
      </c>
      <c r="B1328" s="25">
        <v>46143</v>
      </c>
      <c r="C1328" s="26" t="s">
        <v>47</v>
      </c>
      <c r="D1328" s="27" t="s">
        <v>46</v>
      </c>
      <c r="E1328" s="28" t="s">
        <v>25</v>
      </c>
      <c r="F1328" s="29">
        <v>2222</v>
      </c>
      <c r="G1328" s="30">
        <v>65</v>
      </c>
      <c r="H1328" s="31">
        <v>46</v>
      </c>
      <c r="I1328" s="32">
        <v>2241</v>
      </c>
      <c r="J1328" s="34">
        <v>70.8</v>
      </c>
    </row>
    <row r="1329" spans="1:10" ht="15.75" customHeight="1">
      <c r="A1329" s="14" t="s">
        <v>10</v>
      </c>
      <c r="B1329" s="15">
        <v>46143</v>
      </c>
      <c r="C1329" s="16" t="s">
        <v>47</v>
      </c>
      <c r="D1329" s="17" t="s">
        <v>46</v>
      </c>
      <c r="E1329" s="18" t="s">
        <v>35</v>
      </c>
      <c r="F1329" s="19">
        <v>2404</v>
      </c>
      <c r="G1329" s="20">
        <v>84</v>
      </c>
      <c r="H1329" s="21">
        <v>65</v>
      </c>
      <c r="I1329" s="22">
        <v>2423</v>
      </c>
      <c r="J1329" s="35">
        <v>77.400000000000006</v>
      </c>
    </row>
    <row r="1330" spans="1:10" ht="15.75" customHeight="1">
      <c r="A1330" s="24" t="s">
        <v>10</v>
      </c>
      <c r="B1330" s="25">
        <v>46143</v>
      </c>
      <c r="C1330" s="26" t="s">
        <v>47</v>
      </c>
      <c r="D1330" s="27" t="s">
        <v>46</v>
      </c>
      <c r="E1330" s="28" t="s">
        <v>29</v>
      </c>
      <c r="F1330" s="29">
        <v>2778</v>
      </c>
      <c r="G1330" s="30">
        <v>65</v>
      </c>
      <c r="H1330" s="31">
        <v>48</v>
      </c>
      <c r="I1330" s="32">
        <v>2795</v>
      </c>
      <c r="J1330" s="34">
        <v>73.8</v>
      </c>
    </row>
    <row r="1331" spans="1:10" ht="15.75" customHeight="1">
      <c r="A1331" s="14" t="s">
        <v>10</v>
      </c>
      <c r="B1331" s="15">
        <v>46143</v>
      </c>
      <c r="C1331" s="16" t="s">
        <v>47</v>
      </c>
      <c r="D1331" s="17" t="s">
        <v>46</v>
      </c>
      <c r="E1331" s="18" t="s">
        <v>31</v>
      </c>
      <c r="F1331" s="19">
        <v>3535</v>
      </c>
      <c r="G1331" s="20">
        <v>142</v>
      </c>
      <c r="H1331" s="21">
        <v>112</v>
      </c>
      <c r="I1331" s="22">
        <v>3565</v>
      </c>
      <c r="J1331" s="35">
        <v>78.900000000000006</v>
      </c>
    </row>
    <row r="1332" spans="1:10" ht="15.75" customHeight="1">
      <c r="A1332" s="24" t="s">
        <v>10</v>
      </c>
      <c r="B1332" s="25">
        <v>46143</v>
      </c>
      <c r="C1332" s="26" t="s">
        <v>47</v>
      </c>
      <c r="D1332" s="27" t="s">
        <v>46</v>
      </c>
      <c r="E1332" s="28" t="s">
        <v>33</v>
      </c>
      <c r="F1332" s="29">
        <v>1348</v>
      </c>
      <c r="G1332" s="30">
        <v>93</v>
      </c>
      <c r="H1332" s="31">
        <v>87</v>
      </c>
      <c r="I1332" s="32">
        <v>1354</v>
      </c>
      <c r="J1332" s="33">
        <v>93.5</v>
      </c>
    </row>
    <row r="1333" spans="1:10" ht="15.75" customHeight="1">
      <c r="A1333" s="14" t="s">
        <v>10</v>
      </c>
      <c r="B1333" s="15">
        <v>46143</v>
      </c>
      <c r="C1333" s="16" t="s">
        <v>47</v>
      </c>
      <c r="D1333" s="17" t="s">
        <v>46</v>
      </c>
      <c r="E1333" s="18" t="s">
        <v>36</v>
      </c>
      <c r="F1333" s="19">
        <v>4514</v>
      </c>
      <c r="G1333" s="20">
        <v>132</v>
      </c>
      <c r="H1333" s="21">
        <v>81</v>
      </c>
      <c r="I1333" s="22">
        <v>4565</v>
      </c>
      <c r="J1333" s="23">
        <v>61.4</v>
      </c>
    </row>
    <row r="1334" spans="1:10" ht="15.75" customHeight="1">
      <c r="A1334" s="36" t="s">
        <v>10</v>
      </c>
      <c r="B1334" s="37">
        <v>46144</v>
      </c>
      <c r="C1334" s="38" t="s">
        <v>48</v>
      </c>
      <c r="D1334" s="39" t="s">
        <v>49</v>
      </c>
      <c r="E1334" s="40" t="s">
        <v>26</v>
      </c>
      <c r="F1334" s="41">
        <v>3608</v>
      </c>
      <c r="G1334" s="42">
        <v>48</v>
      </c>
      <c r="H1334" s="43">
        <v>40</v>
      </c>
      <c r="I1334" s="44">
        <v>3616</v>
      </c>
      <c r="J1334" s="45">
        <v>83.3</v>
      </c>
    </row>
    <row r="1335" spans="1:10" ht="15.75" customHeight="1">
      <c r="A1335" s="36" t="s">
        <v>10</v>
      </c>
      <c r="B1335" s="37">
        <v>46144</v>
      </c>
      <c r="C1335" s="38" t="s">
        <v>48</v>
      </c>
      <c r="D1335" s="39" t="s">
        <v>49</v>
      </c>
      <c r="E1335" s="40" t="s">
        <v>27</v>
      </c>
      <c r="F1335" s="41">
        <v>2623</v>
      </c>
      <c r="G1335" s="42">
        <v>40</v>
      </c>
      <c r="H1335" s="43">
        <v>34</v>
      </c>
      <c r="I1335" s="44">
        <v>2629</v>
      </c>
      <c r="J1335" s="45">
        <v>85</v>
      </c>
    </row>
    <row r="1336" spans="1:10" ht="15.75" customHeight="1">
      <c r="A1336" s="36" t="s">
        <v>10</v>
      </c>
      <c r="B1336" s="37">
        <v>46144</v>
      </c>
      <c r="C1336" s="38" t="s">
        <v>48</v>
      </c>
      <c r="D1336" s="39" t="s">
        <v>49</v>
      </c>
      <c r="E1336" s="40" t="s">
        <v>30</v>
      </c>
      <c r="F1336" s="41">
        <v>4146</v>
      </c>
      <c r="G1336" s="42">
        <v>43</v>
      </c>
      <c r="H1336" s="43">
        <v>33</v>
      </c>
      <c r="I1336" s="44">
        <v>4156</v>
      </c>
      <c r="J1336" s="45">
        <v>76.7</v>
      </c>
    </row>
    <row r="1337" spans="1:10" ht="15.75" customHeight="1">
      <c r="A1337" s="36" t="s">
        <v>10</v>
      </c>
      <c r="B1337" s="37">
        <v>46144</v>
      </c>
      <c r="C1337" s="38" t="s">
        <v>48</v>
      </c>
      <c r="D1337" s="39" t="s">
        <v>49</v>
      </c>
      <c r="E1337" s="40" t="s">
        <v>32</v>
      </c>
      <c r="F1337" s="41">
        <v>1856</v>
      </c>
      <c r="G1337" s="42">
        <v>38</v>
      </c>
      <c r="H1337" s="43">
        <v>30</v>
      </c>
      <c r="I1337" s="44">
        <v>1864</v>
      </c>
      <c r="J1337" s="45">
        <v>78.900000000000006</v>
      </c>
    </row>
    <row r="1338" spans="1:10" ht="15.75" customHeight="1">
      <c r="A1338" s="36" t="s">
        <v>10</v>
      </c>
      <c r="B1338" s="37">
        <v>46144</v>
      </c>
      <c r="C1338" s="38" t="s">
        <v>48</v>
      </c>
      <c r="D1338" s="39" t="s">
        <v>49</v>
      </c>
      <c r="E1338" s="40" t="s">
        <v>34</v>
      </c>
      <c r="F1338" s="41">
        <v>4255</v>
      </c>
      <c r="G1338" s="42">
        <v>57</v>
      </c>
      <c r="H1338" s="43">
        <v>37</v>
      </c>
      <c r="I1338" s="44">
        <v>4275</v>
      </c>
      <c r="J1338" s="46">
        <v>64.900000000000006</v>
      </c>
    </row>
    <row r="1339" spans="1:10" ht="15.75" customHeight="1">
      <c r="A1339" s="36" t="s">
        <v>10</v>
      </c>
      <c r="B1339" s="37">
        <v>46144</v>
      </c>
      <c r="C1339" s="38" t="s">
        <v>48</v>
      </c>
      <c r="D1339" s="39" t="s">
        <v>49</v>
      </c>
      <c r="E1339" s="40" t="s">
        <v>25</v>
      </c>
      <c r="F1339" s="41">
        <v>2241</v>
      </c>
      <c r="G1339" s="42">
        <v>24</v>
      </c>
      <c r="H1339" s="43">
        <v>16</v>
      </c>
      <c r="I1339" s="44">
        <v>2249</v>
      </c>
      <c r="J1339" s="46">
        <v>66.7</v>
      </c>
    </row>
    <row r="1340" spans="1:10" ht="15.75" customHeight="1">
      <c r="A1340" s="36" t="s">
        <v>10</v>
      </c>
      <c r="B1340" s="37">
        <v>46144</v>
      </c>
      <c r="C1340" s="38" t="s">
        <v>48</v>
      </c>
      <c r="D1340" s="39" t="s">
        <v>49</v>
      </c>
      <c r="E1340" s="40" t="s">
        <v>35</v>
      </c>
      <c r="F1340" s="41">
        <v>2423</v>
      </c>
      <c r="G1340" s="42">
        <v>40</v>
      </c>
      <c r="H1340" s="43">
        <v>32</v>
      </c>
      <c r="I1340" s="44">
        <v>2431</v>
      </c>
      <c r="J1340" s="45">
        <v>80</v>
      </c>
    </row>
    <row r="1341" spans="1:10" ht="15.75" customHeight="1">
      <c r="A1341" s="36" t="s">
        <v>10</v>
      </c>
      <c r="B1341" s="37">
        <v>46144</v>
      </c>
      <c r="C1341" s="38" t="s">
        <v>48</v>
      </c>
      <c r="D1341" s="39" t="s">
        <v>49</v>
      </c>
      <c r="E1341" s="40" t="s">
        <v>29</v>
      </c>
      <c r="F1341" s="41">
        <v>2795</v>
      </c>
      <c r="G1341" s="42">
        <v>62</v>
      </c>
      <c r="H1341" s="43">
        <v>44</v>
      </c>
      <c r="I1341" s="44">
        <v>2813</v>
      </c>
      <c r="J1341" s="46">
        <v>71</v>
      </c>
    </row>
    <row r="1342" spans="1:10" ht="15.75" customHeight="1">
      <c r="A1342" s="36" t="s">
        <v>10</v>
      </c>
      <c r="B1342" s="37">
        <v>46144</v>
      </c>
      <c r="C1342" s="38" t="s">
        <v>48</v>
      </c>
      <c r="D1342" s="39" t="s">
        <v>49</v>
      </c>
      <c r="E1342" s="40" t="s">
        <v>31</v>
      </c>
      <c r="F1342" s="41">
        <v>3565</v>
      </c>
      <c r="G1342" s="42">
        <v>62</v>
      </c>
      <c r="H1342" s="43">
        <v>40</v>
      </c>
      <c r="I1342" s="44">
        <v>3587</v>
      </c>
      <c r="J1342" s="46">
        <v>64.5</v>
      </c>
    </row>
    <row r="1343" spans="1:10" ht="15.75" customHeight="1">
      <c r="A1343" s="36" t="s">
        <v>10</v>
      </c>
      <c r="B1343" s="37">
        <v>46144</v>
      </c>
      <c r="C1343" s="38" t="s">
        <v>48</v>
      </c>
      <c r="D1343" s="39" t="s">
        <v>49</v>
      </c>
      <c r="E1343" s="40" t="s">
        <v>33</v>
      </c>
      <c r="F1343" s="41">
        <v>1354</v>
      </c>
      <c r="G1343" s="42">
        <v>36</v>
      </c>
      <c r="H1343" s="43">
        <v>32</v>
      </c>
      <c r="I1343" s="44">
        <v>1358</v>
      </c>
      <c r="J1343" s="45">
        <v>88.9</v>
      </c>
    </row>
    <row r="1344" spans="1:10" ht="15.75" customHeight="1">
      <c r="A1344" s="36" t="s">
        <v>10</v>
      </c>
      <c r="B1344" s="37">
        <v>46144</v>
      </c>
      <c r="C1344" s="38" t="s">
        <v>48</v>
      </c>
      <c r="D1344" s="39" t="s">
        <v>49</v>
      </c>
      <c r="E1344" s="40" t="s">
        <v>36</v>
      </c>
      <c r="F1344" s="41">
        <v>4565</v>
      </c>
      <c r="G1344" s="42">
        <v>82</v>
      </c>
      <c r="H1344" s="43">
        <v>62</v>
      </c>
      <c r="I1344" s="44">
        <v>4585</v>
      </c>
      <c r="J1344" s="45">
        <v>75.599999999999994</v>
      </c>
    </row>
    <row r="1345" spans="1:10" ht="15.75" customHeight="1">
      <c r="A1345" s="36" t="s">
        <v>10</v>
      </c>
      <c r="B1345" s="37">
        <v>46145</v>
      </c>
      <c r="C1345" s="38" t="s">
        <v>50</v>
      </c>
      <c r="D1345" s="39" t="s">
        <v>49</v>
      </c>
      <c r="E1345" s="40" t="s">
        <v>26</v>
      </c>
      <c r="F1345" s="41">
        <v>3616</v>
      </c>
      <c r="G1345" s="42">
        <v>59</v>
      </c>
      <c r="H1345" s="43">
        <v>49</v>
      </c>
      <c r="I1345" s="44">
        <v>3626</v>
      </c>
      <c r="J1345" s="45">
        <v>83.1</v>
      </c>
    </row>
    <row r="1346" spans="1:10" ht="15.75" customHeight="1">
      <c r="A1346" s="36" t="s">
        <v>10</v>
      </c>
      <c r="B1346" s="37">
        <v>46145</v>
      </c>
      <c r="C1346" s="38" t="s">
        <v>50</v>
      </c>
      <c r="D1346" s="39" t="s">
        <v>49</v>
      </c>
      <c r="E1346" s="40" t="s">
        <v>27</v>
      </c>
      <c r="F1346" s="41">
        <v>2629</v>
      </c>
      <c r="G1346" s="42">
        <v>48</v>
      </c>
      <c r="H1346" s="43">
        <v>42</v>
      </c>
      <c r="I1346" s="44">
        <v>2635</v>
      </c>
      <c r="J1346" s="45">
        <v>87.5</v>
      </c>
    </row>
    <row r="1347" spans="1:10" ht="15.75" customHeight="1">
      <c r="A1347" s="36" t="s">
        <v>10</v>
      </c>
      <c r="B1347" s="37">
        <v>46145</v>
      </c>
      <c r="C1347" s="38" t="s">
        <v>50</v>
      </c>
      <c r="D1347" s="39" t="s">
        <v>49</v>
      </c>
      <c r="E1347" s="40" t="s">
        <v>30</v>
      </c>
      <c r="F1347" s="41">
        <v>4156</v>
      </c>
      <c r="G1347" s="42">
        <v>52</v>
      </c>
      <c r="H1347" s="43">
        <v>31</v>
      </c>
      <c r="I1347" s="44">
        <v>4177</v>
      </c>
      <c r="J1347" s="46">
        <v>59.6</v>
      </c>
    </row>
    <row r="1348" spans="1:10" ht="15.75" customHeight="1">
      <c r="A1348" s="36" t="s">
        <v>10</v>
      </c>
      <c r="B1348" s="37">
        <v>46145</v>
      </c>
      <c r="C1348" s="38" t="s">
        <v>50</v>
      </c>
      <c r="D1348" s="39" t="s">
        <v>49</v>
      </c>
      <c r="E1348" s="40" t="s">
        <v>32</v>
      </c>
      <c r="F1348" s="41">
        <v>1864</v>
      </c>
      <c r="G1348" s="42">
        <v>29</v>
      </c>
      <c r="H1348" s="43">
        <v>22</v>
      </c>
      <c r="I1348" s="44">
        <v>1871</v>
      </c>
      <c r="J1348" s="45">
        <v>75.900000000000006</v>
      </c>
    </row>
    <row r="1349" spans="1:10" ht="15.75" customHeight="1">
      <c r="A1349" s="36" t="s">
        <v>10</v>
      </c>
      <c r="B1349" s="37">
        <v>46145</v>
      </c>
      <c r="C1349" s="38" t="s">
        <v>50</v>
      </c>
      <c r="D1349" s="39" t="s">
        <v>49</v>
      </c>
      <c r="E1349" s="40" t="s">
        <v>34</v>
      </c>
      <c r="F1349" s="41">
        <v>4275</v>
      </c>
      <c r="G1349" s="42">
        <v>83</v>
      </c>
      <c r="H1349" s="43">
        <v>51</v>
      </c>
      <c r="I1349" s="44">
        <v>4307</v>
      </c>
      <c r="J1349" s="46">
        <v>61.4</v>
      </c>
    </row>
    <row r="1350" spans="1:10" ht="15.75" customHeight="1">
      <c r="A1350" s="36" t="s">
        <v>10</v>
      </c>
      <c r="B1350" s="37">
        <v>46145</v>
      </c>
      <c r="C1350" s="38" t="s">
        <v>50</v>
      </c>
      <c r="D1350" s="39" t="s">
        <v>49</v>
      </c>
      <c r="E1350" s="40" t="s">
        <v>25</v>
      </c>
      <c r="F1350" s="41">
        <v>2249</v>
      </c>
      <c r="G1350" s="42">
        <v>37</v>
      </c>
      <c r="H1350" s="43">
        <v>25</v>
      </c>
      <c r="I1350" s="44">
        <v>2261</v>
      </c>
      <c r="J1350" s="46">
        <v>67.599999999999994</v>
      </c>
    </row>
    <row r="1351" spans="1:10" ht="15.75" customHeight="1">
      <c r="A1351" s="36" t="s">
        <v>10</v>
      </c>
      <c r="B1351" s="37">
        <v>46145</v>
      </c>
      <c r="C1351" s="38" t="s">
        <v>50</v>
      </c>
      <c r="D1351" s="39" t="s">
        <v>49</v>
      </c>
      <c r="E1351" s="40" t="s">
        <v>35</v>
      </c>
      <c r="F1351" s="41">
        <v>2431</v>
      </c>
      <c r="G1351" s="42">
        <v>41</v>
      </c>
      <c r="H1351" s="43">
        <v>36</v>
      </c>
      <c r="I1351" s="44">
        <v>2436</v>
      </c>
      <c r="J1351" s="45">
        <v>87.8</v>
      </c>
    </row>
    <row r="1352" spans="1:10" ht="15.75" customHeight="1">
      <c r="A1352" s="36" t="s">
        <v>10</v>
      </c>
      <c r="B1352" s="37">
        <v>46145</v>
      </c>
      <c r="C1352" s="38" t="s">
        <v>50</v>
      </c>
      <c r="D1352" s="39" t="s">
        <v>49</v>
      </c>
      <c r="E1352" s="40" t="s">
        <v>29</v>
      </c>
      <c r="F1352" s="41">
        <v>2813</v>
      </c>
      <c r="G1352" s="42">
        <v>59</v>
      </c>
      <c r="H1352" s="43">
        <v>48</v>
      </c>
      <c r="I1352" s="44">
        <v>2824</v>
      </c>
      <c r="J1352" s="45">
        <v>81.400000000000006</v>
      </c>
    </row>
    <row r="1353" spans="1:10" ht="15.75" customHeight="1">
      <c r="A1353" s="36" t="s">
        <v>10</v>
      </c>
      <c r="B1353" s="37">
        <v>46145</v>
      </c>
      <c r="C1353" s="38" t="s">
        <v>50</v>
      </c>
      <c r="D1353" s="39" t="s">
        <v>49</v>
      </c>
      <c r="E1353" s="40" t="s">
        <v>31</v>
      </c>
      <c r="F1353" s="41">
        <v>3587</v>
      </c>
      <c r="G1353" s="42">
        <v>62</v>
      </c>
      <c r="H1353" s="43">
        <v>43</v>
      </c>
      <c r="I1353" s="44">
        <v>3606</v>
      </c>
      <c r="J1353" s="46">
        <v>69.400000000000006</v>
      </c>
    </row>
    <row r="1354" spans="1:10" ht="15.75" customHeight="1">
      <c r="A1354" s="36" t="s">
        <v>10</v>
      </c>
      <c r="B1354" s="37">
        <v>46145</v>
      </c>
      <c r="C1354" s="38" t="s">
        <v>50</v>
      </c>
      <c r="D1354" s="39" t="s">
        <v>49</v>
      </c>
      <c r="E1354" s="40" t="s">
        <v>33</v>
      </c>
      <c r="F1354" s="41">
        <v>1358</v>
      </c>
      <c r="G1354" s="42">
        <v>27</v>
      </c>
      <c r="H1354" s="43">
        <v>25</v>
      </c>
      <c r="I1354" s="44">
        <v>1360</v>
      </c>
      <c r="J1354" s="45">
        <v>92.6</v>
      </c>
    </row>
    <row r="1355" spans="1:10" ht="15.75" customHeight="1">
      <c r="A1355" s="36" t="s">
        <v>10</v>
      </c>
      <c r="B1355" s="37">
        <v>46145</v>
      </c>
      <c r="C1355" s="38" t="s">
        <v>50</v>
      </c>
      <c r="D1355" s="39" t="s">
        <v>49</v>
      </c>
      <c r="E1355" s="40" t="s">
        <v>36</v>
      </c>
      <c r="F1355" s="41">
        <v>4585</v>
      </c>
      <c r="G1355" s="42">
        <v>65</v>
      </c>
      <c r="H1355" s="43">
        <v>49</v>
      </c>
      <c r="I1355" s="44">
        <v>4601</v>
      </c>
      <c r="J1355" s="45">
        <v>75.400000000000006</v>
      </c>
    </row>
    <row r="1356" spans="1:10" ht="15.75" customHeight="1">
      <c r="A1356" s="24" t="s">
        <v>10</v>
      </c>
      <c r="B1356" s="25">
        <v>46146</v>
      </c>
      <c r="C1356" s="26" t="s">
        <v>51</v>
      </c>
      <c r="D1356" s="27" t="s">
        <v>46</v>
      </c>
      <c r="E1356" s="28" t="s">
        <v>26</v>
      </c>
      <c r="F1356" s="29">
        <v>3626</v>
      </c>
      <c r="G1356" s="30">
        <v>93</v>
      </c>
      <c r="H1356" s="31">
        <v>65</v>
      </c>
      <c r="I1356" s="32">
        <v>3654</v>
      </c>
      <c r="J1356" s="34">
        <v>69.900000000000006</v>
      </c>
    </row>
    <row r="1357" spans="1:10" ht="15.75" customHeight="1">
      <c r="A1357" s="14" t="s">
        <v>10</v>
      </c>
      <c r="B1357" s="15">
        <v>46146</v>
      </c>
      <c r="C1357" s="16" t="s">
        <v>51</v>
      </c>
      <c r="D1357" s="17" t="s">
        <v>46</v>
      </c>
      <c r="E1357" s="18" t="s">
        <v>27</v>
      </c>
      <c r="F1357" s="19">
        <v>2635</v>
      </c>
      <c r="G1357" s="20">
        <v>91</v>
      </c>
      <c r="H1357" s="21">
        <v>76</v>
      </c>
      <c r="I1357" s="22">
        <v>2650</v>
      </c>
      <c r="J1357" s="35">
        <v>83.5</v>
      </c>
    </row>
    <row r="1358" spans="1:10" ht="15.75" customHeight="1">
      <c r="A1358" s="24" t="s">
        <v>10</v>
      </c>
      <c r="B1358" s="25">
        <v>46146</v>
      </c>
      <c r="C1358" s="26" t="s">
        <v>51</v>
      </c>
      <c r="D1358" s="27" t="s">
        <v>46</v>
      </c>
      <c r="E1358" s="28" t="s">
        <v>30</v>
      </c>
      <c r="F1358" s="29">
        <v>4177</v>
      </c>
      <c r="G1358" s="30">
        <v>153</v>
      </c>
      <c r="H1358" s="31">
        <v>109</v>
      </c>
      <c r="I1358" s="32">
        <v>4221</v>
      </c>
      <c r="J1358" s="34">
        <v>71.2</v>
      </c>
    </row>
    <row r="1359" spans="1:10" ht="15.75" customHeight="1">
      <c r="A1359" s="14" t="s">
        <v>10</v>
      </c>
      <c r="B1359" s="15">
        <v>46146</v>
      </c>
      <c r="C1359" s="16" t="s">
        <v>51</v>
      </c>
      <c r="D1359" s="17" t="s">
        <v>46</v>
      </c>
      <c r="E1359" s="18" t="s">
        <v>32</v>
      </c>
      <c r="F1359" s="19">
        <v>1871</v>
      </c>
      <c r="G1359" s="20">
        <v>102</v>
      </c>
      <c r="H1359" s="21">
        <v>88</v>
      </c>
      <c r="I1359" s="22">
        <v>1885</v>
      </c>
      <c r="J1359" s="35">
        <v>86.3</v>
      </c>
    </row>
    <row r="1360" spans="1:10" ht="15.75" customHeight="1">
      <c r="A1360" s="24" t="s">
        <v>10</v>
      </c>
      <c r="B1360" s="25">
        <v>46146</v>
      </c>
      <c r="C1360" s="26" t="s">
        <v>51</v>
      </c>
      <c r="D1360" s="27" t="s">
        <v>46</v>
      </c>
      <c r="E1360" s="28" t="s">
        <v>34</v>
      </c>
      <c r="F1360" s="29">
        <v>4307</v>
      </c>
      <c r="G1360" s="30">
        <v>170</v>
      </c>
      <c r="H1360" s="31">
        <v>107</v>
      </c>
      <c r="I1360" s="32">
        <v>4370</v>
      </c>
      <c r="J1360" s="34">
        <v>62.9</v>
      </c>
    </row>
    <row r="1361" spans="1:10" ht="15.75" customHeight="1">
      <c r="A1361" s="14" t="s">
        <v>10</v>
      </c>
      <c r="B1361" s="15">
        <v>46146</v>
      </c>
      <c r="C1361" s="16" t="s">
        <v>51</v>
      </c>
      <c r="D1361" s="17" t="s">
        <v>46</v>
      </c>
      <c r="E1361" s="18" t="s">
        <v>25</v>
      </c>
      <c r="F1361" s="19">
        <v>2261</v>
      </c>
      <c r="G1361" s="20">
        <v>79</v>
      </c>
      <c r="H1361" s="21">
        <v>55</v>
      </c>
      <c r="I1361" s="22">
        <v>2285</v>
      </c>
      <c r="J1361" s="23">
        <v>69.599999999999994</v>
      </c>
    </row>
    <row r="1362" spans="1:10" ht="15.75" customHeight="1">
      <c r="A1362" s="24" t="s">
        <v>10</v>
      </c>
      <c r="B1362" s="25">
        <v>46146</v>
      </c>
      <c r="C1362" s="26" t="s">
        <v>51</v>
      </c>
      <c r="D1362" s="27" t="s">
        <v>46</v>
      </c>
      <c r="E1362" s="28" t="s">
        <v>35</v>
      </c>
      <c r="F1362" s="29">
        <v>2436</v>
      </c>
      <c r="G1362" s="30">
        <v>115</v>
      </c>
      <c r="H1362" s="31">
        <v>90</v>
      </c>
      <c r="I1362" s="32">
        <v>2461</v>
      </c>
      <c r="J1362" s="33">
        <v>78.3</v>
      </c>
    </row>
    <row r="1363" spans="1:10" ht="15.75" customHeight="1">
      <c r="A1363" s="14" t="s">
        <v>10</v>
      </c>
      <c r="B1363" s="15">
        <v>46146</v>
      </c>
      <c r="C1363" s="16" t="s">
        <v>51</v>
      </c>
      <c r="D1363" s="17" t="s">
        <v>46</v>
      </c>
      <c r="E1363" s="18" t="s">
        <v>29</v>
      </c>
      <c r="F1363" s="19">
        <v>2824</v>
      </c>
      <c r="G1363" s="20">
        <v>85</v>
      </c>
      <c r="H1363" s="21">
        <v>59</v>
      </c>
      <c r="I1363" s="22">
        <v>2850</v>
      </c>
      <c r="J1363" s="23">
        <v>69.400000000000006</v>
      </c>
    </row>
    <row r="1364" spans="1:10" ht="15.75" customHeight="1">
      <c r="A1364" s="24" t="s">
        <v>10</v>
      </c>
      <c r="B1364" s="25">
        <v>46146</v>
      </c>
      <c r="C1364" s="26" t="s">
        <v>51</v>
      </c>
      <c r="D1364" s="27" t="s">
        <v>46</v>
      </c>
      <c r="E1364" s="28" t="s">
        <v>31</v>
      </c>
      <c r="F1364" s="29">
        <v>3606</v>
      </c>
      <c r="G1364" s="30">
        <v>136</v>
      </c>
      <c r="H1364" s="31">
        <v>114</v>
      </c>
      <c r="I1364" s="32">
        <v>3628</v>
      </c>
      <c r="J1364" s="33">
        <v>83.8</v>
      </c>
    </row>
    <row r="1365" spans="1:10" ht="15.75" customHeight="1">
      <c r="A1365" s="14" t="s">
        <v>10</v>
      </c>
      <c r="B1365" s="15">
        <v>46146</v>
      </c>
      <c r="C1365" s="16" t="s">
        <v>51</v>
      </c>
      <c r="D1365" s="17" t="s">
        <v>46</v>
      </c>
      <c r="E1365" s="18" t="s">
        <v>33</v>
      </c>
      <c r="F1365" s="19">
        <v>1360</v>
      </c>
      <c r="G1365" s="20">
        <v>87</v>
      </c>
      <c r="H1365" s="21">
        <v>67</v>
      </c>
      <c r="I1365" s="22">
        <v>1380</v>
      </c>
      <c r="J1365" s="35">
        <v>77</v>
      </c>
    </row>
    <row r="1366" spans="1:10" ht="15.75" customHeight="1">
      <c r="A1366" s="24" t="s">
        <v>10</v>
      </c>
      <c r="B1366" s="25">
        <v>46146</v>
      </c>
      <c r="C1366" s="26" t="s">
        <v>51</v>
      </c>
      <c r="D1366" s="27" t="s">
        <v>46</v>
      </c>
      <c r="E1366" s="28" t="s">
        <v>36</v>
      </c>
      <c r="F1366" s="29">
        <v>4601</v>
      </c>
      <c r="G1366" s="30">
        <v>164</v>
      </c>
      <c r="H1366" s="31">
        <v>129</v>
      </c>
      <c r="I1366" s="32">
        <v>4636</v>
      </c>
      <c r="J1366" s="33">
        <v>78.7</v>
      </c>
    </row>
    <row r="1367" spans="1:10" ht="15.75" customHeight="1">
      <c r="A1367" s="14" t="s">
        <v>10</v>
      </c>
      <c r="B1367" s="15">
        <v>46147</v>
      </c>
      <c r="C1367" s="16" t="s">
        <v>52</v>
      </c>
      <c r="D1367" s="17" t="s">
        <v>46</v>
      </c>
      <c r="E1367" s="18" t="s">
        <v>26</v>
      </c>
      <c r="F1367" s="19">
        <v>3654</v>
      </c>
      <c r="G1367" s="20">
        <v>86</v>
      </c>
      <c r="H1367" s="21">
        <v>61</v>
      </c>
      <c r="I1367" s="22">
        <v>3679</v>
      </c>
      <c r="J1367" s="23">
        <v>70.900000000000006</v>
      </c>
    </row>
    <row r="1368" spans="1:10" ht="15.75" customHeight="1">
      <c r="A1368" s="24" t="s">
        <v>10</v>
      </c>
      <c r="B1368" s="25">
        <v>46147</v>
      </c>
      <c r="C1368" s="26" t="s">
        <v>52</v>
      </c>
      <c r="D1368" s="27" t="s">
        <v>46</v>
      </c>
      <c r="E1368" s="28" t="s">
        <v>27</v>
      </c>
      <c r="F1368" s="29">
        <v>2650</v>
      </c>
      <c r="G1368" s="30">
        <v>87</v>
      </c>
      <c r="H1368" s="31">
        <v>77</v>
      </c>
      <c r="I1368" s="32">
        <v>2660</v>
      </c>
      <c r="J1368" s="33">
        <v>88.5</v>
      </c>
    </row>
    <row r="1369" spans="1:10" ht="15.75" customHeight="1">
      <c r="A1369" s="14" t="s">
        <v>10</v>
      </c>
      <c r="B1369" s="15">
        <v>46147</v>
      </c>
      <c r="C1369" s="16" t="s">
        <v>52</v>
      </c>
      <c r="D1369" s="17" t="s">
        <v>46</v>
      </c>
      <c r="E1369" s="18" t="s">
        <v>30</v>
      </c>
      <c r="F1369" s="19">
        <v>4221</v>
      </c>
      <c r="G1369" s="20">
        <v>106</v>
      </c>
      <c r="H1369" s="21">
        <v>72</v>
      </c>
      <c r="I1369" s="22">
        <v>4255</v>
      </c>
      <c r="J1369" s="23">
        <v>67.900000000000006</v>
      </c>
    </row>
    <row r="1370" spans="1:10" ht="15.75" customHeight="1">
      <c r="A1370" s="24" t="s">
        <v>10</v>
      </c>
      <c r="B1370" s="25">
        <v>46147</v>
      </c>
      <c r="C1370" s="26" t="s">
        <v>52</v>
      </c>
      <c r="D1370" s="27" t="s">
        <v>46</v>
      </c>
      <c r="E1370" s="28" t="s">
        <v>32</v>
      </c>
      <c r="F1370" s="29">
        <v>1885</v>
      </c>
      <c r="G1370" s="30">
        <v>88</v>
      </c>
      <c r="H1370" s="31">
        <v>81</v>
      </c>
      <c r="I1370" s="32">
        <v>1892</v>
      </c>
      <c r="J1370" s="33">
        <v>92</v>
      </c>
    </row>
    <row r="1371" spans="1:10" ht="15.75" customHeight="1">
      <c r="A1371" s="14" t="s">
        <v>10</v>
      </c>
      <c r="B1371" s="15">
        <v>46147</v>
      </c>
      <c r="C1371" s="16" t="s">
        <v>52</v>
      </c>
      <c r="D1371" s="17" t="s">
        <v>46</v>
      </c>
      <c r="E1371" s="18" t="s">
        <v>34</v>
      </c>
      <c r="F1371" s="19">
        <v>4370</v>
      </c>
      <c r="G1371" s="20">
        <v>115</v>
      </c>
      <c r="H1371" s="21">
        <v>71</v>
      </c>
      <c r="I1371" s="22">
        <v>4414</v>
      </c>
      <c r="J1371" s="23">
        <v>61.7</v>
      </c>
    </row>
    <row r="1372" spans="1:10" ht="15.75" customHeight="1">
      <c r="A1372" s="24" t="s">
        <v>10</v>
      </c>
      <c r="B1372" s="25">
        <v>46147</v>
      </c>
      <c r="C1372" s="26" t="s">
        <v>52</v>
      </c>
      <c r="D1372" s="27" t="s">
        <v>46</v>
      </c>
      <c r="E1372" s="28" t="s">
        <v>25</v>
      </c>
      <c r="F1372" s="29">
        <v>2285</v>
      </c>
      <c r="G1372" s="30">
        <v>90</v>
      </c>
      <c r="H1372" s="31">
        <v>68</v>
      </c>
      <c r="I1372" s="32">
        <v>2307</v>
      </c>
      <c r="J1372" s="33">
        <v>75.599999999999994</v>
      </c>
    </row>
    <row r="1373" spans="1:10" ht="15.75" customHeight="1">
      <c r="A1373" s="14" t="s">
        <v>10</v>
      </c>
      <c r="B1373" s="15">
        <v>46147</v>
      </c>
      <c r="C1373" s="16" t="s">
        <v>52</v>
      </c>
      <c r="D1373" s="17" t="s">
        <v>46</v>
      </c>
      <c r="E1373" s="18" t="s">
        <v>35</v>
      </c>
      <c r="F1373" s="19">
        <v>2461</v>
      </c>
      <c r="G1373" s="20">
        <v>95</v>
      </c>
      <c r="H1373" s="21">
        <v>77</v>
      </c>
      <c r="I1373" s="22">
        <v>2479</v>
      </c>
      <c r="J1373" s="35">
        <v>81.099999999999994</v>
      </c>
    </row>
    <row r="1374" spans="1:10" ht="15.75" customHeight="1">
      <c r="A1374" s="24" t="s">
        <v>10</v>
      </c>
      <c r="B1374" s="25">
        <v>46147</v>
      </c>
      <c r="C1374" s="26" t="s">
        <v>52</v>
      </c>
      <c r="D1374" s="27" t="s">
        <v>46</v>
      </c>
      <c r="E1374" s="28" t="s">
        <v>29</v>
      </c>
      <c r="F1374" s="29">
        <v>2850</v>
      </c>
      <c r="G1374" s="30">
        <v>100</v>
      </c>
      <c r="H1374" s="31">
        <v>66</v>
      </c>
      <c r="I1374" s="32">
        <v>2884</v>
      </c>
      <c r="J1374" s="34">
        <v>66</v>
      </c>
    </row>
    <row r="1375" spans="1:10" ht="15.75" customHeight="1">
      <c r="A1375" s="14" t="s">
        <v>10</v>
      </c>
      <c r="B1375" s="15">
        <v>46147</v>
      </c>
      <c r="C1375" s="16" t="s">
        <v>52</v>
      </c>
      <c r="D1375" s="17" t="s">
        <v>46</v>
      </c>
      <c r="E1375" s="18" t="s">
        <v>31</v>
      </c>
      <c r="F1375" s="19">
        <v>3628</v>
      </c>
      <c r="G1375" s="20">
        <v>155</v>
      </c>
      <c r="H1375" s="21">
        <v>125</v>
      </c>
      <c r="I1375" s="22">
        <v>3658</v>
      </c>
      <c r="J1375" s="35">
        <v>80.599999999999994</v>
      </c>
    </row>
    <row r="1376" spans="1:10" ht="15.75" customHeight="1">
      <c r="A1376" s="24" t="s">
        <v>10</v>
      </c>
      <c r="B1376" s="25">
        <v>46147</v>
      </c>
      <c r="C1376" s="26" t="s">
        <v>52</v>
      </c>
      <c r="D1376" s="27" t="s">
        <v>46</v>
      </c>
      <c r="E1376" s="28" t="s">
        <v>33</v>
      </c>
      <c r="F1376" s="29">
        <v>1380</v>
      </c>
      <c r="G1376" s="30">
        <v>60</v>
      </c>
      <c r="H1376" s="31">
        <v>49</v>
      </c>
      <c r="I1376" s="32">
        <v>1391</v>
      </c>
      <c r="J1376" s="33">
        <v>81.7</v>
      </c>
    </row>
    <row r="1377" spans="1:10" ht="15.75" customHeight="1">
      <c r="A1377" s="14" t="s">
        <v>10</v>
      </c>
      <c r="B1377" s="15">
        <v>46147</v>
      </c>
      <c r="C1377" s="16" t="s">
        <v>52</v>
      </c>
      <c r="D1377" s="17" t="s">
        <v>46</v>
      </c>
      <c r="E1377" s="18" t="s">
        <v>36</v>
      </c>
      <c r="F1377" s="19">
        <v>4636</v>
      </c>
      <c r="G1377" s="20">
        <v>109</v>
      </c>
      <c r="H1377" s="21">
        <v>80</v>
      </c>
      <c r="I1377" s="22">
        <v>4665</v>
      </c>
      <c r="J1377" s="23">
        <v>73.400000000000006</v>
      </c>
    </row>
    <row r="1378" spans="1:10" ht="15.75" customHeight="1">
      <c r="A1378" s="24" t="s">
        <v>10</v>
      </c>
      <c r="B1378" s="25">
        <v>46148</v>
      </c>
      <c r="C1378" s="26" t="s">
        <v>53</v>
      </c>
      <c r="D1378" s="27" t="s">
        <v>46</v>
      </c>
      <c r="E1378" s="28" t="s">
        <v>26</v>
      </c>
      <c r="F1378" s="29">
        <v>3679</v>
      </c>
      <c r="G1378" s="30">
        <v>133</v>
      </c>
      <c r="H1378" s="31">
        <v>112</v>
      </c>
      <c r="I1378" s="32">
        <v>3700</v>
      </c>
      <c r="J1378" s="33">
        <v>84.2</v>
      </c>
    </row>
    <row r="1379" spans="1:10" ht="15.75" customHeight="1">
      <c r="A1379" s="14" t="s">
        <v>10</v>
      </c>
      <c r="B1379" s="15">
        <v>46148</v>
      </c>
      <c r="C1379" s="16" t="s">
        <v>53</v>
      </c>
      <c r="D1379" s="17" t="s">
        <v>46</v>
      </c>
      <c r="E1379" s="18" t="s">
        <v>27</v>
      </c>
      <c r="F1379" s="19">
        <v>2660</v>
      </c>
      <c r="G1379" s="20">
        <v>100</v>
      </c>
      <c r="H1379" s="21">
        <v>85</v>
      </c>
      <c r="I1379" s="22">
        <v>2675</v>
      </c>
      <c r="J1379" s="35">
        <v>85</v>
      </c>
    </row>
    <row r="1380" spans="1:10" ht="15.75" customHeight="1">
      <c r="A1380" s="24" t="s">
        <v>10</v>
      </c>
      <c r="B1380" s="25">
        <v>46148</v>
      </c>
      <c r="C1380" s="26" t="s">
        <v>53</v>
      </c>
      <c r="D1380" s="27" t="s">
        <v>46</v>
      </c>
      <c r="E1380" s="28" t="s">
        <v>30</v>
      </c>
      <c r="F1380" s="29">
        <v>4255</v>
      </c>
      <c r="G1380" s="30">
        <v>121</v>
      </c>
      <c r="H1380" s="31">
        <v>86</v>
      </c>
      <c r="I1380" s="32">
        <v>4290</v>
      </c>
      <c r="J1380" s="34">
        <v>71.099999999999994</v>
      </c>
    </row>
    <row r="1381" spans="1:10" ht="15.75" customHeight="1">
      <c r="A1381" s="14" t="s">
        <v>10</v>
      </c>
      <c r="B1381" s="15">
        <v>46148</v>
      </c>
      <c r="C1381" s="16" t="s">
        <v>53</v>
      </c>
      <c r="D1381" s="17" t="s">
        <v>46</v>
      </c>
      <c r="E1381" s="18" t="s">
        <v>32</v>
      </c>
      <c r="F1381" s="19">
        <v>1892</v>
      </c>
      <c r="G1381" s="20">
        <v>95</v>
      </c>
      <c r="H1381" s="21">
        <v>75</v>
      </c>
      <c r="I1381" s="22">
        <v>1912</v>
      </c>
      <c r="J1381" s="35">
        <v>78.900000000000006</v>
      </c>
    </row>
    <row r="1382" spans="1:10" ht="15.75" customHeight="1">
      <c r="A1382" s="24" t="s">
        <v>10</v>
      </c>
      <c r="B1382" s="25">
        <v>46148</v>
      </c>
      <c r="C1382" s="26" t="s">
        <v>53</v>
      </c>
      <c r="D1382" s="27" t="s">
        <v>46</v>
      </c>
      <c r="E1382" s="28" t="s">
        <v>34</v>
      </c>
      <c r="F1382" s="29">
        <v>4414</v>
      </c>
      <c r="G1382" s="30">
        <v>149</v>
      </c>
      <c r="H1382" s="31">
        <v>98</v>
      </c>
      <c r="I1382" s="32">
        <v>4465</v>
      </c>
      <c r="J1382" s="34">
        <v>65.8</v>
      </c>
    </row>
    <row r="1383" spans="1:10" ht="15.75" customHeight="1">
      <c r="A1383" s="14" t="s">
        <v>10</v>
      </c>
      <c r="B1383" s="15">
        <v>46148</v>
      </c>
      <c r="C1383" s="16" t="s">
        <v>53</v>
      </c>
      <c r="D1383" s="17" t="s">
        <v>46</v>
      </c>
      <c r="E1383" s="18" t="s">
        <v>25</v>
      </c>
      <c r="F1383" s="19">
        <v>2307</v>
      </c>
      <c r="G1383" s="20">
        <v>108</v>
      </c>
      <c r="H1383" s="21">
        <v>92</v>
      </c>
      <c r="I1383" s="22">
        <v>2323</v>
      </c>
      <c r="J1383" s="35">
        <v>85.2</v>
      </c>
    </row>
    <row r="1384" spans="1:10" ht="15.75" customHeight="1">
      <c r="A1384" s="24" t="s">
        <v>10</v>
      </c>
      <c r="B1384" s="25">
        <v>46148</v>
      </c>
      <c r="C1384" s="26" t="s">
        <v>53</v>
      </c>
      <c r="D1384" s="27" t="s">
        <v>46</v>
      </c>
      <c r="E1384" s="28" t="s">
        <v>35</v>
      </c>
      <c r="F1384" s="29">
        <v>2479</v>
      </c>
      <c r="G1384" s="30">
        <v>140</v>
      </c>
      <c r="H1384" s="31">
        <v>123</v>
      </c>
      <c r="I1384" s="32">
        <v>2496</v>
      </c>
      <c r="J1384" s="33">
        <v>87.9</v>
      </c>
    </row>
    <row r="1385" spans="1:10" ht="15.75" customHeight="1">
      <c r="A1385" s="14" t="s">
        <v>10</v>
      </c>
      <c r="B1385" s="15">
        <v>46148</v>
      </c>
      <c r="C1385" s="16" t="s">
        <v>53</v>
      </c>
      <c r="D1385" s="17" t="s">
        <v>46</v>
      </c>
      <c r="E1385" s="18" t="s">
        <v>29</v>
      </c>
      <c r="F1385" s="19">
        <v>2884</v>
      </c>
      <c r="G1385" s="20">
        <v>121</v>
      </c>
      <c r="H1385" s="21">
        <v>83</v>
      </c>
      <c r="I1385" s="22">
        <v>2922</v>
      </c>
      <c r="J1385" s="23">
        <v>68.599999999999994</v>
      </c>
    </row>
    <row r="1386" spans="1:10" ht="15.75" customHeight="1">
      <c r="A1386" s="24" t="s">
        <v>10</v>
      </c>
      <c r="B1386" s="25">
        <v>46148</v>
      </c>
      <c r="C1386" s="26" t="s">
        <v>53</v>
      </c>
      <c r="D1386" s="27" t="s">
        <v>46</v>
      </c>
      <c r="E1386" s="28" t="s">
        <v>31</v>
      </c>
      <c r="F1386" s="29">
        <v>3658</v>
      </c>
      <c r="G1386" s="30">
        <v>93</v>
      </c>
      <c r="H1386" s="31">
        <v>67</v>
      </c>
      <c r="I1386" s="32">
        <v>3684</v>
      </c>
      <c r="J1386" s="34">
        <v>72</v>
      </c>
    </row>
    <row r="1387" spans="1:10" ht="15.75" customHeight="1">
      <c r="A1387" s="14" t="s">
        <v>10</v>
      </c>
      <c r="B1387" s="15">
        <v>46148</v>
      </c>
      <c r="C1387" s="16" t="s">
        <v>53</v>
      </c>
      <c r="D1387" s="17" t="s">
        <v>46</v>
      </c>
      <c r="E1387" s="18" t="s">
        <v>33</v>
      </c>
      <c r="F1387" s="19">
        <v>1391</v>
      </c>
      <c r="G1387" s="20">
        <v>104</v>
      </c>
      <c r="H1387" s="21">
        <v>94</v>
      </c>
      <c r="I1387" s="22">
        <v>1401</v>
      </c>
      <c r="J1387" s="35">
        <v>90.4</v>
      </c>
    </row>
    <row r="1388" spans="1:10" ht="15.75" customHeight="1">
      <c r="A1388" s="24" t="s">
        <v>10</v>
      </c>
      <c r="B1388" s="25">
        <v>46148</v>
      </c>
      <c r="C1388" s="26" t="s">
        <v>53</v>
      </c>
      <c r="D1388" s="27" t="s">
        <v>46</v>
      </c>
      <c r="E1388" s="28" t="s">
        <v>36</v>
      </c>
      <c r="F1388" s="29">
        <v>4665</v>
      </c>
      <c r="G1388" s="30">
        <v>138</v>
      </c>
      <c r="H1388" s="31">
        <v>109</v>
      </c>
      <c r="I1388" s="32">
        <v>4694</v>
      </c>
      <c r="J1388" s="33">
        <v>79</v>
      </c>
    </row>
    <row r="1389" spans="1:10" ht="15.75" customHeight="1">
      <c r="A1389" s="14" t="s">
        <v>10</v>
      </c>
      <c r="B1389" s="15">
        <v>46149</v>
      </c>
      <c r="C1389" s="16" t="s">
        <v>45</v>
      </c>
      <c r="D1389" s="17" t="s">
        <v>46</v>
      </c>
      <c r="E1389" s="18" t="s">
        <v>26</v>
      </c>
      <c r="F1389" s="19">
        <v>3700</v>
      </c>
      <c r="G1389" s="20">
        <v>99</v>
      </c>
      <c r="H1389" s="21">
        <v>78</v>
      </c>
      <c r="I1389" s="22">
        <v>3721</v>
      </c>
      <c r="J1389" s="35">
        <v>78.8</v>
      </c>
    </row>
    <row r="1390" spans="1:10" ht="15.75" customHeight="1">
      <c r="A1390" s="24" t="s">
        <v>10</v>
      </c>
      <c r="B1390" s="25">
        <v>46149</v>
      </c>
      <c r="C1390" s="26" t="s">
        <v>45</v>
      </c>
      <c r="D1390" s="27" t="s">
        <v>46</v>
      </c>
      <c r="E1390" s="28" t="s">
        <v>27</v>
      </c>
      <c r="F1390" s="29">
        <v>2675</v>
      </c>
      <c r="G1390" s="30">
        <v>104</v>
      </c>
      <c r="H1390" s="31">
        <v>87</v>
      </c>
      <c r="I1390" s="32">
        <v>2692</v>
      </c>
      <c r="J1390" s="33">
        <v>83.7</v>
      </c>
    </row>
    <row r="1391" spans="1:10" ht="15.75" customHeight="1">
      <c r="A1391" s="14" t="s">
        <v>10</v>
      </c>
      <c r="B1391" s="15">
        <v>46149</v>
      </c>
      <c r="C1391" s="16" t="s">
        <v>45</v>
      </c>
      <c r="D1391" s="17" t="s">
        <v>46</v>
      </c>
      <c r="E1391" s="18" t="s">
        <v>30</v>
      </c>
      <c r="F1391" s="19">
        <v>4290</v>
      </c>
      <c r="G1391" s="20">
        <v>134</v>
      </c>
      <c r="H1391" s="21">
        <v>90</v>
      </c>
      <c r="I1391" s="22">
        <v>4334</v>
      </c>
      <c r="J1391" s="23">
        <v>67.2</v>
      </c>
    </row>
    <row r="1392" spans="1:10" ht="15.75" customHeight="1">
      <c r="A1392" s="24" t="s">
        <v>10</v>
      </c>
      <c r="B1392" s="25">
        <v>46149</v>
      </c>
      <c r="C1392" s="26" t="s">
        <v>45</v>
      </c>
      <c r="D1392" s="27" t="s">
        <v>46</v>
      </c>
      <c r="E1392" s="28" t="s">
        <v>32</v>
      </c>
      <c r="F1392" s="29">
        <v>1912</v>
      </c>
      <c r="G1392" s="30">
        <v>95</v>
      </c>
      <c r="H1392" s="31">
        <v>88</v>
      </c>
      <c r="I1392" s="32">
        <v>1919</v>
      </c>
      <c r="J1392" s="33">
        <v>92.6</v>
      </c>
    </row>
    <row r="1393" spans="1:10" ht="15.75" customHeight="1">
      <c r="A1393" s="14" t="s">
        <v>10</v>
      </c>
      <c r="B1393" s="15">
        <v>46149</v>
      </c>
      <c r="C1393" s="16" t="s">
        <v>45</v>
      </c>
      <c r="D1393" s="17" t="s">
        <v>46</v>
      </c>
      <c r="E1393" s="18" t="s">
        <v>34</v>
      </c>
      <c r="F1393" s="19">
        <v>4465</v>
      </c>
      <c r="G1393" s="20">
        <v>148</v>
      </c>
      <c r="H1393" s="21">
        <v>105</v>
      </c>
      <c r="I1393" s="22">
        <v>4508</v>
      </c>
      <c r="J1393" s="23">
        <v>70.900000000000006</v>
      </c>
    </row>
    <row r="1394" spans="1:10" ht="15.75" customHeight="1">
      <c r="A1394" s="24" t="s">
        <v>10</v>
      </c>
      <c r="B1394" s="25">
        <v>46149</v>
      </c>
      <c r="C1394" s="26" t="s">
        <v>45</v>
      </c>
      <c r="D1394" s="27" t="s">
        <v>46</v>
      </c>
      <c r="E1394" s="28" t="s">
        <v>25</v>
      </c>
      <c r="F1394" s="29">
        <v>2323</v>
      </c>
      <c r="G1394" s="30">
        <v>109</v>
      </c>
      <c r="H1394" s="31">
        <v>84</v>
      </c>
      <c r="I1394" s="32">
        <v>2348</v>
      </c>
      <c r="J1394" s="33">
        <v>77.099999999999994</v>
      </c>
    </row>
    <row r="1395" spans="1:10" ht="15.75" customHeight="1">
      <c r="A1395" s="14" t="s">
        <v>10</v>
      </c>
      <c r="B1395" s="15">
        <v>46149</v>
      </c>
      <c r="C1395" s="16" t="s">
        <v>45</v>
      </c>
      <c r="D1395" s="17" t="s">
        <v>46</v>
      </c>
      <c r="E1395" s="18" t="s">
        <v>35</v>
      </c>
      <c r="F1395" s="19">
        <v>2496</v>
      </c>
      <c r="G1395" s="20">
        <v>99</v>
      </c>
      <c r="H1395" s="21">
        <v>78</v>
      </c>
      <c r="I1395" s="22">
        <v>2517</v>
      </c>
      <c r="J1395" s="35">
        <v>78.8</v>
      </c>
    </row>
    <row r="1396" spans="1:10" ht="15.75" customHeight="1">
      <c r="A1396" s="24" t="s">
        <v>10</v>
      </c>
      <c r="B1396" s="25">
        <v>46149</v>
      </c>
      <c r="C1396" s="26" t="s">
        <v>45</v>
      </c>
      <c r="D1396" s="27" t="s">
        <v>46</v>
      </c>
      <c r="E1396" s="28" t="s">
        <v>29</v>
      </c>
      <c r="F1396" s="29">
        <v>2922</v>
      </c>
      <c r="G1396" s="30">
        <v>101</v>
      </c>
      <c r="H1396" s="31">
        <v>78</v>
      </c>
      <c r="I1396" s="32">
        <v>2945</v>
      </c>
      <c r="J1396" s="33">
        <v>77.2</v>
      </c>
    </row>
    <row r="1397" spans="1:10" ht="15.75" customHeight="1">
      <c r="A1397" s="14" t="s">
        <v>10</v>
      </c>
      <c r="B1397" s="15">
        <v>46149</v>
      </c>
      <c r="C1397" s="16" t="s">
        <v>45</v>
      </c>
      <c r="D1397" s="17" t="s">
        <v>46</v>
      </c>
      <c r="E1397" s="18" t="s">
        <v>31</v>
      </c>
      <c r="F1397" s="19">
        <v>3684</v>
      </c>
      <c r="G1397" s="20">
        <v>114</v>
      </c>
      <c r="H1397" s="21">
        <v>85</v>
      </c>
      <c r="I1397" s="22">
        <v>3713</v>
      </c>
      <c r="J1397" s="23">
        <v>74.599999999999994</v>
      </c>
    </row>
    <row r="1398" spans="1:10" ht="15.75" customHeight="1">
      <c r="A1398" s="24" t="s">
        <v>10</v>
      </c>
      <c r="B1398" s="25">
        <v>46149</v>
      </c>
      <c r="C1398" s="26" t="s">
        <v>45</v>
      </c>
      <c r="D1398" s="27" t="s">
        <v>46</v>
      </c>
      <c r="E1398" s="28" t="s">
        <v>33</v>
      </c>
      <c r="F1398" s="29">
        <v>1401</v>
      </c>
      <c r="G1398" s="30">
        <v>57</v>
      </c>
      <c r="H1398" s="31">
        <v>49</v>
      </c>
      <c r="I1398" s="32">
        <v>1409</v>
      </c>
      <c r="J1398" s="33">
        <v>86</v>
      </c>
    </row>
    <row r="1399" spans="1:10" ht="15.75" customHeight="1">
      <c r="A1399" s="14" t="s">
        <v>10</v>
      </c>
      <c r="B1399" s="15">
        <v>46149</v>
      </c>
      <c r="C1399" s="16" t="s">
        <v>45</v>
      </c>
      <c r="D1399" s="17" t="s">
        <v>46</v>
      </c>
      <c r="E1399" s="18" t="s">
        <v>36</v>
      </c>
      <c r="F1399" s="19">
        <v>4694</v>
      </c>
      <c r="G1399" s="20">
        <v>155</v>
      </c>
      <c r="H1399" s="21">
        <v>118</v>
      </c>
      <c r="I1399" s="22">
        <v>4731</v>
      </c>
      <c r="J1399" s="35">
        <v>76.099999999999994</v>
      </c>
    </row>
    <row r="1400" spans="1:10" ht="15.75" customHeight="1">
      <c r="A1400" s="24" t="s">
        <v>10</v>
      </c>
      <c r="B1400" s="25">
        <v>46150</v>
      </c>
      <c r="C1400" s="26" t="s">
        <v>47</v>
      </c>
      <c r="D1400" s="27" t="s">
        <v>46</v>
      </c>
      <c r="E1400" s="28" t="s">
        <v>26</v>
      </c>
      <c r="F1400" s="29">
        <v>3721</v>
      </c>
      <c r="G1400" s="30">
        <v>122</v>
      </c>
      <c r="H1400" s="31">
        <v>82</v>
      </c>
      <c r="I1400" s="32">
        <v>3761</v>
      </c>
      <c r="J1400" s="34">
        <v>67.2</v>
      </c>
    </row>
    <row r="1401" spans="1:10" ht="15.75" customHeight="1">
      <c r="A1401" s="14" t="s">
        <v>10</v>
      </c>
      <c r="B1401" s="15">
        <v>46150</v>
      </c>
      <c r="C1401" s="16" t="s">
        <v>47</v>
      </c>
      <c r="D1401" s="17" t="s">
        <v>46</v>
      </c>
      <c r="E1401" s="18" t="s">
        <v>27</v>
      </c>
      <c r="F1401" s="19">
        <v>2692</v>
      </c>
      <c r="G1401" s="20">
        <v>125</v>
      </c>
      <c r="H1401" s="21">
        <v>101</v>
      </c>
      <c r="I1401" s="22">
        <v>2716</v>
      </c>
      <c r="J1401" s="35">
        <v>80.8</v>
      </c>
    </row>
    <row r="1402" spans="1:10" ht="15.75" customHeight="1">
      <c r="A1402" s="24" t="s">
        <v>10</v>
      </c>
      <c r="B1402" s="25">
        <v>46150</v>
      </c>
      <c r="C1402" s="26" t="s">
        <v>47</v>
      </c>
      <c r="D1402" s="27" t="s">
        <v>46</v>
      </c>
      <c r="E1402" s="28" t="s">
        <v>30</v>
      </c>
      <c r="F1402" s="29">
        <v>4334</v>
      </c>
      <c r="G1402" s="30">
        <v>102</v>
      </c>
      <c r="H1402" s="31">
        <v>77</v>
      </c>
      <c r="I1402" s="32">
        <v>4359</v>
      </c>
      <c r="J1402" s="33">
        <v>75.5</v>
      </c>
    </row>
    <row r="1403" spans="1:10" ht="15.75" customHeight="1">
      <c r="A1403" s="14" t="s">
        <v>10</v>
      </c>
      <c r="B1403" s="15">
        <v>46150</v>
      </c>
      <c r="C1403" s="16" t="s">
        <v>47</v>
      </c>
      <c r="D1403" s="17" t="s">
        <v>46</v>
      </c>
      <c r="E1403" s="18" t="s">
        <v>32</v>
      </c>
      <c r="F1403" s="19">
        <v>1919</v>
      </c>
      <c r="G1403" s="20">
        <v>118</v>
      </c>
      <c r="H1403" s="21">
        <v>102</v>
      </c>
      <c r="I1403" s="22">
        <v>1935</v>
      </c>
      <c r="J1403" s="35">
        <v>86.4</v>
      </c>
    </row>
    <row r="1404" spans="1:10" ht="15.75" customHeight="1">
      <c r="A1404" s="24" t="s">
        <v>10</v>
      </c>
      <c r="B1404" s="25">
        <v>46150</v>
      </c>
      <c r="C1404" s="26" t="s">
        <v>47</v>
      </c>
      <c r="D1404" s="27" t="s">
        <v>46</v>
      </c>
      <c r="E1404" s="28" t="s">
        <v>34</v>
      </c>
      <c r="F1404" s="29">
        <v>4508</v>
      </c>
      <c r="G1404" s="30">
        <v>101</v>
      </c>
      <c r="H1404" s="31">
        <v>66</v>
      </c>
      <c r="I1404" s="32">
        <v>4543</v>
      </c>
      <c r="J1404" s="34">
        <v>65.3</v>
      </c>
    </row>
    <row r="1405" spans="1:10" ht="15.75" customHeight="1">
      <c r="A1405" s="14" t="s">
        <v>10</v>
      </c>
      <c r="B1405" s="15">
        <v>46150</v>
      </c>
      <c r="C1405" s="16" t="s">
        <v>47</v>
      </c>
      <c r="D1405" s="17" t="s">
        <v>46</v>
      </c>
      <c r="E1405" s="18" t="s">
        <v>25</v>
      </c>
      <c r="F1405" s="19">
        <v>2348</v>
      </c>
      <c r="G1405" s="20">
        <v>76</v>
      </c>
      <c r="H1405" s="21">
        <v>55</v>
      </c>
      <c r="I1405" s="22">
        <v>2369</v>
      </c>
      <c r="J1405" s="23">
        <v>72.400000000000006</v>
      </c>
    </row>
    <row r="1406" spans="1:10" ht="15.75" customHeight="1">
      <c r="A1406" s="24" t="s">
        <v>10</v>
      </c>
      <c r="B1406" s="25">
        <v>46150</v>
      </c>
      <c r="C1406" s="26" t="s">
        <v>47</v>
      </c>
      <c r="D1406" s="27" t="s">
        <v>46</v>
      </c>
      <c r="E1406" s="28" t="s">
        <v>35</v>
      </c>
      <c r="F1406" s="29">
        <v>2517</v>
      </c>
      <c r="G1406" s="30">
        <v>84</v>
      </c>
      <c r="H1406" s="31">
        <v>75</v>
      </c>
      <c r="I1406" s="32">
        <v>2526</v>
      </c>
      <c r="J1406" s="33">
        <v>89.3</v>
      </c>
    </row>
    <row r="1407" spans="1:10" ht="15.75" customHeight="1">
      <c r="A1407" s="14" t="s">
        <v>10</v>
      </c>
      <c r="B1407" s="15">
        <v>46150</v>
      </c>
      <c r="C1407" s="16" t="s">
        <v>47</v>
      </c>
      <c r="D1407" s="17" t="s">
        <v>46</v>
      </c>
      <c r="E1407" s="18" t="s">
        <v>29</v>
      </c>
      <c r="F1407" s="19">
        <v>2945</v>
      </c>
      <c r="G1407" s="20">
        <v>115</v>
      </c>
      <c r="H1407" s="21">
        <v>83</v>
      </c>
      <c r="I1407" s="22">
        <v>2977</v>
      </c>
      <c r="J1407" s="23">
        <v>72.2</v>
      </c>
    </row>
    <row r="1408" spans="1:10" ht="15.75" customHeight="1">
      <c r="A1408" s="24" t="s">
        <v>10</v>
      </c>
      <c r="B1408" s="25">
        <v>46150</v>
      </c>
      <c r="C1408" s="26" t="s">
        <v>47</v>
      </c>
      <c r="D1408" s="27" t="s">
        <v>46</v>
      </c>
      <c r="E1408" s="28" t="s">
        <v>31</v>
      </c>
      <c r="F1408" s="29">
        <v>3713</v>
      </c>
      <c r="G1408" s="30">
        <v>128</v>
      </c>
      <c r="H1408" s="31">
        <v>100</v>
      </c>
      <c r="I1408" s="32">
        <v>3741</v>
      </c>
      <c r="J1408" s="33">
        <v>78.099999999999994</v>
      </c>
    </row>
    <row r="1409" spans="1:10" ht="15.75" customHeight="1">
      <c r="A1409" s="14" t="s">
        <v>10</v>
      </c>
      <c r="B1409" s="15">
        <v>46150</v>
      </c>
      <c r="C1409" s="16" t="s">
        <v>47</v>
      </c>
      <c r="D1409" s="17" t="s">
        <v>46</v>
      </c>
      <c r="E1409" s="18" t="s">
        <v>33</v>
      </c>
      <c r="F1409" s="19">
        <v>1409</v>
      </c>
      <c r="G1409" s="20">
        <v>99</v>
      </c>
      <c r="H1409" s="21">
        <v>89</v>
      </c>
      <c r="I1409" s="22">
        <v>1419</v>
      </c>
      <c r="J1409" s="35">
        <v>89.9</v>
      </c>
    </row>
    <row r="1410" spans="1:10" ht="15.75" customHeight="1">
      <c r="A1410" s="24" t="s">
        <v>10</v>
      </c>
      <c r="B1410" s="25">
        <v>46150</v>
      </c>
      <c r="C1410" s="26" t="s">
        <v>47</v>
      </c>
      <c r="D1410" s="27" t="s">
        <v>46</v>
      </c>
      <c r="E1410" s="28" t="s">
        <v>36</v>
      </c>
      <c r="F1410" s="29">
        <v>4731</v>
      </c>
      <c r="G1410" s="30">
        <v>105</v>
      </c>
      <c r="H1410" s="31">
        <v>74</v>
      </c>
      <c r="I1410" s="32">
        <v>4762</v>
      </c>
      <c r="J1410" s="34">
        <v>70.5</v>
      </c>
    </row>
    <row r="1411" spans="1:10" ht="15.75" customHeight="1">
      <c r="A1411" s="36" t="s">
        <v>10</v>
      </c>
      <c r="B1411" s="37">
        <v>46151</v>
      </c>
      <c r="C1411" s="38" t="s">
        <v>48</v>
      </c>
      <c r="D1411" s="39" t="s">
        <v>49</v>
      </c>
      <c r="E1411" s="40" t="s">
        <v>26</v>
      </c>
      <c r="F1411" s="41">
        <v>3761</v>
      </c>
      <c r="G1411" s="42">
        <v>72</v>
      </c>
      <c r="H1411" s="43">
        <v>55</v>
      </c>
      <c r="I1411" s="44">
        <v>3778</v>
      </c>
      <c r="J1411" s="45">
        <v>76.400000000000006</v>
      </c>
    </row>
    <row r="1412" spans="1:10" ht="15.75" customHeight="1">
      <c r="A1412" s="36" t="s">
        <v>10</v>
      </c>
      <c r="B1412" s="37">
        <v>46151</v>
      </c>
      <c r="C1412" s="38" t="s">
        <v>48</v>
      </c>
      <c r="D1412" s="39" t="s">
        <v>49</v>
      </c>
      <c r="E1412" s="40" t="s">
        <v>27</v>
      </c>
      <c r="F1412" s="41">
        <v>2716</v>
      </c>
      <c r="G1412" s="42">
        <v>42</v>
      </c>
      <c r="H1412" s="43">
        <v>30</v>
      </c>
      <c r="I1412" s="44">
        <v>2728</v>
      </c>
      <c r="J1412" s="46">
        <v>71.400000000000006</v>
      </c>
    </row>
    <row r="1413" spans="1:10" ht="15.75" customHeight="1">
      <c r="A1413" s="36" t="s">
        <v>10</v>
      </c>
      <c r="B1413" s="37">
        <v>46151</v>
      </c>
      <c r="C1413" s="38" t="s">
        <v>48</v>
      </c>
      <c r="D1413" s="39" t="s">
        <v>49</v>
      </c>
      <c r="E1413" s="40" t="s">
        <v>30</v>
      </c>
      <c r="F1413" s="41">
        <v>4359</v>
      </c>
      <c r="G1413" s="42">
        <v>63</v>
      </c>
      <c r="H1413" s="43">
        <v>38</v>
      </c>
      <c r="I1413" s="44">
        <v>4384</v>
      </c>
      <c r="J1413" s="46">
        <v>60.3</v>
      </c>
    </row>
    <row r="1414" spans="1:10" ht="15.75" customHeight="1">
      <c r="A1414" s="36" t="s">
        <v>10</v>
      </c>
      <c r="B1414" s="37">
        <v>46151</v>
      </c>
      <c r="C1414" s="38" t="s">
        <v>48</v>
      </c>
      <c r="D1414" s="39" t="s">
        <v>49</v>
      </c>
      <c r="E1414" s="40" t="s">
        <v>32</v>
      </c>
      <c r="F1414" s="41">
        <v>1935</v>
      </c>
      <c r="G1414" s="42">
        <v>30</v>
      </c>
      <c r="H1414" s="43">
        <v>25</v>
      </c>
      <c r="I1414" s="44">
        <v>1940</v>
      </c>
      <c r="J1414" s="45">
        <v>83.3</v>
      </c>
    </row>
    <row r="1415" spans="1:10" ht="15.75" customHeight="1">
      <c r="A1415" s="36" t="s">
        <v>10</v>
      </c>
      <c r="B1415" s="37">
        <v>46151</v>
      </c>
      <c r="C1415" s="38" t="s">
        <v>48</v>
      </c>
      <c r="D1415" s="39" t="s">
        <v>49</v>
      </c>
      <c r="E1415" s="40" t="s">
        <v>34</v>
      </c>
      <c r="F1415" s="41">
        <v>4543</v>
      </c>
      <c r="G1415" s="42">
        <v>50</v>
      </c>
      <c r="H1415" s="43">
        <v>35</v>
      </c>
      <c r="I1415" s="44">
        <v>4558</v>
      </c>
      <c r="J1415" s="46">
        <v>70</v>
      </c>
    </row>
    <row r="1416" spans="1:10" ht="15.75" customHeight="1">
      <c r="A1416" s="36" t="s">
        <v>10</v>
      </c>
      <c r="B1416" s="37">
        <v>46151</v>
      </c>
      <c r="C1416" s="38" t="s">
        <v>48</v>
      </c>
      <c r="D1416" s="39" t="s">
        <v>49</v>
      </c>
      <c r="E1416" s="40" t="s">
        <v>25</v>
      </c>
      <c r="F1416" s="41">
        <v>2369</v>
      </c>
      <c r="G1416" s="42">
        <v>21</v>
      </c>
      <c r="H1416" s="43">
        <v>14</v>
      </c>
      <c r="I1416" s="44">
        <v>2376</v>
      </c>
      <c r="J1416" s="46">
        <v>66.7</v>
      </c>
    </row>
    <row r="1417" spans="1:10" ht="15.75" customHeight="1">
      <c r="A1417" s="36" t="s">
        <v>10</v>
      </c>
      <c r="B1417" s="37">
        <v>46151</v>
      </c>
      <c r="C1417" s="38" t="s">
        <v>48</v>
      </c>
      <c r="D1417" s="39" t="s">
        <v>49</v>
      </c>
      <c r="E1417" s="40" t="s">
        <v>35</v>
      </c>
      <c r="F1417" s="41">
        <v>2526</v>
      </c>
      <c r="G1417" s="42">
        <v>50</v>
      </c>
      <c r="H1417" s="43">
        <v>36</v>
      </c>
      <c r="I1417" s="44">
        <v>2540</v>
      </c>
      <c r="J1417" s="46">
        <v>72</v>
      </c>
    </row>
    <row r="1418" spans="1:10" ht="15.75" customHeight="1">
      <c r="A1418" s="36" t="s">
        <v>10</v>
      </c>
      <c r="B1418" s="37">
        <v>46151</v>
      </c>
      <c r="C1418" s="38" t="s">
        <v>48</v>
      </c>
      <c r="D1418" s="39" t="s">
        <v>49</v>
      </c>
      <c r="E1418" s="40" t="s">
        <v>29</v>
      </c>
      <c r="F1418" s="41">
        <v>2977</v>
      </c>
      <c r="G1418" s="42">
        <v>44</v>
      </c>
      <c r="H1418" s="43">
        <v>34</v>
      </c>
      <c r="I1418" s="44">
        <v>2987</v>
      </c>
      <c r="J1418" s="45">
        <v>77.3</v>
      </c>
    </row>
    <row r="1419" spans="1:10" ht="15.75" customHeight="1">
      <c r="A1419" s="36" t="s">
        <v>10</v>
      </c>
      <c r="B1419" s="37">
        <v>46151</v>
      </c>
      <c r="C1419" s="38" t="s">
        <v>48</v>
      </c>
      <c r="D1419" s="39" t="s">
        <v>49</v>
      </c>
      <c r="E1419" s="40" t="s">
        <v>31</v>
      </c>
      <c r="F1419" s="41">
        <v>3741</v>
      </c>
      <c r="G1419" s="42">
        <v>57</v>
      </c>
      <c r="H1419" s="43">
        <v>42</v>
      </c>
      <c r="I1419" s="44">
        <v>3756</v>
      </c>
      <c r="J1419" s="46">
        <v>73.7</v>
      </c>
    </row>
    <row r="1420" spans="1:10" ht="15.75" customHeight="1">
      <c r="A1420" s="36" t="s">
        <v>10</v>
      </c>
      <c r="B1420" s="37">
        <v>46151</v>
      </c>
      <c r="C1420" s="38" t="s">
        <v>48</v>
      </c>
      <c r="D1420" s="39" t="s">
        <v>49</v>
      </c>
      <c r="E1420" s="40" t="s">
        <v>33</v>
      </c>
      <c r="F1420" s="41">
        <v>1419</v>
      </c>
      <c r="G1420" s="42">
        <v>26</v>
      </c>
      <c r="H1420" s="43">
        <v>21</v>
      </c>
      <c r="I1420" s="44">
        <v>1424</v>
      </c>
      <c r="J1420" s="45">
        <v>80.8</v>
      </c>
    </row>
    <row r="1421" spans="1:10" ht="15.75" customHeight="1">
      <c r="A1421" s="36" t="s">
        <v>10</v>
      </c>
      <c r="B1421" s="37">
        <v>46151</v>
      </c>
      <c r="C1421" s="38" t="s">
        <v>48</v>
      </c>
      <c r="D1421" s="39" t="s">
        <v>49</v>
      </c>
      <c r="E1421" s="40" t="s">
        <v>36</v>
      </c>
      <c r="F1421" s="41">
        <v>4762</v>
      </c>
      <c r="G1421" s="42">
        <v>71</v>
      </c>
      <c r="H1421" s="43">
        <v>49</v>
      </c>
      <c r="I1421" s="44">
        <v>4784</v>
      </c>
      <c r="J1421" s="46">
        <v>69</v>
      </c>
    </row>
    <row r="1422" spans="1:10" ht="15.75" customHeight="1">
      <c r="A1422" s="36" t="s">
        <v>10</v>
      </c>
      <c r="B1422" s="37">
        <v>46152</v>
      </c>
      <c r="C1422" s="38" t="s">
        <v>50</v>
      </c>
      <c r="D1422" s="39" t="s">
        <v>49</v>
      </c>
      <c r="E1422" s="40" t="s">
        <v>26</v>
      </c>
      <c r="F1422" s="41">
        <v>3778</v>
      </c>
      <c r="G1422" s="42">
        <v>71</v>
      </c>
      <c r="H1422" s="43">
        <v>56</v>
      </c>
      <c r="I1422" s="44">
        <v>3793</v>
      </c>
      <c r="J1422" s="45">
        <v>78.900000000000006</v>
      </c>
    </row>
    <row r="1423" spans="1:10" ht="15.75" customHeight="1">
      <c r="A1423" s="36" t="s">
        <v>10</v>
      </c>
      <c r="B1423" s="37">
        <v>46152</v>
      </c>
      <c r="C1423" s="38" t="s">
        <v>50</v>
      </c>
      <c r="D1423" s="39" t="s">
        <v>49</v>
      </c>
      <c r="E1423" s="40" t="s">
        <v>27</v>
      </c>
      <c r="F1423" s="41">
        <v>2728</v>
      </c>
      <c r="G1423" s="42">
        <v>43</v>
      </c>
      <c r="H1423" s="43">
        <v>37</v>
      </c>
      <c r="I1423" s="44">
        <v>2734</v>
      </c>
      <c r="J1423" s="45">
        <v>86</v>
      </c>
    </row>
    <row r="1424" spans="1:10" ht="15.75" customHeight="1">
      <c r="A1424" s="36" t="s">
        <v>10</v>
      </c>
      <c r="B1424" s="37">
        <v>46152</v>
      </c>
      <c r="C1424" s="38" t="s">
        <v>50</v>
      </c>
      <c r="D1424" s="39" t="s">
        <v>49</v>
      </c>
      <c r="E1424" s="40" t="s">
        <v>30</v>
      </c>
      <c r="F1424" s="41">
        <v>4384</v>
      </c>
      <c r="G1424" s="42">
        <v>73</v>
      </c>
      <c r="H1424" s="43">
        <v>47</v>
      </c>
      <c r="I1424" s="44">
        <v>4410</v>
      </c>
      <c r="J1424" s="46">
        <v>64.400000000000006</v>
      </c>
    </row>
    <row r="1425" spans="1:10" ht="15.75" customHeight="1">
      <c r="A1425" s="36" t="s">
        <v>10</v>
      </c>
      <c r="B1425" s="37">
        <v>46152</v>
      </c>
      <c r="C1425" s="38" t="s">
        <v>50</v>
      </c>
      <c r="D1425" s="39" t="s">
        <v>49</v>
      </c>
      <c r="E1425" s="40" t="s">
        <v>32</v>
      </c>
      <c r="F1425" s="41">
        <v>1940</v>
      </c>
      <c r="G1425" s="42">
        <v>38</v>
      </c>
      <c r="H1425" s="43">
        <v>35</v>
      </c>
      <c r="I1425" s="44">
        <v>1943</v>
      </c>
      <c r="J1425" s="45">
        <v>92.1</v>
      </c>
    </row>
    <row r="1426" spans="1:10" ht="15.75" customHeight="1">
      <c r="A1426" s="36" t="s">
        <v>10</v>
      </c>
      <c r="B1426" s="37">
        <v>46152</v>
      </c>
      <c r="C1426" s="38" t="s">
        <v>50</v>
      </c>
      <c r="D1426" s="39" t="s">
        <v>49</v>
      </c>
      <c r="E1426" s="40" t="s">
        <v>34</v>
      </c>
      <c r="F1426" s="41">
        <v>4558</v>
      </c>
      <c r="G1426" s="42">
        <v>80</v>
      </c>
      <c r="H1426" s="43">
        <v>57</v>
      </c>
      <c r="I1426" s="44">
        <v>4581</v>
      </c>
      <c r="J1426" s="46">
        <v>71.2</v>
      </c>
    </row>
    <row r="1427" spans="1:10" ht="15.75" customHeight="1">
      <c r="A1427" s="36" t="s">
        <v>10</v>
      </c>
      <c r="B1427" s="37">
        <v>46152</v>
      </c>
      <c r="C1427" s="38" t="s">
        <v>50</v>
      </c>
      <c r="D1427" s="39" t="s">
        <v>49</v>
      </c>
      <c r="E1427" s="40" t="s">
        <v>25</v>
      </c>
      <c r="F1427" s="41">
        <v>2376</v>
      </c>
      <c r="G1427" s="42">
        <v>49</v>
      </c>
      <c r="H1427" s="43">
        <v>37</v>
      </c>
      <c r="I1427" s="44">
        <v>2388</v>
      </c>
      <c r="J1427" s="45">
        <v>75.5</v>
      </c>
    </row>
    <row r="1428" spans="1:10" ht="15.75" customHeight="1">
      <c r="A1428" s="36" t="s">
        <v>10</v>
      </c>
      <c r="B1428" s="37">
        <v>46152</v>
      </c>
      <c r="C1428" s="38" t="s">
        <v>50</v>
      </c>
      <c r="D1428" s="39" t="s">
        <v>49</v>
      </c>
      <c r="E1428" s="40" t="s">
        <v>35</v>
      </c>
      <c r="F1428" s="41">
        <v>2540</v>
      </c>
      <c r="G1428" s="42">
        <v>30</v>
      </c>
      <c r="H1428" s="43">
        <v>27</v>
      </c>
      <c r="I1428" s="44">
        <v>2543</v>
      </c>
      <c r="J1428" s="45">
        <v>90</v>
      </c>
    </row>
    <row r="1429" spans="1:10" ht="15.75" customHeight="1">
      <c r="A1429" s="36" t="s">
        <v>10</v>
      </c>
      <c r="B1429" s="37">
        <v>46152</v>
      </c>
      <c r="C1429" s="38" t="s">
        <v>50</v>
      </c>
      <c r="D1429" s="39" t="s">
        <v>49</v>
      </c>
      <c r="E1429" s="40" t="s">
        <v>29</v>
      </c>
      <c r="F1429" s="41">
        <v>2987</v>
      </c>
      <c r="G1429" s="42">
        <v>55</v>
      </c>
      <c r="H1429" s="43">
        <v>40</v>
      </c>
      <c r="I1429" s="44">
        <v>3002</v>
      </c>
      <c r="J1429" s="46">
        <v>72.7</v>
      </c>
    </row>
    <row r="1430" spans="1:10" ht="15.75" customHeight="1">
      <c r="A1430" s="36" t="s">
        <v>10</v>
      </c>
      <c r="B1430" s="37">
        <v>46152</v>
      </c>
      <c r="C1430" s="38" t="s">
        <v>50</v>
      </c>
      <c r="D1430" s="39" t="s">
        <v>49</v>
      </c>
      <c r="E1430" s="40" t="s">
        <v>31</v>
      </c>
      <c r="F1430" s="41">
        <v>3756</v>
      </c>
      <c r="G1430" s="42">
        <v>77</v>
      </c>
      <c r="H1430" s="43">
        <v>54</v>
      </c>
      <c r="I1430" s="44">
        <v>3779</v>
      </c>
      <c r="J1430" s="46">
        <v>70.099999999999994</v>
      </c>
    </row>
    <row r="1431" spans="1:10" ht="15.75" customHeight="1">
      <c r="A1431" s="36" t="s">
        <v>10</v>
      </c>
      <c r="B1431" s="37">
        <v>46152</v>
      </c>
      <c r="C1431" s="38" t="s">
        <v>50</v>
      </c>
      <c r="D1431" s="39" t="s">
        <v>49</v>
      </c>
      <c r="E1431" s="40" t="s">
        <v>33</v>
      </c>
      <c r="F1431" s="41">
        <v>1424</v>
      </c>
      <c r="G1431" s="42">
        <v>24</v>
      </c>
      <c r="H1431" s="43">
        <v>21</v>
      </c>
      <c r="I1431" s="44">
        <v>1427</v>
      </c>
      <c r="J1431" s="45">
        <v>87.5</v>
      </c>
    </row>
    <row r="1432" spans="1:10" ht="15.75" customHeight="1">
      <c r="A1432" s="36" t="s">
        <v>10</v>
      </c>
      <c r="B1432" s="37">
        <v>46152</v>
      </c>
      <c r="C1432" s="38" t="s">
        <v>50</v>
      </c>
      <c r="D1432" s="39" t="s">
        <v>49</v>
      </c>
      <c r="E1432" s="40" t="s">
        <v>36</v>
      </c>
      <c r="F1432" s="41">
        <v>4784</v>
      </c>
      <c r="G1432" s="42">
        <v>60</v>
      </c>
      <c r="H1432" s="43">
        <v>45</v>
      </c>
      <c r="I1432" s="44">
        <v>4799</v>
      </c>
      <c r="J1432" s="45">
        <v>75</v>
      </c>
    </row>
    <row r="1433" spans="1:10" ht="15.75" customHeight="1">
      <c r="A1433" s="14" t="s">
        <v>10</v>
      </c>
      <c r="B1433" s="15">
        <v>46153</v>
      </c>
      <c r="C1433" s="16" t="s">
        <v>51</v>
      </c>
      <c r="D1433" s="17" t="s">
        <v>46</v>
      </c>
      <c r="E1433" s="18" t="s">
        <v>26</v>
      </c>
      <c r="F1433" s="19">
        <v>3793</v>
      </c>
      <c r="G1433" s="20">
        <v>93</v>
      </c>
      <c r="H1433" s="21">
        <v>67</v>
      </c>
      <c r="I1433" s="22">
        <v>3819</v>
      </c>
      <c r="J1433" s="23">
        <v>72</v>
      </c>
    </row>
    <row r="1434" spans="1:10" ht="15.75" customHeight="1">
      <c r="A1434" s="24" t="s">
        <v>10</v>
      </c>
      <c r="B1434" s="25">
        <v>46153</v>
      </c>
      <c r="C1434" s="26" t="s">
        <v>51</v>
      </c>
      <c r="D1434" s="27" t="s">
        <v>46</v>
      </c>
      <c r="E1434" s="28" t="s">
        <v>27</v>
      </c>
      <c r="F1434" s="29">
        <v>2734</v>
      </c>
      <c r="G1434" s="30">
        <v>94</v>
      </c>
      <c r="H1434" s="31">
        <v>83</v>
      </c>
      <c r="I1434" s="32">
        <v>2745</v>
      </c>
      <c r="J1434" s="33">
        <v>88.3</v>
      </c>
    </row>
    <row r="1435" spans="1:10" ht="15.75" customHeight="1">
      <c r="A1435" s="14" t="s">
        <v>10</v>
      </c>
      <c r="B1435" s="15">
        <v>46153</v>
      </c>
      <c r="C1435" s="16" t="s">
        <v>51</v>
      </c>
      <c r="D1435" s="17" t="s">
        <v>46</v>
      </c>
      <c r="E1435" s="18" t="s">
        <v>30</v>
      </c>
      <c r="F1435" s="19">
        <v>4410</v>
      </c>
      <c r="G1435" s="20">
        <v>135</v>
      </c>
      <c r="H1435" s="21">
        <v>99</v>
      </c>
      <c r="I1435" s="22">
        <v>4446</v>
      </c>
      <c r="J1435" s="23">
        <v>73.3</v>
      </c>
    </row>
    <row r="1436" spans="1:10" ht="15.75" customHeight="1">
      <c r="A1436" s="24" t="s">
        <v>10</v>
      </c>
      <c r="B1436" s="25">
        <v>46153</v>
      </c>
      <c r="C1436" s="26" t="s">
        <v>51</v>
      </c>
      <c r="D1436" s="27" t="s">
        <v>46</v>
      </c>
      <c r="E1436" s="28" t="s">
        <v>32</v>
      </c>
      <c r="F1436" s="29">
        <v>1943</v>
      </c>
      <c r="G1436" s="30">
        <v>78</v>
      </c>
      <c r="H1436" s="31">
        <v>67</v>
      </c>
      <c r="I1436" s="32">
        <v>1954</v>
      </c>
      <c r="J1436" s="33">
        <v>85.9</v>
      </c>
    </row>
    <row r="1437" spans="1:10" ht="15.75" customHeight="1">
      <c r="A1437" s="14" t="s">
        <v>10</v>
      </c>
      <c r="B1437" s="15">
        <v>46153</v>
      </c>
      <c r="C1437" s="16" t="s">
        <v>51</v>
      </c>
      <c r="D1437" s="17" t="s">
        <v>46</v>
      </c>
      <c r="E1437" s="18" t="s">
        <v>34</v>
      </c>
      <c r="F1437" s="19">
        <v>4581</v>
      </c>
      <c r="G1437" s="20">
        <v>102</v>
      </c>
      <c r="H1437" s="21">
        <v>75</v>
      </c>
      <c r="I1437" s="22">
        <v>4608</v>
      </c>
      <c r="J1437" s="23">
        <v>73.5</v>
      </c>
    </row>
    <row r="1438" spans="1:10" ht="15.75" customHeight="1">
      <c r="A1438" s="24" t="s">
        <v>10</v>
      </c>
      <c r="B1438" s="25">
        <v>46153</v>
      </c>
      <c r="C1438" s="26" t="s">
        <v>51</v>
      </c>
      <c r="D1438" s="27" t="s">
        <v>46</v>
      </c>
      <c r="E1438" s="28" t="s">
        <v>25</v>
      </c>
      <c r="F1438" s="29">
        <v>2388</v>
      </c>
      <c r="G1438" s="30">
        <v>67</v>
      </c>
      <c r="H1438" s="31">
        <v>45</v>
      </c>
      <c r="I1438" s="32">
        <v>2410</v>
      </c>
      <c r="J1438" s="34">
        <v>67.2</v>
      </c>
    </row>
    <row r="1439" spans="1:10" ht="15.75" customHeight="1">
      <c r="A1439" s="14" t="s">
        <v>10</v>
      </c>
      <c r="B1439" s="15">
        <v>46153</v>
      </c>
      <c r="C1439" s="16" t="s">
        <v>51</v>
      </c>
      <c r="D1439" s="17" t="s">
        <v>46</v>
      </c>
      <c r="E1439" s="18" t="s">
        <v>35</v>
      </c>
      <c r="F1439" s="19">
        <v>2543</v>
      </c>
      <c r="G1439" s="20">
        <v>81</v>
      </c>
      <c r="H1439" s="21">
        <v>73</v>
      </c>
      <c r="I1439" s="22">
        <v>2551</v>
      </c>
      <c r="J1439" s="35">
        <v>90.1</v>
      </c>
    </row>
    <row r="1440" spans="1:10" ht="15.75" customHeight="1">
      <c r="A1440" s="24" t="s">
        <v>10</v>
      </c>
      <c r="B1440" s="25">
        <v>46153</v>
      </c>
      <c r="C1440" s="26" t="s">
        <v>51</v>
      </c>
      <c r="D1440" s="27" t="s">
        <v>46</v>
      </c>
      <c r="E1440" s="28" t="s">
        <v>29</v>
      </c>
      <c r="F1440" s="29">
        <v>3002</v>
      </c>
      <c r="G1440" s="30">
        <v>118</v>
      </c>
      <c r="H1440" s="31">
        <v>86</v>
      </c>
      <c r="I1440" s="32">
        <v>3034</v>
      </c>
      <c r="J1440" s="34">
        <v>72.900000000000006</v>
      </c>
    </row>
    <row r="1441" spans="1:10" ht="15.75" customHeight="1">
      <c r="A1441" s="14" t="s">
        <v>10</v>
      </c>
      <c r="B1441" s="15">
        <v>46153</v>
      </c>
      <c r="C1441" s="16" t="s">
        <v>51</v>
      </c>
      <c r="D1441" s="17" t="s">
        <v>46</v>
      </c>
      <c r="E1441" s="18" t="s">
        <v>31</v>
      </c>
      <c r="F1441" s="19">
        <v>3779</v>
      </c>
      <c r="G1441" s="20">
        <v>114</v>
      </c>
      <c r="H1441" s="21">
        <v>91</v>
      </c>
      <c r="I1441" s="22">
        <v>3802</v>
      </c>
      <c r="J1441" s="35">
        <v>79.8</v>
      </c>
    </row>
    <row r="1442" spans="1:10" ht="15.75" customHeight="1">
      <c r="A1442" s="24" t="s">
        <v>10</v>
      </c>
      <c r="B1442" s="25">
        <v>46153</v>
      </c>
      <c r="C1442" s="26" t="s">
        <v>51</v>
      </c>
      <c r="D1442" s="27" t="s">
        <v>46</v>
      </c>
      <c r="E1442" s="28" t="s">
        <v>33</v>
      </c>
      <c r="F1442" s="29">
        <v>1427</v>
      </c>
      <c r="G1442" s="30">
        <v>77</v>
      </c>
      <c r="H1442" s="31">
        <v>67</v>
      </c>
      <c r="I1442" s="32">
        <v>1437</v>
      </c>
      <c r="J1442" s="33">
        <v>87</v>
      </c>
    </row>
    <row r="1443" spans="1:10" ht="15.75" customHeight="1">
      <c r="A1443" s="14" t="s">
        <v>10</v>
      </c>
      <c r="B1443" s="15">
        <v>46153</v>
      </c>
      <c r="C1443" s="16" t="s">
        <v>51</v>
      </c>
      <c r="D1443" s="17" t="s">
        <v>46</v>
      </c>
      <c r="E1443" s="18" t="s">
        <v>36</v>
      </c>
      <c r="F1443" s="19">
        <v>4799</v>
      </c>
      <c r="G1443" s="20">
        <v>119</v>
      </c>
      <c r="H1443" s="21">
        <v>91</v>
      </c>
      <c r="I1443" s="22">
        <v>4827</v>
      </c>
      <c r="J1443" s="35">
        <v>76.5</v>
      </c>
    </row>
    <row r="1444" spans="1:10" ht="15.75" customHeight="1">
      <c r="A1444" s="24" t="s">
        <v>10</v>
      </c>
      <c r="B1444" s="25">
        <v>46154</v>
      </c>
      <c r="C1444" s="26" t="s">
        <v>52</v>
      </c>
      <c r="D1444" s="27" t="s">
        <v>46</v>
      </c>
      <c r="E1444" s="28" t="s">
        <v>26</v>
      </c>
      <c r="F1444" s="29">
        <v>3819</v>
      </c>
      <c r="G1444" s="30">
        <v>126</v>
      </c>
      <c r="H1444" s="31">
        <v>104</v>
      </c>
      <c r="I1444" s="32">
        <v>3841</v>
      </c>
      <c r="J1444" s="33">
        <v>82.5</v>
      </c>
    </row>
    <row r="1445" spans="1:10" ht="15.75" customHeight="1">
      <c r="A1445" s="14" t="s">
        <v>10</v>
      </c>
      <c r="B1445" s="15">
        <v>46154</v>
      </c>
      <c r="C1445" s="16" t="s">
        <v>52</v>
      </c>
      <c r="D1445" s="17" t="s">
        <v>46</v>
      </c>
      <c r="E1445" s="18" t="s">
        <v>27</v>
      </c>
      <c r="F1445" s="19">
        <v>2745</v>
      </c>
      <c r="G1445" s="20">
        <v>78</v>
      </c>
      <c r="H1445" s="21">
        <v>56</v>
      </c>
      <c r="I1445" s="22">
        <v>2767</v>
      </c>
      <c r="J1445" s="23">
        <v>71.8</v>
      </c>
    </row>
    <row r="1446" spans="1:10" ht="15.75" customHeight="1">
      <c r="A1446" s="24" t="s">
        <v>10</v>
      </c>
      <c r="B1446" s="25">
        <v>46154</v>
      </c>
      <c r="C1446" s="26" t="s">
        <v>52</v>
      </c>
      <c r="D1446" s="27" t="s">
        <v>46</v>
      </c>
      <c r="E1446" s="28" t="s">
        <v>30</v>
      </c>
      <c r="F1446" s="29">
        <v>4446</v>
      </c>
      <c r="G1446" s="30">
        <v>127</v>
      </c>
      <c r="H1446" s="31">
        <v>86</v>
      </c>
      <c r="I1446" s="32">
        <v>4487</v>
      </c>
      <c r="J1446" s="34">
        <v>67.7</v>
      </c>
    </row>
    <row r="1447" spans="1:10" ht="15.75" customHeight="1">
      <c r="A1447" s="14" t="s">
        <v>10</v>
      </c>
      <c r="B1447" s="15">
        <v>46154</v>
      </c>
      <c r="C1447" s="16" t="s">
        <v>52</v>
      </c>
      <c r="D1447" s="17" t="s">
        <v>46</v>
      </c>
      <c r="E1447" s="18" t="s">
        <v>32</v>
      </c>
      <c r="F1447" s="19">
        <v>1954</v>
      </c>
      <c r="G1447" s="20">
        <v>107</v>
      </c>
      <c r="H1447" s="21">
        <v>93</v>
      </c>
      <c r="I1447" s="22">
        <v>1968</v>
      </c>
      <c r="J1447" s="35">
        <v>86.9</v>
      </c>
    </row>
    <row r="1448" spans="1:10" ht="15.75" customHeight="1">
      <c r="A1448" s="24" t="s">
        <v>10</v>
      </c>
      <c r="B1448" s="25">
        <v>46154</v>
      </c>
      <c r="C1448" s="26" t="s">
        <v>52</v>
      </c>
      <c r="D1448" s="27" t="s">
        <v>46</v>
      </c>
      <c r="E1448" s="28" t="s">
        <v>34</v>
      </c>
      <c r="F1448" s="29">
        <v>4608</v>
      </c>
      <c r="G1448" s="30">
        <v>122</v>
      </c>
      <c r="H1448" s="31">
        <v>81</v>
      </c>
      <c r="I1448" s="32">
        <v>4649</v>
      </c>
      <c r="J1448" s="34">
        <v>66.400000000000006</v>
      </c>
    </row>
    <row r="1449" spans="1:10" ht="15.75" customHeight="1">
      <c r="A1449" s="14" t="s">
        <v>10</v>
      </c>
      <c r="B1449" s="15">
        <v>46154</v>
      </c>
      <c r="C1449" s="16" t="s">
        <v>52</v>
      </c>
      <c r="D1449" s="17" t="s">
        <v>46</v>
      </c>
      <c r="E1449" s="18" t="s">
        <v>25</v>
      </c>
      <c r="F1449" s="19">
        <v>2410</v>
      </c>
      <c r="G1449" s="20">
        <v>58</v>
      </c>
      <c r="H1449" s="21">
        <v>51</v>
      </c>
      <c r="I1449" s="22">
        <v>2417</v>
      </c>
      <c r="J1449" s="35">
        <v>87.9</v>
      </c>
    </row>
    <row r="1450" spans="1:10" ht="15.75" customHeight="1">
      <c r="A1450" s="24" t="s">
        <v>10</v>
      </c>
      <c r="B1450" s="25">
        <v>46154</v>
      </c>
      <c r="C1450" s="26" t="s">
        <v>52</v>
      </c>
      <c r="D1450" s="27" t="s">
        <v>46</v>
      </c>
      <c r="E1450" s="28" t="s">
        <v>35</v>
      </c>
      <c r="F1450" s="29">
        <v>2551</v>
      </c>
      <c r="G1450" s="30">
        <v>121</v>
      </c>
      <c r="H1450" s="31">
        <v>103</v>
      </c>
      <c r="I1450" s="32">
        <v>2569</v>
      </c>
      <c r="J1450" s="33">
        <v>85.1</v>
      </c>
    </row>
    <row r="1451" spans="1:10" ht="15.75" customHeight="1">
      <c r="A1451" s="14" t="s">
        <v>10</v>
      </c>
      <c r="B1451" s="15">
        <v>46154</v>
      </c>
      <c r="C1451" s="16" t="s">
        <v>52</v>
      </c>
      <c r="D1451" s="17" t="s">
        <v>46</v>
      </c>
      <c r="E1451" s="18" t="s">
        <v>29</v>
      </c>
      <c r="F1451" s="19">
        <v>3034</v>
      </c>
      <c r="G1451" s="20">
        <v>97</v>
      </c>
      <c r="H1451" s="21">
        <v>72</v>
      </c>
      <c r="I1451" s="22">
        <v>3059</v>
      </c>
      <c r="J1451" s="23">
        <v>74.2</v>
      </c>
    </row>
    <row r="1452" spans="1:10" ht="15.75" customHeight="1">
      <c r="A1452" s="24" t="s">
        <v>10</v>
      </c>
      <c r="B1452" s="25">
        <v>46154</v>
      </c>
      <c r="C1452" s="26" t="s">
        <v>52</v>
      </c>
      <c r="D1452" s="27" t="s">
        <v>46</v>
      </c>
      <c r="E1452" s="28" t="s">
        <v>31</v>
      </c>
      <c r="F1452" s="29">
        <v>3802</v>
      </c>
      <c r="G1452" s="30">
        <v>106</v>
      </c>
      <c r="H1452" s="31">
        <v>75</v>
      </c>
      <c r="I1452" s="32">
        <v>3833</v>
      </c>
      <c r="J1452" s="34">
        <v>70.8</v>
      </c>
    </row>
    <row r="1453" spans="1:10" ht="15.75" customHeight="1">
      <c r="A1453" s="14" t="s">
        <v>10</v>
      </c>
      <c r="B1453" s="15">
        <v>46154</v>
      </c>
      <c r="C1453" s="16" t="s">
        <v>52</v>
      </c>
      <c r="D1453" s="17" t="s">
        <v>46</v>
      </c>
      <c r="E1453" s="18" t="s">
        <v>33</v>
      </c>
      <c r="F1453" s="19">
        <v>1437</v>
      </c>
      <c r="G1453" s="20">
        <v>85</v>
      </c>
      <c r="H1453" s="21">
        <v>75</v>
      </c>
      <c r="I1453" s="22">
        <v>1447</v>
      </c>
      <c r="J1453" s="35">
        <v>88.2</v>
      </c>
    </row>
    <row r="1454" spans="1:10" ht="15.75" customHeight="1">
      <c r="A1454" s="24" t="s">
        <v>10</v>
      </c>
      <c r="B1454" s="25">
        <v>46154</v>
      </c>
      <c r="C1454" s="26" t="s">
        <v>52</v>
      </c>
      <c r="D1454" s="27" t="s">
        <v>46</v>
      </c>
      <c r="E1454" s="28" t="s">
        <v>36</v>
      </c>
      <c r="F1454" s="29">
        <v>4827</v>
      </c>
      <c r="G1454" s="30">
        <v>138</v>
      </c>
      <c r="H1454" s="31">
        <v>109</v>
      </c>
      <c r="I1454" s="32">
        <v>4856</v>
      </c>
      <c r="J1454" s="33">
        <v>79</v>
      </c>
    </row>
    <row r="1455" spans="1:10" ht="15.75" customHeight="1">
      <c r="A1455" s="14" t="s">
        <v>10</v>
      </c>
      <c r="B1455" s="15">
        <v>46155</v>
      </c>
      <c r="C1455" s="16" t="s">
        <v>53</v>
      </c>
      <c r="D1455" s="17" t="s">
        <v>46</v>
      </c>
      <c r="E1455" s="18" t="s">
        <v>26</v>
      </c>
      <c r="F1455" s="19">
        <v>3841</v>
      </c>
      <c r="G1455" s="20">
        <v>126</v>
      </c>
      <c r="H1455" s="21">
        <v>83</v>
      </c>
      <c r="I1455" s="22">
        <v>3884</v>
      </c>
      <c r="J1455" s="23">
        <v>65.900000000000006</v>
      </c>
    </row>
    <row r="1456" spans="1:10" ht="15.75" customHeight="1">
      <c r="A1456" s="24" t="s">
        <v>10</v>
      </c>
      <c r="B1456" s="25">
        <v>46155</v>
      </c>
      <c r="C1456" s="26" t="s">
        <v>53</v>
      </c>
      <c r="D1456" s="27" t="s">
        <v>46</v>
      </c>
      <c r="E1456" s="28" t="s">
        <v>27</v>
      </c>
      <c r="F1456" s="29">
        <v>2767</v>
      </c>
      <c r="G1456" s="30">
        <v>120</v>
      </c>
      <c r="H1456" s="31">
        <v>96</v>
      </c>
      <c r="I1456" s="32">
        <v>2791</v>
      </c>
      <c r="J1456" s="33">
        <v>80</v>
      </c>
    </row>
    <row r="1457" spans="1:10" ht="15.75" customHeight="1">
      <c r="A1457" s="14" t="s">
        <v>10</v>
      </c>
      <c r="B1457" s="15">
        <v>46155</v>
      </c>
      <c r="C1457" s="16" t="s">
        <v>53</v>
      </c>
      <c r="D1457" s="17" t="s">
        <v>46</v>
      </c>
      <c r="E1457" s="18" t="s">
        <v>30</v>
      </c>
      <c r="F1457" s="19">
        <v>4487</v>
      </c>
      <c r="G1457" s="20">
        <v>91</v>
      </c>
      <c r="H1457" s="21">
        <v>62</v>
      </c>
      <c r="I1457" s="22">
        <v>4516</v>
      </c>
      <c r="J1457" s="23">
        <v>68.099999999999994</v>
      </c>
    </row>
    <row r="1458" spans="1:10" ht="15.75" customHeight="1">
      <c r="A1458" s="24" t="s">
        <v>10</v>
      </c>
      <c r="B1458" s="25">
        <v>46155</v>
      </c>
      <c r="C1458" s="26" t="s">
        <v>53</v>
      </c>
      <c r="D1458" s="27" t="s">
        <v>46</v>
      </c>
      <c r="E1458" s="28" t="s">
        <v>32</v>
      </c>
      <c r="F1458" s="29">
        <v>1968</v>
      </c>
      <c r="G1458" s="30">
        <v>94</v>
      </c>
      <c r="H1458" s="31">
        <v>73</v>
      </c>
      <c r="I1458" s="32">
        <v>1989</v>
      </c>
      <c r="J1458" s="33">
        <v>77.7</v>
      </c>
    </row>
    <row r="1459" spans="1:10" ht="15.75" customHeight="1">
      <c r="A1459" s="14" t="s">
        <v>10</v>
      </c>
      <c r="B1459" s="15">
        <v>46155</v>
      </c>
      <c r="C1459" s="16" t="s">
        <v>53</v>
      </c>
      <c r="D1459" s="17" t="s">
        <v>46</v>
      </c>
      <c r="E1459" s="18" t="s">
        <v>34</v>
      </c>
      <c r="F1459" s="19">
        <v>4649</v>
      </c>
      <c r="G1459" s="20">
        <v>158</v>
      </c>
      <c r="H1459" s="21">
        <v>120</v>
      </c>
      <c r="I1459" s="22">
        <v>4687</v>
      </c>
      <c r="J1459" s="35">
        <v>75.900000000000006</v>
      </c>
    </row>
    <row r="1460" spans="1:10" ht="15.75" customHeight="1">
      <c r="A1460" s="24" t="s">
        <v>10</v>
      </c>
      <c r="B1460" s="25">
        <v>46155</v>
      </c>
      <c r="C1460" s="26" t="s">
        <v>53</v>
      </c>
      <c r="D1460" s="27" t="s">
        <v>46</v>
      </c>
      <c r="E1460" s="28" t="s">
        <v>25</v>
      </c>
      <c r="F1460" s="29">
        <v>2417</v>
      </c>
      <c r="G1460" s="30">
        <v>93</v>
      </c>
      <c r="H1460" s="31">
        <v>71</v>
      </c>
      <c r="I1460" s="32">
        <v>2439</v>
      </c>
      <c r="J1460" s="33">
        <v>76.3</v>
      </c>
    </row>
    <row r="1461" spans="1:10" ht="15.75" customHeight="1">
      <c r="A1461" s="14" t="s">
        <v>10</v>
      </c>
      <c r="B1461" s="15">
        <v>46155</v>
      </c>
      <c r="C1461" s="16" t="s">
        <v>53</v>
      </c>
      <c r="D1461" s="17" t="s">
        <v>46</v>
      </c>
      <c r="E1461" s="18" t="s">
        <v>35</v>
      </c>
      <c r="F1461" s="19">
        <v>2569</v>
      </c>
      <c r="G1461" s="20">
        <v>123</v>
      </c>
      <c r="H1461" s="21">
        <v>108</v>
      </c>
      <c r="I1461" s="22">
        <v>2584</v>
      </c>
      <c r="J1461" s="35">
        <v>87.8</v>
      </c>
    </row>
    <row r="1462" spans="1:10" ht="15.75" customHeight="1">
      <c r="A1462" s="24" t="s">
        <v>10</v>
      </c>
      <c r="B1462" s="25">
        <v>46155</v>
      </c>
      <c r="C1462" s="26" t="s">
        <v>53</v>
      </c>
      <c r="D1462" s="27" t="s">
        <v>46</v>
      </c>
      <c r="E1462" s="28" t="s">
        <v>29</v>
      </c>
      <c r="F1462" s="29">
        <v>3059</v>
      </c>
      <c r="G1462" s="30">
        <v>125</v>
      </c>
      <c r="H1462" s="31">
        <v>93</v>
      </c>
      <c r="I1462" s="32">
        <v>3091</v>
      </c>
      <c r="J1462" s="34">
        <v>74.400000000000006</v>
      </c>
    </row>
    <row r="1463" spans="1:10" ht="15.75" customHeight="1">
      <c r="A1463" s="14" t="s">
        <v>10</v>
      </c>
      <c r="B1463" s="15">
        <v>46155</v>
      </c>
      <c r="C1463" s="16" t="s">
        <v>53</v>
      </c>
      <c r="D1463" s="17" t="s">
        <v>46</v>
      </c>
      <c r="E1463" s="18" t="s">
        <v>31</v>
      </c>
      <c r="F1463" s="19">
        <v>3833</v>
      </c>
      <c r="G1463" s="20">
        <v>98</v>
      </c>
      <c r="H1463" s="21">
        <v>69</v>
      </c>
      <c r="I1463" s="22">
        <v>3862</v>
      </c>
      <c r="J1463" s="23">
        <v>70.400000000000006</v>
      </c>
    </row>
    <row r="1464" spans="1:10" ht="15.75" customHeight="1">
      <c r="A1464" s="24" t="s">
        <v>10</v>
      </c>
      <c r="B1464" s="25">
        <v>46155</v>
      </c>
      <c r="C1464" s="26" t="s">
        <v>53</v>
      </c>
      <c r="D1464" s="27" t="s">
        <v>46</v>
      </c>
      <c r="E1464" s="28" t="s">
        <v>33</v>
      </c>
      <c r="F1464" s="29">
        <v>1447</v>
      </c>
      <c r="G1464" s="30">
        <v>85</v>
      </c>
      <c r="H1464" s="31">
        <v>66</v>
      </c>
      <c r="I1464" s="32">
        <v>1466</v>
      </c>
      <c r="J1464" s="33">
        <v>77.599999999999994</v>
      </c>
    </row>
    <row r="1465" spans="1:10" ht="15.75" customHeight="1">
      <c r="A1465" s="14" t="s">
        <v>10</v>
      </c>
      <c r="B1465" s="15">
        <v>46155</v>
      </c>
      <c r="C1465" s="16" t="s">
        <v>53</v>
      </c>
      <c r="D1465" s="17" t="s">
        <v>46</v>
      </c>
      <c r="E1465" s="18" t="s">
        <v>36</v>
      </c>
      <c r="F1465" s="19">
        <v>4856</v>
      </c>
      <c r="G1465" s="20">
        <v>166</v>
      </c>
      <c r="H1465" s="21">
        <v>121</v>
      </c>
      <c r="I1465" s="22">
        <v>4901</v>
      </c>
      <c r="J1465" s="23">
        <v>72.900000000000006</v>
      </c>
    </row>
    <row r="1466" spans="1:10" ht="15.75" customHeight="1">
      <c r="A1466" s="24" t="s">
        <v>10</v>
      </c>
      <c r="B1466" s="25">
        <v>46156</v>
      </c>
      <c r="C1466" s="26" t="s">
        <v>45</v>
      </c>
      <c r="D1466" s="27" t="s">
        <v>46</v>
      </c>
      <c r="E1466" s="28" t="s">
        <v>26</v>
      </c>
      <c r="F1466" s="29">
        <v>3884</v>
      </c>
      <c r="G1466" s="30">
        <v>97</v>
      </c>
      <c r="H1466" s="31">
        <v>64</v>
      </c>
      <c r="I1466" s="32">
        <v>3917</v>
      </c>
      <c r="J1466" s="34">
        <v>66</v>
      </c>
    </row>
    <row r="1467" spans="1:10" ht="15.75" customHeight="1">
      <c r="A1467" s="14" t="s">
        <v>10</v>
      </c>
      <c r="B1467" s="15">
        <v>46156</v>
      </c>
      <c r="C1467" s="16" t="s">
        <v>45</v>
      </c>
      <c r="D1467" s="17" t="s">
        <v>46</v>
      </c>
      <c r="E1467" s="18" t="s">
        <v>27</v>
      </c>
      <c r="F1467" s="19">
        <v>2791</v>
      </c>
      <c r="G1467" s="20">
        <v>130</v>
      </c>
      <c r="H1467" s="21">
        <v>92</v>
      </c>
      <c r="I1467" s="22">
        <v>2829</v>
      </c>
      <c r="J1467" s="23">
        <v>70.8</v>
      </c>
    </row>
    <row r="1468" spans="1:10" ht="15.75" customHeight="1">
      <c r="A1468" s="24" t="s">
        <v>10</v>
      </c>
      <c r="B1468" s="25">
        <v>46156</v>
      </c>
      <c r="C1468" s="26" t="s">
        <v>45</v>
      </c>
      <c r="D1468" s="27" t="s">
        <v>46</v>
      </c>
      <c r="E1468" s="28" t="s">
        <v>30</v>
      </c>
      <c r="F1468" s="29">
        <v>4516</v>
      </c>
      <c r="G1468" s="30">
        <v>128</v>
      </c>
      <c r="H1468" s="31">
        <v>91</v>
      </c>
      <c r="I1468" s="32">
        <v>4553</v>
      </c>
      <c r="J1468" s="34">
        <v>71.099999999999994</v>
      </c>
    </row>
    <row r="1469" spans="1:10" ht="15.75" customHeight="1">
      <c r="A1469" s="14" t="s">
        <v>10</v>
      </c>
      <c r="B1469" s="15">
        <v>46156</v>
      </c>
      <c r="C1469" s="16" t="s">
        <v>45</v>
      </c>
      <c r="D1469" s="17" t="s">
        <v>46</v>
      </c>
      <c r="E1469" s="18" t="s">
        <v>32</v>
      </c>
      <c r="F1469" s="19">
        <v>1989</v>
      </c>
      <c r="G1469" s="20">
        <v>67</v>
      </c>
      <c r="H1469" s="21">
        <v>51</v>
      </c>
      <c r="I1469" s="22">
        <v>2005</v>
      </c>
      <c r="J1469" s="35">
        <v>76.099999999999994</v>
      </c>
    </row>
    <row r="1470" spans="1:10" ht="15.75" customHeight="1">
      <c r="A1470" s="24" t="s">
        <v>10</v>
      </c>
      <c r="B1470" s="25">
        <v>46156</v>
      </c>
      <c r="C1470" s="26" t="s">
        <v>45</v>
      </c>
      <c r="D1470" s="27" t="s">
        <v>46</v>
      </c>
      <c r="E1470" s="28" t="s">
        <v>34</v>
      </c>
      <c r="F1470" s="29">
        <v>4687</v>
      </c>
      <c r="G1470" s="30">
        <v>130</v>
      </c>
      <c r="H1470" s="31">
        <v>97</v>
      </c>
      <c r="I1470" s="32">
        <v>4720</v>
      </c>
      <c r="J1470" s="34">
        <v>74.599999999999994</v>
      </c>
    </row>
    <row r="1471" spans="1:10" ht="15.75" customHeight="1">
      <c r="A1471" s="14" t="s">
        <v>10</v>
      </c>
      <c r="B1471" s="15">
        <v>46156</v>
      </c>
      <c r="C1471" s="16" t="s">
        <v>45</v>
      </c>
      <c r="D1471" s="17" t="s">
        <v>46</v>
      </c>
      <c r="E1471" s="18" t="s">
        <v>25</v>
      </c>
      <c r="F1471" s="19">
        <v>2439</v>
      </c>
      <c r="G1471" s="20">
        <v>58</v>
      </c>
      <c r="H1471" s="21">
        <v>45</v>
      </c>
      <c r="I1471" s="22">
        <v>2452</v>
      </c>
      <c r="J1471" s="35">
        <v>77.599999999999994</v>
      </c>
    </row>
    <row r="1472" spans="1:10" ht="15.75" customHeight="1">
      <c r="A1472" s="24" t="s">
        <v>10</v>
      </c>
      <c r="B1472" s="25">
        <v>46156</v>
      </c>
      <c r="C1472" s="26" t="s">
        <v>45</v>
      </c>
      <c r="D1472" s="27" t="s">
        <v>46</v>
      </c>
      <c r="E1472" s="28" t="s">
        <v>35</v>
      </c>
      <c r="F1472" s="29">
        <v>2584</v>
      </c>
      <c r="G1472" s="30">
        <v>133</v>
      </c>
      <c r="H1472" s="31">
        <v>106</v>
      </c>
      <c r="I1472" s="32">
        <v>2611</v>
      </c>
      <c r="J1472" s="33">
        <v>79.7</v>
      </c>
    </row>
    <row r="1473" spans="1:10" ht="15.75" customHeight="1">
      <c r="A1473" s="14" t="s">
        <v>10</v>
      </c>
      <c r="B1473" s="15">
        <v>46156</v>
      </c>
      <c r="C1473" s="16" t="s">
        <v>45</v>
      </c>
      <c r="D1473" s="17" t="s">
        <v>46</v>
      </c>
      <c r="E1473" s="18" t="s">
        <v>29</v>
      </c>
      <c r="F1473" s="19">
        <v>3091</v>
      </c>
      <c r="G1473" s="20">
        <v>107</v>
      </c>
      <c r="H1473" s="21">
        <v>92</v>
      </c>
      <c r="I1473" s="22">
        <v>3106</v>
      </c>
      <c r="J1473" s="35">
        <v>86</v>
      </c>
    </row>
    <row r="1474" spans="1:10" ht="15.75" customHeight="1">
      <c r="A1474" s="24" t="s">
        <v>10</v>
      </c>
      <c r="B1474" s="25">
        <v>46156</v>
      </c>
      <c r="C1474" s="26" t="s">
        <v>45</v>
      </c>
      <c r="D1474" s="27" t="s">
        <v>46</v>
      </c>
      <c r="E1474" s="28" t="s">
        <v>31</v>
      </c>
      <c r="F1474" s="29">
        <v>3862</v>
      </c>
      <c r="G1474" s="30">
        <v>154</v>
      </c>
      <c r="H1474" s="31">
        <v>124</v>
      </c>
      <c r="I1474" s="32">
        <v>3892</v>
      </c>
      <c r="J1474" s="33">
        <v>80.5</v>
      </c>
    </row>
    <row r="1475" spans="1:10" ht="15.75" customHeight="1">
      <c r="A1475" s="14" t="s">
        <v>10</v>
      </c>
      <c r="B1475" s="15">
        <v>46156</v>
      </c>
      <c r="C1475" s="16" t="s">
        <v>45</v>
      </c>
      <c r="D1475" s="17" t="s">
        <v>46</v>
      </c>
      <c r="E1475" s="18" t="s">
        <v>33</v>
      </c>
      <c r="F1475" s="19">
        <v>1466</v>
      </c>
      <c r="G1475" s="20">
        <v>92</v>
      </c>
      <c r="H1475" s="21">
        <v>75</v>
      </c>
      <c r="I1475" s="22">
        <v>1483</v>
      </c>
      <c r="J1475" s="35">
        <v>81.5</v>
      </c>
    </row>
    <row r="1476" spans="1:10" ht="15.75" customHeight="1">
      <c r="A1476" s="24" t="s">
        <v>10</v>
      </c>
      <c r="B1476" s="25">
        <v>46156</v>
      </c>
      <c r="C1476" s="26" t="s">
        <v>45</v>
      </c>
      <c r="D1476" s="27" t="s">
        <v>46</v>
      </c>
      <c r="E1476" s="28" t="s">
        <v>36</v>
      </c>
      <c r="F1476" s="29">
        <v>4901</v>
      </c>
      <c r="G1476" s="30">
        <v>148</v>
      </c>
      <c r="H1476" s="31">
        <v>110</v>
      </c>
      <c r="I1476" s="32">
        <v>4939</v>
      </c>
      <c r="J1476" s="34">
        <v>74.3</v>
      </c>
    </row>
    <row r="1477" spans="1:10" ht="15.75" customHeight="1">
      <c r="A1477" s="14" t="s">
        <v>10</v>
      </c>
      <c r="B1477" s="15">
        <v>46157</v>
      </c>
      <c r="C1477" s="16" t="s">
        <v>47</v>
      </c>
      <c r="D1477" s="17" t="s">
        <v>46</v>
      </c>
      <c r="E1477" s="18" t="s">
        <v>26</v>
      </c>
      <c r="F1477" s="19">
        <v>3917</v>
      </c>
      <c r="G1477" s="20">
        <v>136</v>
      </c>
      <c r="H1477" s="21">
        <v>102</v>
      </c>
      <c r="I1477" s="22">
        <v>3951</v>
      </c>
      <c r="J1477" s="35">
        <v>75</v>
      </c>
    </row>
    <row r="1478" spans="1:10" ht="15.75" customHeight="1">
      <c r="A1478" s="24" t="s">
        <v>10</v>
      </c>
      <c r="B1478" s="25">
        <v>46157</v>
      </c>
      <c r="C1478" s="26" t="s">
        <v>47</v>
      </c>
      <c r="D1478" s="27" t="s">
        <v>46</v>
      </c>
      <c r="E1478" s="28" t="s">
        <v>27</v>
      </c>
      <c r="F1478" s="29">
        <v>2829</v>
      </c>
      <c r="G1478" s="30">
        <v>130</v>
      </c>
      <c r="H1478" s="31">
        <v>98</v>
      </c>
      <c r="I1478" s="32">
        <v>2861</v>
      </c>
      <c r="J1478" s="33">
        <v>75.400000000000006</v>
      </c>
    </row>
    <row r="1479" spans="1:10" ht="15.75" customHeight="1">
      <c r="A1479" s="14" t="s">
        <v>10</v>
      </c>
      <c r="B1479" s="15">
        <v>46157</v>
      </c>
      <c r="C1479" s="16" t="s">
        <v>47</v>
      </c>
      <c r="D1479" s="17" t="s">
        <v>46</v>
      </c>
      <c r="E1479" s="18" t="s">
        <v>30</v>
      </c>
      <c r="F1479" s="19">
        <v>4553</v>
      </c>
      <c r="G1479" s="20">
        <v>136</v>
      </c>
      <c r="H1479" s="21">
        <v>84</v>
      </c>
      <c r="I1479" s="22">
        <v>4605</v>
      </c>
      <c r="J1479" s="23">
        <v>61.8</v>
      </c>
    </row>
    <row r="1480" spans="1:10" ht="15.75" customHeight="1">
      <c r="A1480" s="24" t="s">
        <v>10</v>
      </c>
      <c r="B1480" s="25">
        <v>46157</v>
      </c>
      <c r="C1480" s="26" t="s">
        <v>47</v>
      </c>
      <c r="D1480" s="27" t="s">
        <v>46</v>
      </c>
      <c r="E1480" s="28" t="s">
        <v>32</v>
      </c>
      <c r="F1480" s="29">
        <v>2005</v>
      </c>
      <c r="G1480" s="30">
        <v>103</v>
      </c>
      <c r="H1480" s="31">
        <v>88</v>
      </c>
      <c r="I1480" s="32">
        <v>2020</v>
      </c>
      <c r="J1480" s="33">
        <v>85.4</v>
      </c>
    </row>
    <row r="1481" spans="1:10" ht="15.75" customHeight="1">
      <c r="A1481" s="14" t="s">
        <v>10</v>
      </c>
      <c r="B1481" s="15">
        <v>46157</v>
      </c>
      <c r="C1481" s="16" t="s">
        <v>47</v>
      </c>
      <c r="D1481" s="17" t="s">
        <v>46</v>
      </c>
      <c r="E1481" s="18" t="s">
        <v>34</v>
      </c>
      <c r="F1481" s="19">
        <v>4720</v>
      </c>
      <c r="G1481" s="20">
        <v>169</v>
      </c>
      <c r="H1481" s="21">
        <v>126</v>
      </c>
      <c r="I1481" s="22">
        <v>4763</v>
      </c>
      <c r="J1481" s="23">
        <v>74.599999999999994</v>
      </c>
    </row>
    <row r="1482" spans="1:10" ht="15.75" customHeight="1">
      <c r="A1482" s="24" t="s">
        <v>10</v>
      </c>
      <c r="B1482" s="25">
        <v>46157</v>
      </c>
      <c r="C1482" s="26" t="s">
        <v>47</v>
      </c>
      <c r="D1482" s="27" t="s">
        <v>46</v>
      </c>
      <c r="E1482" s="28" t="s">
        <v>25</v>
      </c>
      <c r="F1482" s="29">
        <v>2452</v>
      </c>
      <c r="G1482" s="30">
        <v>53</v>
      </c>
      <c r="H1482" s="31">
        <v>42</v>
      </c>
      <c r="I1482" s="32">
        <v>2463</v>
      </c>
      <c r="J1482" s="33">
        <v>79.2</v>
      </c>
    </row>
    <row r="1483" spans="1:10" ht="15.75" customHeight="1">
      <c r="A1483" s="14" t="s">
        <v>10</v>
      </c>
      <c r="B1483" s="15">
        <v>46157</v>
      </c>
      <c r="C1483" s="16" t="s">
        <v>47</v>
      </c>
      <c r="D1483" s="17" t="s">
        <v>46</v>
      </c>
      <c r="E1483" s="18" t="s">
        <v>35</v>
      </c>
      <c r="F1483" s="19">
        <v>2611</v>
      </c>
      <c r="G1483" s="20">
        <v>110</v>
      </c>
      <c r="H1483" s="21">
        <v>85</v>
      </c>
      <c r="I1483" s="22">
        <v>2636</v>
      </c>
      <c r="J1483" s="35">
        <v>77.3</v>
      </c>
    </row>
    <row r="1484" spans="1:10" ht="15.75" customHeight="1">
      <c r="A1484" s="24" t="s">
        <v>10</v>
      </c>
      <c r="B1484" s="25">
        <v>46157</v>
      </c>
      <c r="C1484" s="26" t="s">
        <v>47</v>
      </c>
      <c r="D1484" s="27" t="s">
        <v>46</v>
      </c>
      <c r="E1484" s="28" t="s">
        <v>29</v>
      </c>
      <c r="F1484" s="29">
        <v>3106</v>
      </c>
      <c r="G1484" s="30">
        <v>72</v>
      </c>
      <c r="H1484" s="31">
        <v>60</v>
      </c>
      <c r="I1484" s="32">
        <v>3118</v>
      </c>
      <c r="J1484" s="33">
        <v>83.3</v>
      </c>
    </row>
    <row r="1485" spans="1:10" ht="15.75" customHeight="1">
      <c r="A1485" s="14" t="s">
        <v>10</v>
      </c>
      <c r="B1485" s="15">
        <v>46157</v>
      </c>
      <c r="C1485" s="16" t="s">
        <v>47</v>
      </c>
      <c r="D1485" s="17" t="s">
        <v>46</v>
      </c>
      <c r="E1485" s="18" t="s">
        <v>31</v>
      </c>
      <c r="F1485" s="19">
        <v>3892</v>
      </c>
      <c r="G1485" s="20">
        <v>143</v>
      </c>
      <c r="H1485" s="21">
        <v>93</v>
      </c>
      <c r="I1485" s="22">
        <v>3942</v>
      </c>
      <c r="J1485" s="23">
        <v>65</v>
      </c>
    </row>
    <row r="1486" spans="1:10" ht="15.75" customHeight="1">
      <c r="A1486" s="24" t="s">
        <v>10</v>
      </c>
      <c r="B1486" s="25">
        <v>46157</v>
      </c>
      <c r="C1486" s="26" t="s">
        <v>47</v>
      </c>
      <c r="D1486" s="27" t="s">
        <v>46</v>
      </c>
      <c r="E1486" s="28" t="s">
        <v>33</v>
      </c>
      <c r="F1486" s="29">
        <v>1483</v>
      </c>
      <c r="G1486" s="30">
        <v>97</v>
      </c>
      <c r="H1486" s="31">
        <v>81</v>
      </c>
      <c r="I1486" s="32">
        <v>1499</v>
      </c>
      <c r="J1486" s="33">
        <v>83.5</v>
      </c>
    </row>
    <row r="1487" spans="1:10" ht="15.75" customHeight="1">
      <c r="A1487" s="14" t="s">
        <v>10</v>
      </c>
      <c r="B1487" s="15">
        <v>46157</v>
      </c>
      <c r="C1487" s="16" t="s">
        <v>47</v>
      </c>
      <c r="D1487" s="17" t="s">
        <v>46</v>
      </c>
      <c r="E1487" s="18" t="s">
        <v>36</v>
      </c>
      <c r="F1487" s="19">
        <v>4939</v>
      </c>
      <c r="G1487" s="20">
        <v>97</v>
      </c>
      <c r="H1487" s="21">
        <v>60</v>
      </c>
      <c r="I1487" s="22">
        <v>4976</v>
      </c>
      <c r="J1487" s="23">
        <v>61.9</v>
      </c>
    </row>
    <row r="1488" spans="1:10" ht="15.75" customHeight="1">
      <c r="A1488" s="36" t="s">
        <v>10</v>
      </c>
      <c r="B1488" s="37">
        <v>46158</v>
      </c>
      <c r="C1488" s="38" t="s">
        <v>48</v>
      </c>
      <c r="D1488" s="39" t="s">
        <v>49</v>
      </c>
      <c r="E1488" s="40" t="s">
        <v>26</v>
      </c>
      <c r="F1488" s="41">
        <v>3951</v>
      </c>
      <c r="G1488" s="42">
        <v>69</v>
      </c>
      <c r="H1488" s="43">
        <v>47</v>
      </c>
      <c r="I1488" s="44">
        <v>3973</v>
      </c>
      <c r="J1488" s="46">
        <v>68.099999999999994</v>
      </c>
    </row>
    <row r="1489" spans="1:10" ht="15.75" customHeight="1">
      <c r="A1489" s="36" t="s">
        <v>10</v>
      </c>
      <c r="B1489" s="37">
        <v>46158</v>
      </c>
      <c r="C1489" s="38" t="s">
        <v>48</v>
      </c>
      <c r="D1489" s="39" t="s">
        <v>49</v>
      </c>
      <c r="E1489" s="40" t="s">
        <v>27</v>
      </c>
      <c r="F1489" s="41">
        <v>2861</v>
      </c>
      <c r="G1489" s="42">
        <v>42</v>
      </c>
      <c r="H1489" s="43">
        <v>34</v>
      </c>
      <c r="I1489" s="44">
        <v>2869</v>
      </c>
      <c r="J1489" s="45">
        <v>81</v>
      </c>
    </row>
    <row r="1490" spans="1:10" ht="15.75" customHeight="1">
      <c r="A1490" s="36" t="s">
        <v>10</v>
      </c>
      <c r="B1490" s="37">
        <v>46158</v>
      </c>
      <c r="C1490" s="38" t="s">
        <v>48</v>
      </c>
      <c r="D1490" s="39" t="s">
        <v>49</v>
      </c>
      <c r="E1490" s="40" t="s">
        <v>30</v>
      </c>
      <c r="F1490" s="41">
        <v>4605</v>
      </c>
      <c r="G1490" s="42">
        <v>45</v>
      </c>
      <c r="H1490" s="43">
        <v>36</v>
      </c>
      <c r="I1490" s="44">
        <v>4614</v>
      </c>
      <c r="J1490" s="45">
        <v>80</v>
      </c>
    </row>
    <row r="1491" spans="1:10" ht="15.75" customHeight="1">
      <c r="A1491" s="36" t="s">
        <v>10</v>
      </c>
      <c r="B1491" s="37">
        <v>46158</v>
      </c>
      <c r="C1491" s="38" t="s">
        <v>48</v>
      </c>
      <c r="D1491" s="39" t="s">
        <v>49</v>
      </c>
      <c r="E1491" s="40" t="s">
        <v>32</v>
      </c>
      <c r="F1491" s="41">
        <v>2020</v>
      </c>
      <c r="G1491" s="42">
        <v>24</v>
      </c>
      <c r="H1491" s="43">
        <v>20</v>
      </c>
      <c r="I1491" s="44">
        <v>2024</v>
      </c>
      <c r="J1491" s="45">
        <v>83.3</v>
      </c>
    </row>
    <row r="1492" spans="1:10" ht="15.75" customHeight="1">
      <c r="A1492" s="36" t="s">
        <v>10</v>
      </c>
      <c r="B1492" s="37">
        <v>46158</v>
      </c>
      <c r="C1492" s="38" t="s">
        <v>48</v>
      </c>
      <c r="D1492" s="39" t="s">
        <v>49</v>
      </c>
      <c r="E1492" s="40" t="s">
        <v>34</v>
      </c>
      <c r="F1492" s="41">
        <v>4763</v>
      </c>
      <c r="G1492" s="42">
        <v>49</v>
      </c>
      <c r="H1492" s="43">
        <v>32</v>
      </c>
      <c r="I1492" s="44">
        <v>4780</v>
      </c>
      <c r="J1492" s="46">
        <v>65.3</v>
      </c>
    </row>
    <row r="1493" spans="1:10" ht="15.75" customHeight="1">
      <c r="A1493" s="36" t="s">
        <v>10</v>
      </c>
      <c r="B1493" s="37">
        <v>46158</v>
      </c>
      <c r="C1493" s="38" t="s">
        <v>48</v>
      </c>
      <c r="D1493" s="39" t="s">
        <v>49</v>
      </c>
      <c r="E1493" s="40" t="s">
        <v>25</v>
      </c>
      <c r="F1493" s="41">
        <v>2463</v>
      </c>
      <c r="G1493" s="42">
        <v>54</v>
      </c>
      <c r="H1493" s="43">
        <v>40</v>
      </c>
      <c r="I1493" s="44">
        <v>2477</v>
      </c>
      <c r="J1493" s="46">
        <v>74.099999999999994</v>
      </c>
    </row>
    <row r="1494" spans="1:10" ht="15.75" customHeight="1">
      <c r="A1494" s="36" t="s">
        <v>10</v>
      </c>
      <c r="B1494" s="37">
        <v>46158</v>
      </c>
      <c r="C1494" s="38" t="s">
        <v>48</v>
      </c>
      <c r="D1494" s="39" t="s">
        <v>49</v>
      </c>
      <c r="E1494" s="40" t="s">
        <v>35</v>
      </c>
      <c r="F1494" s="41">
        <v>2636</v>
      </c>
      <c r="G1494" s="42">
        <v>41</v>
      </c>
      <c r="H1494" s="43">
        <v>30</v>
      </c>
      <c r="I1494" s="44">
        <v>2647</v>
      </c>
      <c r="J1494" s="46">
        <v>73.2</v>
      </c>
    </row>
    <row r="1495" spans="1:10" ht="15.75" customHeight="1">
      <c r="A1495" s="36" t="s">
        <v>10</v>
      </c>
      <c r="B1495" s="37">
        <v>46158</v>
      </c>
      <c r="C1495" s="38" t="s">
        <v>48</v>
      </c>
      <c r="D1495" s="39" t="s">
        <v>49</v>
      </c>
      <c r="E1495" s="40" t="s">
        <v>29</v>
      </c>
      <c r="F1495" s="41">
        <v>3118</v>
      </c>
      <c r="G1495" s="42">
        <v>27</v>
      </c>
      <c r="H1495" s="43">
        <v>18</v>
      </c>
      <c r="I1495" s="44">
        <v>3127</v>
      </c>
      <c r="J1495" s="46">
        <v>66.7</v>
      </c>
    </row>
    <row r="1496" spans="1:10" ht="15.75" customHeight="1">
      <c r="A1496" s="36" t="s">
        <v>10</v>
      </c>
      <c r="B1496" s="37">
        <v>46158</v>
      </c>
      <c r="C1496" s="38" t="s">
        <v>48</v>
      </c>
      <c r="D1496" s="39" t="s">
        <v>49</v>
      </c>
      <c r="E1496" s="40" t="s">
        <v>31</v>
      </c>
      <c r="F1496" s="41">
        <v>3942</v>
      </c>
      <c r="G1496" s="42">
        <v>34</v>
      </c>
      <c r="H1496" s="43">
        <v>26</v>
      </c>
      <c r="I1496" s="44">
        <v>3950</v>
      </c>
      <c r="J1496" s="45">
        <v>76.5</v>
      </c>
    </row>
    <row r="1497" spans="1:10" ht="15.75" customHeight="1">
      <c r="A1497" s="36" t="s">
        <v>10</v>
      </c>
      <c r="B1497" s="37">
        <v>46158</v>
      </c>
      <c r="C1497" s="38" t="s">
        <v>48</v>
      </c>
      <c r="D1497" s="39" t="s">
        <v>49</v>
      </c>
      <c r="E1497" s="40" t="s">
        <v>33</v>
      </c>
      <c r="F1497" s="41">
        <v>1499</v>
      </c>
      <c r="G1497" s="42">
        <v>47</v>
      </c>
      <c r="H1497" s="43">
        <v>39</v>
      </c>
      <c r="I1497" s="44">
        <v>1507</v>
      </c>
      <c r="J1497" s="45">
        <v>83</v>
      </c>
    </row>
    <row r="1498" spans="1:10" ht="15.75" customHeight="1">
      <c r="A1498" s="36" t="s">
        <v>10</v>
      </c>
      <c r="B1498" s="37">
        <v>46158</v>
      </c>
      <c r="C1498" s="38" t="s">
        <v>48</v>
      </c>
      <c r="D1498" s="39" t="s">
        <v>49</v>
      </c>
      <c r="E1498" s="40" t="s">
        <v>36</v>
      </c>
      <c r="F1498" s="41">
        <v>4976</v>
      </c>
      <c r="G1498" s="42">
        <v>75</v>
      </c>
      <c r="H1498" s="43">
        <v>55</v>
      </c>
      <c r="I1498" s="44">
        <v>4996</v>
      </c>
      <c r="J1498" s="46">
        <v>73.3</v>
      </c>
    </row>
    <row r="1499" spans="1:10" ht="15.75" customHeight="1">
      <c r="A1499" s="36" t="s">
        <v>10</v>
      </c>
      <c r="B1499" s="37">
        <v>46159</v>
      </c>
      <c r="C1499" s="38" t="s">
        <v>50</v>
      </c>
      <c r="D1499" s="39" t="s">
        <v>49</v>
      </c>
      <c r="E1499" s="40" t="s">
        <v>26</v>
      </c>
      <c r="F1499" s="41">
        <v>3973</v>
      </c>
      <c r="G1499" s="42">
        <v>39</v>
      </c>
      <c r="H1499" s="43">
        <v>26</v>
      </c>
      <c r="I1499" s="44">
        <v>3986</v>
      </c>
      <c r="J1499" s="46">
        <v>66.7</v>
      </c>
    </row>
    <row r="1500" spans="1:10" ht="15.75" customHeight="1">
      <c r="A1500" s="36" t="s">
        <v>10</v>
      </c>
      <c r="B1500" s="37">
        <v>46159</v>
      </c>
      <c r="C1500" s="38" t="s">
        <v>50</v>
      </c>
      <c r="D1500" s="39" t="s">
        <v>49</v>
      </c>
      <c r="E1500" s="40" t="s">
        <v>27</v>
      </c>
      <c r="F1500" s="41">
        <v>2869</v>
      </c>
      <c r="G1500" s="42">
        <v>58</v>
      </c>
      <c r="H1500" s="43">
        <v>47</v>
      </c>
      <c r="I1500" s="44">
        <v>2880</v>
      </c>
      <c r="J1500" s="45">
        <v>81</v>
      </c>
    </row>
    <row r="1501" spans="1:10" ht="15.75" customHeight="1">
      <c r="A1501" s="36" t="s">
        <v>10</v>
      </c>
      <c r="B1501" s="37">
        <v>46159</v>
      </c>
      <c r="C1501" s="38" t="s">
        <v>50</v>
      </c>
      <c r="D1501" s="39" t="s">
        <v>49</v>
      </c>
      <c r="E1501" s="40" t="s">
        <v>30</v>
      </c>
      <c r="F1501" s="41">
        <v>4614</v>
      </c>
      <c r="G1501" s="42">
        <v>59</v>
      </c>
      <c r="H1501" s="43">
        <v>43</v>
      </c>
      <c r="I1501" s="44">
        <v>4630</v>
      </c>
      <c r="J1501" s="46">
        <v>72.900000000000006</v>
      </c>
    </row>
    <row r="1502" spans="1:10" ht="15.75" customHeight="1">
      <c r="A1502" s="36" t="s">
        <v>10</v>
      </c>
      <c r="B1502" s="37">
        <v>46159</v>
      </c>
      <c r="C1502" s="38" t="s">
        <v>50</v>
      </c>
      <c r="D1502" s="39" t="s">
        <v>49</v>
      </c>
      <c r="E1502" s="40" t="s">
        <v>32</v>
      </c>
      <c r="F1502" s="41">
        <v>2024</v>
      </c>
      <c r="G1502" s="42">
        <v>30</v>
      </c>
      <c r="H1502" s="43">
        <v>25</v>
      </c>
      <c r="I1502" s="44">
        <v>2029</v>
      </c>
      <c r="J1502" s="45">
        <v>83.3</v>
      </c>
    </row>
    <row r="1503" spans="1:10" ht="15.75" customHeight="1">
      <c r="A1503" s="36" t="s">
        <v>10</v>
      </c>
      <c r="B1503" s="37">
        <v>46159</v>
      </c>
      <c r="C1503" s="38" t="s">
        <v>50</v>
      </c>
      <c r="D1503" s="39" t="s">
        <v>49</v>
      </c>
      <c r="E1503" s="40" t="s">
        <v>34</v>
      </c>
      <c r="F1503" s="41">
        <v>4780</v>
      </c>
      <c r="G1503" s="42">
        <v>72</v>
      </c>
      <c r="H1503" s="43">
        <v>51</v>
      </c>
      <c r="I1503" s="44">
        <v>4801</v>
      </c>
      <c r="J1503" s="46">
        <v>70.8</v>
      </c>
    </row>
    <row r="1504" spans="1:10" ht="15.75" customHeight="1">
      <c r="A1504" s="36" t="s">
        <v>10</v>
      </c>
      <c r="B1504" s="37">
        <v>46159</v>
      </c>
      <c r="C1504" s="38" t="s">
        <v>50</v>
      </c>
      <c r="D1504" s="39" t="s">
        <v>49</v>
      </c>
      <c r="E1504" s="40" t="s">
        <v>25</v>
      </c>
      <c r="F1504" s="41">
        <v>2477</v>
      </c>
      <c r="G1504" s="42">
        <v>22</v>
      </c>
      <c r="H1504" s="43">
        <v>19</v>
      </c>
      <c r="I1504" s="44">
        <v>2480</v>
      </c>
      <c r="J1504" s="45">
        <v>86.4</v>
      </c>
    </row>
    <row r="1505" spans="1:10" ht="15.75" customHeight="1">
      <c r="A1505" s="36" t="s">
        <v>10</v>
      </c>
      <c r="B1505" s="37">
        <v>46159</v>
      </c>
      <c r="C1505" s="38" t="s">
        <v>50</v>
      </c>
      <c r="D1505" s="39" t="s">
        <v>49</v>
      </c>
      <c r="E1505" s="40" t="s">
        <v>35</v>
      </c>
      <c r="F1505" s="41">
        <v>2647</v>
      </c>
      <c r="G1505" s="42">
        <v>63</v>
      </c>
      <c r="H1505" s="43">
        <v>49</v>
      </c>
      <c r="I1505" s="44">
        <v>2661</v>
      </c>
      <c r="J1505" s="45">
        <v>77.8</v>
      </c>
    </row>
    <row r="1506" spans="1:10" ht="15.75" customHeight="1">
      <c r="A1506" s="36" t="s">
        <v>10</v>
      </c>
      <c r="B1506" s="37">
        <v>46159</v>
      </c>
      <c r="C1506" s="38" t="s">
        <v>50</v>
      </c>
      <c r="D1506" s="39" t="s">
        <v>49</v>
      </c>
      <c r="E1506" s="40" t="s">
        <v>29</v>
      </c>
      <c r="F1506" s="41">
        <v>3127</v>
      </c>
      <c r="G1506" s="42">
        <v>55</v>
      </c>
      <c r="H1506" s="43">
        <v>46</v>
      </c>
      <c r="I1506" s="44">
        <v>3136</v>
      </c>
      <c r="J1506" s="45">
        <v>83.6</v>
      </c>
    </row>
    <row r="1507" spans="1:10" ht="15.75" customHeight="1">
      <c r="A1507" s="36" t="s">
        <v>10</v>
      </c>
      <c r="B1507" s="37">
        <v>46159</v>
      </c>
      <c r="C1507" s="38" t="s">
        <v>50</v>
      </c>
      <c r="D1507" s="39" t="s">
        <v>49</v>
      </c>
      <c r="E1507" s="40" t="s">
        <v>31</v>
      </c>
      <c r="F1507" s="41">
        <v>3950</v>
      </c>
      <c r="G1507" s="42">
        <v>35</v>
      </c>
      <c r="H1507" s="43">
        <v>22</v>
      </c>
      <c r="I1507" s="44">
        <v>3963</v>
      </c>
      <c r="J1507" s="46">
        <v>62.9</v>
      </c>
    </row>
    <row r="1508" spans="1:10" ht="15.75" customHeight="1">
      <c r="A1508" s="36" t="s">
        <v>10</v>
      </c>
      <c r="B1508" s="37">
        <v>46159</v>
      </c>
      <c r="C1508" s="38" t="s">
        <v>50</v>
      </c>
      <c r="D1508" s="39" t="s">
        <v>49</v>
      </c>
      <c r="E1508" s="40" t="s">
        <v>33</v>
      </c>
      <c r="F1508" s="41">
        <v>1507</v>
      </c>
      <c r="G1508" s="42">
        <v>37</v>
      </c>
      <c r="H1508" s="43">
        <v>34</v>
      </c>
      <c r="I1508" s="44">
        <v>1510</v>
      </c>
      <c r="J1508" s="45">
        <v>91.9</v>
      </c>
    </row>
    <row r="1509" spans="1:10" ht="15.75" customHeight="1">
      <c r="A1509" s="36" t="s">
        <v>10</v>
      </c>
      <c r="B1509" s="37">
        <v>46159</v>
      </c>
      <c r="C1509" s="38" t="s">
        <v>50</v>
      </c>
      <c r="D1509" s="39" t="s">
        <v>49</v>
      </c>
      <c r="E1509" s="40" t="s">
        <v>36</v>
      </c>
      <c r="F1509" s="41">
        <v>4996</v>
      </c>
      <c r="G1509" s="42">
        <v>65</v>
      </c>
      <c r="H1509" s="43">
        <v>49</v>
      </c>
      <c r="I1509" s="44">
        <v>5012</v>
      </c>
      <c r="J1509" s="45">
        <v>75.400000000000006</v>
      </c>
    </row>
    <row r="1510" spans="1:10" ht="15.75" customHeight="1">
      <c r="A1510" s="24" t="s">
        <v>10</v>
      </c>
      <c r="B1510" s="25">
        <v>46160</v>
      </c>
      <c r="C1510" s="26" t="s">
        <v>51</v>
      </c>
      <c r="D1510" s="27" t="s">
        <v>46</v>
      </c>
      <c r="E1510" s="28" t="s">
        <v>26</v>
      </c>
      <c r="F1510" s="29">
        <v>3986</v>
      </c>
      <c r="G1510" s="30">
        <v>88</v>
      </c>
      <c r="H1510" s="31">
        <v>61</v>
      </c>
      <c r="I1510" s="32">
        <v>4013</v>
      </c>
      <c r="J1510" s="34">
        <v>69.3</v>
      </c>
    </row>
    <row r="1511" spans="1:10" ht="15.75" customHeight="1">
      <c r="A1511" s="14" t="s">
        <v>10</v>
      </c>
      <c r="B1511" s="15">
        <v>46160</v>
      </c>
      <c r="C1511" s="16" t="s">
        <v>51</v>
      </c>
      <c r="D1511" s="17" t="s">
        <v>46</v>
      </c>
      <c r="E1511" s="18" t="s">
        <v>27</v>
      </c>
      <c r="F1511" s="19">
        <v>2880</v>
      </c>
      <c r="G1511" s="20">
        <v>87</v>
      </c>
      <c r="H1511" s="21">
        <v>78</v>
      </c>
      <c r="I1511" s="22">
        <v>2889</v>
      </c>
      <c r="J1511" s="35">
        <v>89.7</v>
      </c>
    </row>
    <row r="1512" spans="1:10" ht="15.75" customHeight="1">
      <c r="A1512" s="24" t="s">
        <v>10</v>
      </c>
      <c r="B1512" s="25">
        <v>46160</v>
      </c>
      <c r="C1512" s="26" t="s">
        <v>51</v>
      </c>
      <c r="D1512" s="27" t="s">
        <v>46</v>
      </c>
      <c r="E1512" s="28" t="s">
        <v>30</v>
      </c>
      <c r="F1512" s="29">
        <v>4630</v>
      </c>
      <c r="G1512" s="30">
        <v>160</v>
      </c>
      <c r="H1512" s="31">
        <v>116</v>
      </c>
      <c r="I1512" s="32">
        <v>4674</v>
      </c>
      <c r="J1512" s="34">
        <v>72.5</v>
      </c>
    </row>
    <row r="1513" spans="1:10" ht="15.75" customHeight="1">
      <c r="A1513" s="14" t="s">
        <v>10</v>
      </c>
      <c r="B1513" s="15">
        <v>46160</v>
      </c>
      <c r="C1513" s="16" t="s">
        <v>51</v>
      </c>
      <c r="D1513" s="17" t="s">
        <v>46</v>
      </c>
      <c r="E1513" s="18" t="s">
        <v>32</v>
      </c>
      <c r="F1513" s="19">
        <v>2029</v>
      </c>
      <c r="G1513" s="20">
        <v>84</v>
      </c>
      <c r="H1513" s="21">
        <v>79</v>
      </c>
      <c r="I1513" s="22">
        <v>2034</v>
      </c>
      <c r="J1513" s="35">
        <v>94</v>
      </c>
    </row>
    <row r="1514" spans="1:10" ht="15.75" customHeight="1">
      <c r="A1514" s="24" t="s">
        <v>10</v>
      </c>
      <c r="B1514" s="25">
        <v>46160</v>
      </c>
      <c r="C1514" s="26" t="s">
        <v>51</v>
      </c>
      <c r="D1514" s="27" t="s">
        <v>46</v>
      </c>
      <c r="E1514" s="28" t="s">
        <v>34</v>
      </c>
      <c r="F1514" s="29">
        <v>4801</v>
      </c>
      <c r="G1514" s="30">
        <v>137</v>
      </c>
      <c r="H1514" s="31">
        <v>98</v>
      </c>
      <c r="I1514" s="32">
        <v>4840</v>
      </c>
      <c r="J1514" s="34">
        <v>71.5</v>
      </c>
    </row>
    <row r="1515" spans="1:10" ht="15.75" customHeight="1">
      <c r="A1515" s="14" t="s">
        <v>10</v>
      </c>
      <c r="B1515" s="15">
        <v>46160</v>
      </c>
      <c r="C1515" s="16" t="s">
        <v>51</v>
      </c>
      <c r="D1515" s="17" t="s">
        <v>46</v>
      </c>
      <c r="E1515" s="18" t="s">
        <v>25</v>
      </c>
      <c r="F1515" s="19">
        <v>2480</v>
      </c>
      <c r="G1515" s="20">
        <v>82</v>
      </c>
      <c r="H1515" s="21">
        <v>68</v>
      </c>
      <c r="I1515" s="22">
        <v>2494</v>
      </c>
      <c r="J1515" s="35">
        <v>82.9</v>
      </c>
    </row>
    <row r="1516" spans="1:10" ht="15.75" customHeight="1">
      <c r="A1516" s="24" t="s">
        <v>10</v>
      </c>
      <c r="B1516" s="25">
        <v>46160</v>
      </c>
      <c r="C1516" s="26" t="s">
        <v>51</v>
      </c>
      <c r="D1516" s="27" t="s">
        <v>46</v>
      </c>
      <c r="E1516" s="28" t="s">
        <v>35</v>
      </c>
      <c r="F1516" s="29">
        <v>2661</v>
      </c>
      <c r="G1516" s="30">
        <v>87</v>
      </c>
      <c r="H1516" s="31">
        <v>65</v>
      </c>
      <c r="I1516" s="32">
        <v>2683</v>
      </c>
      <c r="J1516" s="34">
        <v>74.7</v>
      </c>
    </row>
    <row r="1517" spans="1:10" ht="15.75" customHeight="1">
      <c r="A1517" s="14" t="s">
        <v>10</v>
      </c>
      <c r="B1517" s="15">
        <v>46160</v>
      </c>
      <c r="C1517" s="16" t="s">
        <v>51</v>
      </c>
      <c r="D1517" s="17" t="s">
        <v>46</v>
      </c>
      <c r="E1517" s="18" t="s">
        <v>29</v>
      </c>
      <c r="F1517" s="19">
        <v>3136</v>
      </c>
      <c r="G1517" s="20">
        <v>119</v>
      </c>
      <c r="H1517" s="21">
        <v>98</v>
      </c>
      <c r="I1517" s="22">
        <v>3157</v>
      </c>
      <c r="J1517" s="35">
        <v>82.4</v>
      </c>
    </row>
    <row r="1518" spans="1:10" ht="15.75" customHeight="1">
      <c r="A1518" s="24" t="s">
        <v>10</v>
      </c>
      <c r="B1518" s="25">
        <v>46160</v>
      </c>
      <c r="C1518" s="26" t="s">
        <v>51</v>
      </c>
      <c r="D1518" s="27" t="s">
        <v>46</v>
      </c>
      <c r="E1518" s="28" t="s">
        <v>31</v>
      </c>
      <c r="F1518" s="29">
        <v>3963</v>
      </c>
      <c r="G1518" s="30">
        <v>155</v>
      </c>
      <c r="H1518" s="31">
        <v>112</v>
      </c>
      <c r="I1518" s="32">
        <v>4006</v>
      </c>
      <c r="J1518" s="34">
        <v>72.3</v>
      </c>
    </row>
    <row r="1519" spans="1:10" ht="15.75" customHeight="1">
      <c r="A1519" s="14" t="s">
        <v>10</v>
      </c>
      <c r="B1519" s="15">
        <v>46160</v>
      </c>
      <c r="C1519" s="16" t="s">
        <v>51</v>
      </c>
      <c r="D1519" s="17" t="s">
        <v>46</v>
      </c>
      <c r="E1519" s="18" t="s">
        <v>33</v>
      </c>
      <c r="F1519" s="19">
        <v>1510</v>
      </c>
      <c r="G1519" s="20">
        <v>82</v>
      </c>
      <c r="H1519" s="21">
        <v>77</v>
      </c>
      <c r="I1519" s="22">
        <v>1515</v>
      </c>
      <c r="J1519" s="35">
        <v>93.9</v>
      </c>
    </row>
    <row r="1520" spans="1:10" ht="15.75" customHeight="1">
      <c r="A1520" s="24" t="s">
        <v>10</v>
      </c>
      <c r="B1520" s="25">
        <v>46160</v>
      </c>
      <c r="C1520" s="26" t="s">
        <v>51</v>
      </c>
      <c r="D1520" s="27" t="s">
        <v>46</v>
      </c>
      <c r="E1520" s="28" t="s">
        <v>36</v>
      </c>
      <c r="F1520" s="29">
        <v>5012</v>
      </c>
      <c r="G1520" s="30">
        <v>124</v>
      </c>
      <c r="H1520" s="31">
        <v>88</v>
      </c>
      <c r="I1520" s="32">
        <v>5048</v>
      </c>
      <c r="J1520" s="34">
        <v>71</v>
      </c>
    </row>
    <row r="1521" spans="1:10" ht="15.75" customHeight="1">
      <c r="A1521" s="14" t="s">
        <v>10</v>
      </c>
      <c r="B1521" s="15">
        <v>46161</v>
      </c>
      <c r="C1521" s="16" t="s">
        <v>52</v>
      </c>
      <c r="D1521" s="17" t="s">
        <v>46</v>
      </c>
      <c r="E1521" s="18" t="s">
        <v>26</v>
      </c>
      <c r="F1521" s="19">
        <v>4013</v>
      </c>
      <c r="G1521" s="20">
        <v>120</v>
      </c>
      <c r="H1521" s="21">
        <v>99</v>
      </c>
      <c r="I1521" s="22">
        <v>4034</v>
      </c>
      <c r="J1521" s="35">
        <v>82.5</v>
      </c>
    </row>
    <row r="1522" spans="1:10" ht="15.75" customHeight="1">
      <c r="A1522" s="24" t="s">
        <v>10</v>
      </c>
      <c r="B1522" s="25">
        <v>46161</v>
      </c>
      <c r="C1522" s="26" t="s">
        <v>52</v>
      </c>
      <c r="D1522" s="27" t="s">
        <v>46</v>
      </c>
      <c r="E1522" s="28" t="s">
        <v>27</v>
      </c>
      <c r="F1522" s="29">
        <v>2889</v>
      </c>
      <c r="G1522" s="30">
        <v>86</v>
      </c>
      <c r="H1522" s="31">
        <v>71</v>
      </c>
      <c r="I1522" s="32">
        <v>2904</v>
      </c>
      <c r="J1522" s="33">
        <v>82.6</v>
      </c>
    </row>
    <row r="1523" spans="1:10" ht="15.75" customHeight="1">
      <c r="A1523" s="14" t="s">
        <v>10</v>
      </c>
      <c r="B1523" s="15">
        <v>46161</v>
      </c>
      <c r="C1523" s="16" t="s">
        <v>52</v>
      </c>
      <c r="D1523" s="17" t="s">
        <v>46</v>
      </c>
      <c r="E1523" s="18" t="s">
        <v>30</v>
      </c>
      <c r="F1523" s="19">
        <v>4674</v>
      </c>
      <c r="G1523" s="20">
        <v>109</v>
      </c>
      <c r="H1523" s="21">
        <v>86</v>
      </c>
      <c r="I1523" s="22">
        <v>4697</v>
      </c>
      <c r="J1523" s="35">
        <v>78.900000000000006</v>
      </c>
    </row>
    <row r="1524" spans="1:10" ht="15.75" customHeight="1">
      <c r="A1524" s="24" t="s">
        <v>10</v>
      </c>
      <c r="B1524" s="25">
        <v>46161</v>
      </c>
      <c r="C1524" s="26" t="s">
        <v>52</v>
      </c>
      <c r="D1524" s="27" t="s">
        <v>46</v>
      </c>
      <c r="E1524" s="28" t="s">
        <v>32</v>
      </c>
      <c r="F1524" s="29">
        <v>2034</v>
      </c>
      <c r="G1524" s="30">
        <v>119</v>
      </c>
      <c r="H1524" s="31">
        <v>104</v>
      </c>
      <c r="I1524" s="32">
        <v>2049</v>
      </c>
      <c r="J1524" s="33">
        <v>87.4</v>
      </c>
    </row>
    <row r="1525" spans="1:10" ht="15.75" customHeight="1">
      <c r="A1525" s="14" t="s">
        <v>10</v>
      </c>
      <c r="B1525" s="15">
        <v>46161</v>
      </c>
      <c r="C1525" s="16" t="s">
        <v>52</v>
      </c>
      <c r="D1525" s="17" t="s">
        <v>46</v>
      </c>
      <c r="E1525" s="18" t="s">
        <v>34</v>
      </c>
      <c r="F1525" s="19">
        <v>4840</v>
      </c>
      <c r="G1525" s="20">
        <v>108</v>
      </c>
      <c r="H1525" s="21">
        <v>68</v>
      </c>
      <c r="I1525" s="22">
        <v>4880</v>
      </c>
      <c r="J1525" s="23">
        <v>63</v>
      </c>
    </row>
    <row r="1526" spans="1:10" ht="15.75" customHeight="1">
      <c r="A1526" s="24" t="s">
        <v>10</v>
      </c>
      <c r="B1526" s="25">
        <v>46161</v>
      </c>
      <c r="C1526" s="26" t="s">
        <v>52</v>
      </c>
      <c r="D1526" s="27" t="s">
        <v>46</v>
      </c>
      <c r="E1526" s="28" t="s">
        <v>25</v>
      </c>
      <c r="F1526" s="29">
        <v>2494</v>
      </c>
      <c r="G1526" s="30">
        <v>103</v>
      </c>
      <c r="H1526" s="31">
        <v>72</v>
      </c>
      <c r="I1526" s="32">
        <v>2525</v>
      </c>
      <c r="J1526" s="34">
        <v>69.900000000000006</v>
      </c>
    </row>
    <row r="1527" spans="1:10" ht="15.75" customHeight="1">
      <c r="A1527" s="14" t="s">
        <v>10</v>
      </c>
      <c r="B1527" s="15">
        <v>46161</v>
      </c>
      <c r="C1527" s="16" t="s">
        <v>52</v>
      </c>
      <c r="D1527" s="17" t="s">
        <v>46</v>
      </c>
      <c r="E1527" s="18" t="s">
        <v>35</v>
      </c>
      <c r="F1527" s="19">
        <v>2683</v>
      </c>
      <c r="G1527" s="20">
        <v>86</v>
      </c>
      <c r="H1527" s="21">
        <v>74</v>
      </c>
      <c r="I1527" s="22">
        <v>2695</v>
      </c>
      <c r="J1527" s="35">
        <v>86</v>
      </c>
    </row>
    <row r="1528" spans="1:10" ht="15.75" customHeight="1">
      <c r="A1528" s="24" t="s">
        <v>10</v>
      </c>
      <c r="B1528" s="25">
        <v>46161</v>
      </c>
      <c r="C1528" s="26" t="s">
        <v>52</v>
      </c>
      <c r="D1528" s="27" t="s">
        <v>46</v>
      </c>
      <c r="E1528" s="28" t="s">
        <v>29</v>
      </c>
      <c r="F1528" s="29">
        <v>3157</v>
      </c>
      <c r="G1528" s="30">
        <v>71</v>
      </c>
      <c r="H1528" s="31">
        <v>57</v>
      </c>
      <c r="I1528" s="32">
        <v>3171</v>
      </c>
      <c r="J1528" s="33">
        <v>80.3</v>
      </c>
    </row>
    <row r="1529" spans="1:10" ht="15.75" customHeight="1">
      <c r="A1529" s="14" t="s">
        <v>10</v>
      </c>
      <c r="B1529" s="15">
        <v>46161</v>
      </c>
      <c r="C1529" s="16" t="s">
        <v>52</v>
      </c>
      <c r="D1529" s="17" t="s">
        <v>46</v>
      </c>
      <c r="E1529" s="18" t="s">
        <v>31</v>
      </c>
      <c r="F1529" s="19">
        <v>4006</v>
      </c>
      <c r="G1529" s="20">
        <v>101</v>
      </c>
      <c r="H1529" s="21">
        <v>81</v>
      </c>
      <c r="I1529" s="22">
        <v>4026</v>
      </c>
      <c r="J1529" s="35">
        <v>80.2</v>
      </c>
    </row>
    <row r="1530" spans="1:10" ht="15.75" customHeight="1">
      <c r="A1530" s="24" t="s">
        <v>10</v>
      </c>
      <c r="B1530" s="25">
        <v>46161</v>
      </c>
      <c r="C1530" s="26" t="s">
        <v>52</v>
      </c>
      <c r="D1530" s="27" t="s">
        <v>46</v>
      </c>
      <c r="E1530" s="28" t="s">
        <v>33</v>
      </c>
      <c r="F1530" s="29">
        <v>1515</v>
      </c>
      <c r="G1530" s="30">
        <v>58</v>
      </c>
      <c r="H1530" s="31">
        <v>54</v>
      </c>
      <c r="I1530" s="32">
        <v>1519</v>
      </c>
      <c r="J1530" s="33">
        <v>93.1</v>
      </c>
    </row>
    <row r="1531" spans="1:10" ht="15.75" customHeight="1">
      <c r="A1531" s="14" t="s">
        <v>10</v>
      </c>
      <c r="B1531" s="15">
        <v>46161</v>
      </c>
      <c r="C1531" s="16" t="s">
        <v>52</v>
      </c>
      <c r="D1531" s="17" t="s">
        <v>46</v>
      </c>
      <c r="E1531" s="18" t="s">
        <v>36</v>
      </c>
      <c r="F1531" s="19">
        <v>5048</v>
      </c>
      <c r="G1531" s="20">
        <v>166</v>
      </c>
      <c r="H1531" s="21">
        <v>122</v>
      </c>
      <c r="I1531" s="22">
        <v>5092</v>
      </c>
      <c r="J1531" s="23">
        <v>73.5</v>
      </c>
    </row>
    <row r="1532" spans="1:10" ht="15.75" customHeight="1">
      <c r="A1532" s="24" t="s">
        <v>10</v>
      </c>
      <c r="B1532" s="25">
        <v>46162</v>
      </c>
      <c r="C1532" s="26" t="s">
        <v>53</v>
      </c>
      <c r="D1532" s="27" t="s">
        <v>46</v>
      </c>
      <c r="E1532" s="28" t="s">
        <v>26</v>
      </c>
      <c r="F1532" s="29">
        <v>4034</v>
      </c>
      <c r="G1532" s="30">
        <v>119</v>
      </c>
      <c r="H1532" s="31">
        <v>88</v>
      </c>
      <c r="I1532" s="32">
        <v>4065</v>
      </c>
      <c r="J1532" s="34">
        <v>73.900000000000006</v>
      </c>
    </row>
    <row r="1533" spans="1:10" ht="15.75" customHeight="1">
      <c r="A1533" s="14" t="s">
        <v>10</v>
      </c>
      <c r="B1533" s="15">
        <v>46162</v>
      </c>
      <c r="C1533" s="16" t="s">
        <v>53</v>
      </c>
      <c r="D1533" s="17" t="s">
        <v>46</v>
      </c>
      <c r="E1533" s="18" t="s">
        <v>27</v>
      </c>
      <c r="F1533" s="19">
        <v>2904</v>
      </c>
      <c r="G1533" s="20">
        <v>76</v>
      </c>
      <c r="H1533" s="21">
        <v>59</v>
      </c>
      <c r="I1533" s="22">
        <v>2921</v>
      </c>
      <c r="J1533" s="35">
        <v>77.599999999999994</v>
      </c>
    </row>
    <row r="1534" spans="1:10" ht="15.75" customHeight="1">
      <c r="A1534" s="24" t="s">
        <v>10</v>
      </c>
      <c r="B1534" s="25">
        <v>46162</v>
      </c>
      <c r="C1534" s="26" t="s">
        <v>53</v>
      </c>
      <c r="D1534" s="27" t="s">
        <v>46</v>
      </c>
      <c r="E1534" s="28" t="s">
        <v>30</v>
      </c>
      <c r="F1534" s="29">
        <v>4697</v>
      </c>
      <c r="G1534" s="30">
        <v>109</v>
      </c>
      <c r="H1534" s="31">
        <v>86</v>
      </c>
      <c r="I1534" s="32">
        <v>4720</v>
      </c>
      <c r="J1534" s="33">
        <v>78.900000000000006</v>
      </c>
    </row>
    <row r="1535" spans="1:10" ht="15.75" customHeight="1">
      <c r="A1535" s="14" t="s">
        <v>10</v>
      </c>
      <c r="B1535" s="15">
        <v>46162</v>
      </c>
      <c r="C1535" s="16" t="s">
        <v>53</v>
      </c>
      <c r="D1535" s="17" t="s">
        <v>46</v>
      </c>
      <c r="E1535" s="18" t="s">
        <v>32</v>
      </c>
      <c r="F1535" s="19">
        <v>2049</v>
      </c>
      <c r="G1535" s="20">
        <v>90</v>
      </c>
      <c r="H1535" s="21">
        <v>74</v>
      </c>
      <c r="I1535" s="22">
        <v>2065</v>
      </c>
      <c r="J1535" s="35">
        <v>82.2</v>
      </c>
    </row>
    <row r="1536" spans="1:10" ht="15.75" customHeight="1">
      <c r="A1536" s="24" t="s">
        <v>10</v>
      </c>
      <c r="B1536" s="25">
        <v>46162</v>
      </c>
      <c r="C1536" s="26" t="s">
        <v>53</v>
      </c>
      <c r="D1536" s="27" t="s">
        <v>46</v>
      </c>
      <c r="E1536" s="28" t="s">
        <v>34</v>
      </c>
      <c r="F1536" s="29">
        <v>4880</v>
      </c>
      <c r="G1536" s="30">
        <v>113</v>
      </c>
      <c r="H1536" s="31">
        <v>81</v>
      </c>
      <c r="I1536" s="32">
        <v>4912</v>
      </c>
      <c r="J1536" s="34">
        <v>71.7</v>
      </c>
    </row>
    <row r="1537" spans="1:10" ht="15.75" customHeight="1">
      <c r="A1537" s="14" t="s">
        <v>10</v>
      </c>
      <c r="B1537" s="15">
        <v>46162</v>
      </c>
      <c r="C1537" s="16" t="s">
        <v>53</v>
      </c>
      <c r="D1537" s="17" t="s">
        <v>46</v>
      </c>
      <c r="E1537" s="18" t="s">
        <v>25</v>
      </c>
      <c r="F1537" s="19">
        <v>2525</v>
      </c>
      <c r="G1537" s="20">
        <v>104</v>
      </c>
      <c r="H1537" s="21">
        <v>87</v>
      </c>
      <c r="I1537" s="22">
        <v>2542</v>
      </c>
      <c r="J1537" s="35">
        <v>83.7</v>
      </c>
    </row>
    <row r="1538" spans="1:10" ht="15.75" customHeight="1">
      <c r="A1538" s="24" t="s">
        <v>10</v>
      </c>
      <c r="B1538" s="25">
        <v>46162</v>
      </c>
      <c r="C1538" s="26" t="s">
        <v>53</v>
      </c>
      <c r="D1538" s="27" t="s">
        <v>46</v>
      </c>
      <c r="E1538" s="28" t="s">
        <v>35</v>
      </c>
      <c r="F1538" s="29">
        <v>2695</v>
      </c>
      <c r="G1538" s="30">
        <v>122</v>
      </c>
      <c r="H1538" s="31">
        <v>90</v>
      </c>
      <c r="I1538" s="32">
        <v>2727</v>
      </c>
      <c r="J1538" s="34">
        <v>73.8</v>
      </c>
    </row>
    <row r="1539" spans="1:10" ht="15.75" customHeight="1">
      <c r="A1539" s="14" t="s">
        <v>10</v>
      </c>
      <c r="B1539" s="15">
        <v>46162</v>
      </c>
      <c r="C1539" s="16" t="s">
        <v>53</v>
      </c>
      <c r="D1539" s="17" t="s">
        <v>46</v>
      </c>
      <c r="E1539" s="18" t="s">
        <v>29</v>
      </c>
      <c r="F1539" s="19">
        <v>3171</v>
      </c>
      <c r="G1539" s="20">
        <v>113</v>
      </c>
      <c r="H1539" s="21">
        <v>82</v>
      </c>
      <c r="I1539" s="22">
        <v>3202</v>
      </c>
      <c r="J1539" s="23">
        <v>72.599999999999994</v>
      </c>
    </row>
    <row r="1540" spans="1:10" ht="15.75" customHeight="1">
      <c r="A1540" s="24" t="s">
        <v>10</v>
      </c>
      <c r="B1540" s="25">
        <v>46162</v>
      </c>
      <c r="C1540" s="26" t="s">
        <v>53</v>
      </c>
      <c r="D1540" s="27" t="s">
        <v>46</v>
      </c>
      <c r="E1540" s="28" t="s">
        <v>31</v>
      </c>
      <c r="F1540" s="29">
        <v>4026</v>
      </c>
      <c r="G1540" s="30">
        <v>113</v>
      </c>
      <c r="H1540" s="31">
        <v>85</v>
      </c>
      <c r="I1540" s="32">
        <v>4054</v>
      </c>
      <c r="J1540" s="33">
        <v>75.2</v>
      </c>
    </row>
    <row r="1541" spans="1:10" ht="15.75" customHeight="1">
      <c r="A1541" s="14" t="s">
        <v>10</v>
      </c>
      <c r="B1541" s="15">
        <v>46162</v>
      </c>
      <c r="C1541" s="16" t="s">
        <v>53</v>
      </c>
      <c r="D1541" s="17" t="s">
        <v>46</v>
      </c>
      <c r="E1541" s="18" t="s">
        <v>33</v>
      </c>
      <c r="F1541" s="19">
        <v>1519</v>
      </c>
      <c r="G1541" s="20">
        <v>90</v>
      </c>
      <c r="H1541" s="21">
        <v>87</v>
      </c>
      <c r="I1541" s="22">
        <v>1522</v>
      </c>
      <c r="J1541" s="35">
        <v>96.7</v>
      </c>
    </row>
    <row r="1542" spans="1:10" ht="15.75" customHeight="1">
      <c r="A1542" s="24" t="s">
        <v>10</v>
      </c>
      <c r="B1542" s="25">
        <v>46162</v>
      </c>
      <c r="C1542" s="26" t="s">
        <v>53</v>
      </c>
      <c r="D1542" s="27" t="s">
        <v>46</v>
      </c>
      <c r="E1542" s="28" t="s">
        <v>36</v>
      </c>
      <c r="F1542" s="29">
        <v>5092</v>
      </c>
      <c r="G1542" s="30">
        <v>98</v>
      </c>
      <c r="H1542" s="31">
        <v>78</v>
      </c>
      <c r="I1542" s="32">
        <v>5112</v>
      </c>
      <c r="J1542" s="33">
        <v>79.599999999999994</v>
      </c>
    </row>
    <row r="1543" spans="1:10" ht="15.75" customHeight="1">
      <c r="A1543" s="14" t="s">
        <v>10</v>
      </c>
      <c r="B1543" s="15">
        <v>46163</v>
      </c>
      <c r="C1543" s="16" t="s">
        <v>45</v>
      </c>
      <c r="D1543" s="17" t="s">
        <v>46</v>
      </c>
      <c r="E1543" s="18" t="s">
        <v>26</v>
      </c>
      <c r="F1543" s="19">
        <v>4065</v>
      </c>
      <c r="G1543" s="20">
        <v>80</v>
      </c>
      <c r="H1543" s="21">
        <v>57</v>
      </c>
      <c r="I1543" s="22">
        <v>4088</v>
      </c>
      <c r="J1543" s="23">
        <v>71.2</v>
      </c>
    </row>
    <row r="1544" spans="1:10" ht="15.75" customHeight="1">
      <c r="A1544" s="24" t="s">
        <v>10</v>
      </c>
      <c r="B1544" s="25">
        <v>46163</v>
      </c>
      <c r="C1544" s="26" t="s">
        <v>45</v>
      </c>
      <c r="D1544" s="27" t="s">
        <v>46</v>
      </c>
      <c r="E1544" s="28" t="s">
        <v>27</v>
      </c>
      <c r="F1544" s="29">
        <v>2921</v>
      </c>
      <c r="G1544" s="30">
        <v>125</v>
      </c>
      <c r="H1544" s="31">
        <v>91</v>
      </c>
      <c r="I1544" s="32">
        <v>2955</v>
      </c>
      <c r="J1544" s="34">
        <v>72.8</v>
      </c>
    </row>
    <row r="1545" spans="1:10" ht="15.75" customHeight="1">
      <c r="A1545" s="14" t="s">
        <v>10</v>
      </c>
      <c r="B1545" s="15">
        <v>46163</v>
      </c>
      <c r="C1545" s="16" t="s">
        <v>45</v>
      </c>
      <c r="D1545" s="17" t="s">
        <v>46</v>
      </c>
      <c r="E1545" s="18" t="s">
        <v>30</v>
      </c>
      <c r="F1545" s="19">
        <v>4720</v>
      </c>
      <c r="G1545" s="20">
        <v>141</v>
      </c>
      <c r="H1545" s="21">
        <v>86</v>
      </c>
      <c r="I1545" s="22">
        <v>4775</v>
      </c>
      <c r="J1545" s="23">
        <v>61</v>
      </c>
    </row>
    <row r="1546" spans="1:10" ht="15.75" customHeight="1">
      <c r="A1546" s="24" t="s">
        <v>10</v>
      </c>
      <c r="B1546" s="25">
        <v>46163</v>
      </c>
      <c r="C1546" s="26" t="s">
        <v>45</v>
      </c>
      <c r="D1546" s="27" t="s">
        <v>46</v>
      </c>
      <c r="E1546" s="28" t="s">
        <v>32</v>
      </c>
      <c r="F1546" s="29">
        <v>2065</v>
      </c>
      <c r="G1546" s="30">
        <v>69</v>
      </c>
      <c r="H1546" s="31">
        <v>62</v>
      </c>
      <c r="I1546" s="32">
        <v>2072</v>
      </c>
      <c r="J1546" s="33">
        <v>89.9</v>
      </c>
    </row>
    <row r="1547" spans="1:10" ht="15.75" customHeight="1">
      <c r="A1547" s="14" t="s">
        <v>10</v>
      </c>
      <c r="B1547" s="15">
        <v>46163</v>
      </c>
      <c r="C1547" s="16" t="s">
        <v>45</v>
      </c>
      <c r="D1547" s="17" t="s">
        <v>46</v>
      </c>
      <c r="E1547" s="18" t="s">
        <v>34</v>
      </c>
      <c r="F1547" s="19">
        <v>4912</v>
      </c>
      <c r="G1547" s="20">
        <v>103</v>
      </c>
      <c r="H1547" s="21">
        <v>65</v>
      </c>
      <c r="I1547" s="22">
        <v>4950</v>
      </c>
      <c r="J1547" s="23">
        <v>63.1</v>
      </c>
    </row>
    <row r="1548" spans="1:10" ht="15.75" customHeight="1">
      <c r="A1548" s="24" t="s">
        <v>10</v>
      </c>
      <c r="B1548" s="25">
        <v>46163</v>
      </c>
      <c r="C1548" s="26" t="s">
        <v>45</v>
      </c>
      <c r="D1548" s="27" t="s">
        <v>46</v>
      </c>
      <c r="E1548" s="28" t="s">
        <v>25</v>
      </c>
      <c r="F1548" s="29">
        <v>2542</v>
      </c>
      <c r="G1548" s="30">
        <v>97</v>
      </c>
      <c r="H1548" s="31">
        <v>81</v>
      </c>
      <c r="I1548" s="32">
        <v>2558</v>
      </c>
      <c r="J1548" s="33">
        <v>83.5</v>
      </c>
    </row>
    <row r="1549" spans="1:10" ht="15.75" customHeight="1">
      <c r="A1549" s="14" t="s">
        <v>10</v>
      </c>
      <c r="B1549" s="15">
        <v>46163</v>
      </c>
      <c r="C1549" s="16" t="s">
        <v>45</v>
      </c>
      <c r="D1549" s="17" t="s">
        <v>46</v>
      </c>
      <c r="E1549" s="18" t="s">
        <v>35</v>
      </c>
      <c r="F1549" s="19">
        <v>2727</v>
      </c>
      <c r="G1549" s="20">
        <v>102</v>
      </c>
      <c r="H1549" s="21">
        <v>85</v>
      </c>
      <c r="I1549" s="22">
        <v>2744</v>
      </c>
      <c r="J1549" s="35">
        <v>83.3</v>
      </c>
    </row>
    <row r="1550" spans="1:10" ht="15.75" customHeight="1">
      <c r="A1550" s="24" t="s">
        <v>10</v>
      </c>
      <c r="B1550" s="25">
        <v>46163</v>
      </c>
      <c r="C1550" s="26" t="s">
        <v>45</v>
      </c>
      <c r="D1550" s="27" t="s">
        <v>46</v>
      </c>
      <c r="E1550" s="28" t="s">
        <v>29</v>
      </c>
      <c r="F1550" s="29">
        <v>3202</v>
      </c>
      <c r="G1550" s="30">
        <v>91</v>
      </c>
      <c r="H1550" s="31">
        <v>74</v>
      </c>
      <c r="I1550" s="32">
        <v>3219</v>
      </c>
      <c r="J1550" s="33">
        <v>81.3</v>
      </c>
    </row>
    <row r="1551" spans="1:10" ht="15.75" customHeight="1">
      <c r="A1551" s="14" t="s">
        <v>10</v>
      </c>
      <c r="B1551" s="15">
        <v>46163</v>
      </c>
      <c r="C1551" s="16" t="s">
        <v>45</v>
      </c>
      <c r="D1551" s="17" t="s">
        <v>46</v>
      </c>
      <c r="E1551" s="18" t="s">
        <v>31</v>
      </c>
      <c r="F1551" s="19">
        <v>4054</v>
      </c>
      <c r="G1551" s="20">
        <v>128</v>
      </c>
      <c r="H1551" s="21">
        <v>86</v>
      </c>
      <c r="I1551" s="22">
        <v>4096</v>
      </c>
      <c r="J1551" s="23">
        <v>67.2</v>
      </c>
    </row>
    <row r="1552" spans="1:10" ht="15.75" customHeight="1">
      <c r="A1552" s="24" t="s">
        <v>10</v>
      </c>
      <c r="B1552" s="25">
        <v>46163</v>
      </c>
      <c r="C1552" s="26" t="s">
        <v>45</v>
      </c>
      <c r="D1552" s="27" t="s">
        <v>46</v>
      </c>
      <c r="E1552" s="28" t="s">
        <v>33</v>
      </c>
      <c r="F1552" s="29">
        <v>1522</v>
      </c>
      <c r="G1552" s="30">
        <v>78</v>
      </c>
      <c r="H1552" s="31">
        <v>69</v>
      </c>
      <c r="I1552" s="32">
        <v>1531</v>
      </c>
      <c r="J1552" s="33">
        <v>88.5</v>
      </c>
    </row>
    <row r="1553" spans="1:10" ht="15.75" customHeight="1">
      <c r="A1553" s="14" t="s">
        <v>10</v>
      </c>
      <c r="B1553" s="15">
        <v>46163</v>
      </c>
      <c r="C1553" s="16" t="s">
        <v>45</v>
      </c>
      <c r="D1553" s="17" t="s">
        <v>46</v>
      </c>
      <c r="E1553" s="18" t="s">
        <v>36</v>
      </c>
      <c r="F1553" s="19">
        <v>5112</v>
      </c>
      <c r="G1553" s="20">
        <v>136</v>
      </c>
      <c r="H1553" s="21">
        <v>106</v>
      </c>
      <c r="I1553" s="22">
        <v>5142</v>
      </c>
      <c r="J1553" s="35">
        <v>77.900000000000006</v>
      </c>
    </row>
    <row r="1554" spans="1:10" ht="15.75" customHeight="1">
      <c r="A1554" s="24" t="s">
        <v>10</v>
      </c>
      <c r="B1554" s="25">
        <v>46164</v>
      </c>
      <c r="C1554" s="26" t="s">
        <v>47</v>
      </c>
      <c r="D1554" s="27" t="s">
        <v>46</v>
      </c>
      <c r="E1554" s="28" t="s">
        <v>26</v>
      </c>
      <c r="F1554" s="29">
        <v>4088</v>
      </c>
      <c r="G1554" s="30">
        <v>114</v>
      </c>
      <c r="H1554" s="31">
        <v>88</v>
      </c>
      <c r="I1554" s="32">
        <v>4114</v>
      </c>
      <c r="J1554" s="33">
        <v>77.2</v>
      </c>
    </row>
    <row r="1555" spans="1:10" ht="15.75" customHeight="1">
      <c r="A1555" s="14" t="s">
        <v>10</v>
      </c>
      <c r="B1555" s="15">
        <v>46164</v>
      </c>
      <c r="C1555" s="16" t="s">
        <v>47</v>
      </c>
      <c r="D1555" s="17" t="s">
        <v>46</v>
      </c>
      <c r="E1555" s="18" t="s">
        <v>27</v>
      </c>
      <c r="F1555" s="19">
        <v>2955</v>
      </c>
      <c r="G1555" s="20">
        <v>112</v>
      </c>
      <c r="H1555" s="21">
        <v>91</v>
      </c>
      <c r="I1555" s="22">
        <v>2976</v>
      </c>
      <c r="J1555" s="35">
        <v>81.2</v>
      </c>
    </row>
    <row r="1556" spans="1:10" ht="15.75" customHeight="1">
      <c r="A1556" s="24" t="s">
        <v>10</v>
      </c>
      <c r="B1556" s="25">
        <v>46164</v>
      </c>
      <c r="C1556" s="26" t="s">
        <v>47</v>
      </c>
      <c r="D1556" s="27" t="s">
        <v>46</v>
      </c>
      <c r="E1556" s="28" t="s">
        <v>30</v>
      </c>
      <c r="F1556" s="29">
        <v>4775</v>
      </c>
      <c r="G1556" s="30">
        <v>152</v>
      </c>
      <c r="H1556" s="31">
        <v>110</v>
      </c>
      <c r="I1556" s="32">
        <v>4817</v>
      </c>
      <c r="J1556" s="34">
        <v>72.400000000000006</v>
      </c>
    </row>
    <row r="1557" spans="1:10" ht="15.75" customHeight="1">
      <c r="A1557" s="14" t="s">
        <v>10</v>
      </c>
      <c r="B1557" s="15">
        <v>46164</v>
      </c>
      <c r="C1557" s="16" t="s">
        <v>47</v>
      </c>
      <c r="D1557" s="17" t="s">
        <v>46</v>
      </c>
      <c r="E1557" s="18" t="s">
        <v>32</v>
      </c>
      <c r="F1557" s="19">
        <v>2072</v>
      </c>
      <c r="G1557" s="20">
        <v>88</v>
      </c>
      <c r="H1557" s="21">
        <v>79</v>
      </c>
      <c r="I1557" s="22">
        <v>2081</v>
      </c>
      <c r="J1557" s="35">
        <v>89.8</v>
      </c>
    </row>
    <row r="1558" spans="1:10" ht="15.75" customHeight="1">
      <c r="A1558" s="24" t="s">
        <v>10</v>
      </c>
      <c r="B1558" s="25">
        <v>46164</v>
      </c>
      <c r="C1558" s="26" t="s">
        <v>47</v>
      </c>
      <c r="D1558" s="27" t="s">
        <v>46</v>
      </c>
      <c r="E1558" s="28" t="s">
        <v>34</v>
      </c>
      <c r="F1558" s="29">
        <v>4950</v>
      </c>
      <c r="G1558" s="30">
        <v>134</v>
      </c>
      <c r="H1558" s="31">
        <v>89</v>
      </c>
      <c r="I1558" s="32">
        <v>4995</v>
      </c>
      <c r="J1558" s="34">
        <v>66.400000000000006</v>
      </c>
    </row>
    <row r="1559" spans="1:10" ht="15.75" customHeight="1">
      <c r="A1559" s="14" t="s">
        <v>10</v>
      </c>
      <c r="B1559" s="15">
        <v>46164</v>
      </c>
      <c r="C1559" s="16" t="s">
        <v>47</v>
      </c>
      <c r="D1559" s="17" t="s">
        <v>46</v>
      </c>
      <c r="E1559" s="18" t="s">
        <v>25</v>
      </c>
      <c r="F1559" s="19">
        <v>2558</v>
      </c>
      <c r="G1559" s="20">
        <v>98</v>
      </c>
      <c r="H1559" s="21">
        <v>82</v>
      </c>
      <c r="I1559" s="22">
        <v>2574</v>
      </c>
      <c r="J1559" s="35">
        <v>83.7</v>
      </c>
    </row>
    <row r="1560" spans="1:10" ht="15.75" customHeight="1">
      <c r="A1560" s="24" t="s">
        <v>10</v>
      </c>
      <c r="B1560" s="25">
        <v>46164</v>
      </c>
      <c r="C1560" s="26" t="s">
        <v>47</v>
      </c>
      <c r="D1560" s="27" t="s">
        <v>46</v>
      </c>
      <c r="E1560" s="28" t="s">
        <v>35</v>
      </c>
      <c r="F1560" s="29">
        <v>2744</v>
      </c>
      <c r="G1560" s="30">
        <v>89</v>
      </c>
      <c r="H1560" s="31">
        <v>75</v>
      </c>
      <c r="I1560" s="32">
        <v>2758</v>
      </c>
      <c r="J1560" s="33">
        <v>84.3</v>
      </c>
    </row>
    <row r="1561" spans="1:10" ht="15.75" customHeight="1">
      <c r="A1561" s="14" t="s">
        <v>10</v>
      </c>
      <c r="B1561" s="15">
        <v>46164</v>
      </c>
      <c r="C1561" s="16" t="s">
        <v>47</v>
      </c>
      <c r="D1561" s="17" t="s">
        <v>46</v>
      </c>
      <c r="E1561" s="18" t="s">
        <v>29</v>
      </c>
      <c r="F1561" s="19">
        <v>3219</v>
      </c>
      <c r="G1561" s="20">
        <v>92</v>
      </c>
      <c r="H1561" s="21">
        <v>63</v>
      </c>
      <c r="I1561" s="22">
        <v>3248</v>
      </c>
      <c r="J1561" s="23">
        <v>68.5</v>
      </c>
    </row>
    <row r="1562" spans="1:10" ht="15.75" customHeight="1">
      <c r="A1562" s="24" t="s">
        <v>10</v>
      </c>
      <c r="B1562" s="25">
        <v>46164</v>
      </c>
      <c r="C1562" s="26" t="s">
        <v>47</v>
      </c>
      <c r="D1562" s="27" t="s">
        <v>46</v>
      </c>
      <c r="E1562" s="28" t="s">
        <v>31</v>
      </c>
      <c r="F1562" s="29">
        <v>4096</v>
      </c>
      <c r="G1562" s="30">
        <v>121</v>
      </c>
      <c r="H1562" s="31">
        <v>98</v>
      </c>
      <c r="I1562" s="32">
        <v>4119</v>
      </c>
      <c r="J1562" s="33">
        <v>81</v>
      </c>
    </row>
    <row r="1563" spans="1:10" ht="15.75" customHeight="1">
      <c r="A1563" s="14" t="s">
        <v>10</v>
      </c>
      <c r="B1563" s="15">
        <v>46164</v>
      </c>
      <c r="C1563" s="16" t="s">
        <v>47</v>
      </c>
      <c r="D1563" s="17" t="s">
        <v>46</v>
      </c>
      <c r="E1563" s="18" t="s">
        <v>33</v>
      </c>
      <c r="F1563" s="19">
        <v>1531</v>
      </c>
      <c r="G1563" s="20">
        <v>98</v>
      </c>
      <c r="H1563" s="21">
        <v>94</v>
      </c>
      <c r="I1563" s="22">
        <v>1535</v>
      </c>
      <c r="J1563" s="35">
        <v>95.9</v>
      </c>
    </row>
    <row r="1564" spans="1:10" ht="15.75" customHeight="1">
      <c r="A1564" s="24" t="s">
        <v>10</v>
      </c>
      <c r="B1564" s="25">
        <v>46164</v>
      </c>
      <c r="C1564" s="26" t="s">
        <v>47</v>
      </c>
      <c r="D1564" s="27" t="s">
        <v>46</v>
      </c>
      <c r="E1564" s="28" t="s">
        <v>36</v>
      </c>
      <c r="F1564" s="29">
        <v>5142</v>
      </c>
      <c r="G1564" s="30">
        <v>157</v>
      </c>
      <c r="H1564" s="31">
        <v>114</v>
      </c>
      <c r="I1564" s="32">
        <v>5185</v>
      </c>
      <c r="J1564" s="34">
        <v>72.599999999999994</v>
      </c>
    </row>
    <row r="1565" spans="1:10" ht="15.75" customHeight="1">
      <c r="A1565" s="36" t="s">
        <v>10</v>
      </c>
      <c r="B1565" s="37">
        <v>46165</v>
      </c>
      <c r="C1565" s="38" t="s">
        <v>48</v>
      </c>
      <c r="D1565" s="39" t="s">
        <v>49</v>
      </c>
      <c r="E1565" s="40" t="s">
        <v>26</v>
      </c>
      <c r="F1565" s="41">
        <v>4114</v>
      </c>
      <c r="G1565" s="42">
        <v>45</v>
      </c>
      <c r="H1565" s="43">
        <v>31</v>
      </c>
      <c r="I1565" s="44">
        <v>4128</v>
      </c>
      <c r="J1565" s="46">
        <v>68.900000000000006</v>
      </c>
    </row>
    <row r="1566" spans="1:10" ht="15.75" customHeight="1">
      <c r="A1566" s="36" t="s">
        <v>10</v>
      </c>
      <c r="B1566" s="37">
        <v>46165</v>
      </c>
      <c r="C1566" s="38" t="s">
        <v>48</v>
      </c>
      <c r="D1566" s="39" t="s">
        <v>49</v>
      </c>
      <c r="E1566" s="40" t="s">
        <v>27</v>
      </c>
      <c r="F1566" s="41">
        <v>2976</v>
      </c>
      <c r="G1566" s="42">
        <v>44</v>
      </c>
      <c r="H1566" s="43">
        <v>34</v>
      </c>
      <c r="I1566" s="44">
        <v>2986</v>
      </c>
      <c r="J1566" s="45">
        <v>77.3</v>
      </c>
    </row>
    <row r="1567" spans="1:10" ht="15.75" customHeight="1">
      <c r="A1567" s="36" t="s">
        <v>10</v>
      </c>
      <c r="B1567" s="37">
        <v>46165</v>
      </c>
      <c r="C1567" s="38" t="s">
        <v>48</v>
      </c>
      <c r="D1567" s="39" t="s">
        <v>49</v>
      </c>
      <c r="E1567" s="40" t="s">
        <v>30</v>
      </c>
      <c r="F1567" s="41">
        <v>4817</v>
      </c>
      <c r="G1567" s="42">
        <v>56</v>
      </c>
      <c r="H1567" s="43">
        <v>34</v>
      </c>
      <c r="I1567" s="44">
        <v>4839</v>
      </c>
      <c r="J1567" s="46">
        <v>60.7</v>
      </c>
    </row>
    <row r="1568" spans="1:10" ht="15.75" customHeight="1">
      <c r="A1568" s="36" t="s">
        <v>10</v>
      </c>
      <c r="B1568" s="37">
        <v>46165</v>
      </c>
      <c r="C1568" s="38" t="s">
        <v>48</v>
      </c>
      <c r="D1568" s="39" t="s">
        <v>49</v>
      </c>
      <c r="E1568" s="40" t="s">
        <v>32</v>
      </c>
      <c r="F1568" s="41">
        <v>2081</v>
      </c>
      <c r="G1568" s="42">
        <v>24</v>
      </c>
      <c r="H1568" s="43">
        <v>21</v>
      </c>
      <c r="I1568" s="44">
        <v>2084</v>
      </c>
      <c r="J1568" s="45">
        <v>87.5</v>
      </c>
    </row>
    <row r="1569" spans="1:10" ht="15.75" customHeight="1">
      <c r="A1569" s="36" t="s">
        <v>10</v>
      </c>
      <c r="B1569" s="37">
        <v>46165</v>
      </c>
      <c r="C1569" s="38" t="s">
        <v>48</v>
      </c>
      <c r="D1569" s="39" t="s">
        <v>49</v>
      </c>
      <c r="E1569" s="40" t="s">
        <v>34</v>
      </c>
      <c r="F1569" s="41">
        <v>4995</v>
      </c>
      <c r="G1569" s="42">
        <v>87</v>
      </c>
      <c r="H1569" s="43">
        <v>66</v>
      </c>
      <c r="I1569" s="44">
        <v>5016</v>
      </c>
      <c r="J1569" s="45">
        <v>75.900000000000006</v>
      </c>
    </row>
    <row r="1570" spans="1:10" ht="15.75" customHeight="1">
      <c r="A1570" s="36" t="s">
        <v>10</v>
      </c>
      <c r="B1570" s="37">
        <v>46165</v>
      </c>
      <c r="C1570" s="38" t="s">
        <v>48</v>
      </c>
      <c r="D1570" s="39" t="s">
        <v>49</v>
      </c>
      <c r="E1570" s="40" t="s">
        <v>25</v>
      </c>
      <c r="F1570" s="41">
        <v>2574</v>
      </c>
      <c r="G1570" s="42">
        <v>31</v>
      </c>
      <c r="H1570" s="43">
        <v>22</v>
      </c>
      <c r="I1570" s="44">
        <v>2583</v>
      </c>
      <c r="J1570" s="46">
        <v>71</v>
      </c>
    </row>
    <row r="1571" spans="1:10" ht="15.75" customHeight="1">
      <c r="A1571" s="36" t="s">
        <v>10</v>
      </c>
      <c r="B1571" s="37">
        <v>46165</v>
      </c>
      <c r="C1571" s="38" t="s">
        <v>48</v>
      </c>
      <c r="D1571" s="39" t="s">
        <v>49</v>
      </c>
      <c r="E1571" s="40" t="s">
        <v>35</v>
      </c>
      <c r="F1571" s="41">
        <v>2758</v>
      </c>
      <c r="G1571" s="42">
        <v>54</v>
      </c>
      <c r="H1571" s="43">
        <v>46</v>
      </c>
      <c r="I1571" s="44">
        <v>2766</v>
      </c>
      <c r="J1571" s="45">
        <v>85.2</v>
      </c>
    </row>
    <row r="1572" spans="1:10" ht="15.75" customHeight="1">
      <c r="A1572" s="36" t="s">
        <v>10</v>
      </c>
      <c r="B1572" s="37">
        <v>46165</v>
      </c>
      <c r="C1572" s="38" t="s">
        <v>48</v>
      </c>
      <c r="D1572" s="39" t="s">
        <v>49</v>
      </c>
      <c r="E1572" s="40" t="s">
        <v>29</v>
      </c>
      <c r="F1572" s="41">
        <v>3248</v>
      </c>
      <c r="G1572" s="42">
        <v>40</v>
      </c>
      <c r="H1572" s="43">
        <v>34</v>
      </c>
      <c r="I1572" s="44">
        <v>3254</v>
      </c>
      <c r="J1572" s="45">
        <v>85</v>
      </c>
    </row>
    <row r="1573" spans="1:10" ht="15.75" customHeight="1">
      <c r="A1573" s="36" t="s">
        <v>10</v>
      </c>
      <c r="B1573" s="37">
        <v>46165</v>
      </c>
      <c r="C1573" s="38" t="s">
        <v>48</v>
      </c>
      <c r="D1573" s="39" t="s">
        <v>49</v>
      </c>
      <c r="E1573" s="40" t="s">
        <v>31</v>
      </c>
      <c r="F1573" s="41">
        <v>4119</v>
      </c>
      <c r="G1573" s="42">
        <v>69</v>
      </c>
      <c r="H1573" s="43">
        <v>57</v>
      </c>
      <c r="I1573" s="44">
        <v>4131</v>
      </c>
      <c r="J1573" s="45">
        <v>82.6</v>
      </c>
    </row>
    <row r="1574" spans="1:10" ht="15.75" customHeight="1">
      <c r="A1574" s="36" t="s">
        <v>10</v>
      </c>
      <c r="B1574" s="37">
        <v>46165</v>
      </c>
      <c r="C1574" s="38" t="s">
        <v>48</v>
      </c>
      <c r="D1574" s="39" t="s">
        <v>49</v>
      </c>
      <c r="E1574" s="40" t="s">
        <v>33</v>
      </c>
      <c r="F1574" s="41">
        <v>1535</v>
      </c>
      <c r="G1574" s="42">
        <v>43</v>
      </c>
      <c r="H1574" s="43">
        <v>38</v>
      </c>
      <c r="I1574" s="44">
        <v>1540</v>
      </c>
      <c r="J1574" s="45">
        <v>88.4</v>
      </c>
    </row>
    <row r="1575" spans="1:10" ht="15.75" customHeight="1">
      <c r="A1575" s="36" t="s">
        <v>10</v>
      </c>
      <c r="B1575" s="37">
        <v>46165</v>
      </c>
      <c r="C1575" s="38" t="s">
        <v>48</v>
      </c>
      <c r="D1575" s="39" t="s">
        <v>49</v>
      </c>
      <c r="E1575" s="40" t="s">
        <v>36</v>
      </c>
      <c r="F1575" s="41">
        <v>5185</v>
      </c>
      <c r="G1575" s="42">
        <v>42</v>
      </c>
      <c r="H1575" s="43">
        <v>31</v>
      </c>
      <c r="I1575" s="44">
        <v>5196</v>
      </c>
      <c r="J1575" s="46">
        <v>73.8</v>
      </c>
    </row>
    <row r="1576" spans="1:10" ht="15.75" customHeight="1">
      <c r="A1576" s="36" t="s">
        <v>10</v>
      </c>
      <c r="B1576" s="37">
        <v>46166</v>
      </c>
      <c r="C1576" s="38" t="s">
        <v>50</v>
      </c>
      <c r="D1576" s="39" t="s">
        <v>49</v>
      </c>
      <c r="E1576" s="40" t="s">
        <v>26</v>
      </c>
      <c r="F1576" s="41">
        <v>4128</v>
      </c>
      <c r="G1576" s="42">
        <v>68</v>
      </c>
      <c r="H1576" s="43">
        <v>50</v>
      </c>
      <c r="I1576" s="44">
        <v>4146</v>
      </c>
      <c r="J1576" s="46">
        <v>73.5</v>
      </c>
    </row>
    <row r="1577" spans="1:10" ht="15.75" customHeight="1">
      <c r="A1577" s="36" t="s">
        <v>10</v>
      </c>
      <c r="B1577" s="37">
        <v>46166</v>
      </c>
      <c r="C1577" s="38" t="s">
        <v>50</v>
      </c>
      <c r="D1577" s="39" t="s">
        <v>49</v>
      </c>
      <c r="E1577" s="40" t="s">
        <v>27</v>
      </c>
      <c r="F1577" s="41">
        <v>2986</v>
      </c>
      <c r="G1577" s="42">
        <v>54</v>
      </c>
      <c r="H1577" s="43">
        <v>41</v>
      </c>
      <c r="I1577" s="44">
        <v>2999</v>
      </c>
      <c r="J1577" s="45">
        <v>75.900000000000006</v>
      </c>
    </row>
    <row r="1578" spans="1:10" ht="15.75" customHeight="1">
      <c r="A1578" s="36" t="s">
        <v>10</v>
      </c>
      <c r="B1578" s="37">
        <v>46166</v>
      </c>
      <c r="C1578" s="38" t="s">
        <v>50</v>
      </c>
      <c r="D1578" s="39" t="s">
        <v>49</v>
      </c>
      <c r="E1578" s="40" t="s">
        <v>30</v>
      </c>
      <c r="F1578" s="41">
        <v>4839</v>
      </c>
      <c r="G1578" s="42">
        <v>43</v>
      </c>
      <c r="H1578" s="43">
        <v>31</v>
      </c>
      <c r="I1578" s="44">
        <v>4851</v>
      </c>
      <c r="J1578" s="46">
        <v>72.099999999999994</v>
      </c>
    </row>
    <row r="1579" spans="1:10" ht="15.75" customHeight="1">
      <c r="A1579" s="36" t="s">
        <v>10</v>
      </c>
      <c r="B1579" s="37">
        <v>46166</v>
      </c>
      <c r="C1579" s="38" t="s">
        <v>50</v>
      </c>
      <c r="D1579" s="39" t="s">
        <v>49</v>
      </c>
      <c r="E1579" s="40" t="s">
        <v>32</v>
      </c>
      <c r="F1579" s="41">
        <v>2084</v>
      </c>
      <c r="G1579" s="42">
        <v>25</v>
      </c>
      <c r="H1579" s="43">
        <v>20</v>
      </c>
      <c r="I1579" s="44">
        <v>2089</v>
      </c>
      <c r="J1579" s="45">
        <v>80</v>
      </c>
    </row>
    <row r="1580" spans="1:10" ht="15.75" customHeight="1">
      <c r="A1580" s="36" t="s">
        <v>10</v>
      </c>
      <c r="B1580" s="37">
        <v>46166</v>
      </c>
      <c r="C1580" s="38" t="s">
        <v>50</v>
      </c>
      <c r="D1580" s="39" t="s">
        <v>49</v>
      </c>
      <c r="E1580" s="40" t="s">
        <v>34</v>
      </c>
      <c r="F1580" s="41">
        <v>5016</v>
      </c>
      <c r="G1580" s="42">
        <v>50</v>
      </c>
      <c r="H1580" s="43">
        <v>40</v>
      </c>
      <c r="I1580" s="44">
        <v>5026</v>
      </c>
      <c r="J1580" s="45">
        <v>80</v>
      </c>
    </row>
    <row r="1581" spans="1:10" ht="15.75" customHeight="1">
      <c r="A1581" s="36" t="s">
        <v>10</v>
      </c>
      <c r="B1581" s="37">
        <v>46166</v>
      </c>
      <c r="C1581" s="38" t="s">
        <v>50</v>
      </c>
      <c r="D1581" s="39" t="s">
        <v>49</v>
      </c>
      <c r="E1581" s="40" t="s">
        <v>25</v>
      </c>
      <c r="F1581" s="41">
        <v>2583</v>
      </c>
      <c r="G1581" s="42">
        <v>49</v>
      </c>
      <c r="H1581" s="43">
        <v>38</v>
      </c>
      <c r="I1581" s="44">
        <v>2594</v>
      </c>
      <c r="J1581" s="45">
        <v>77.599999999999994</v>
      </c>
    </row>
    <row r="1582" spans="1:10" ht="15.75" customHeight="1">
      <c r="A1582" s="36" t="s">
        <v>10</v>
      </c>
      <c r="B1582" s="37">
        <v>46166</v>
      </c>
      <c r="C1582" s="38" t="s">
        <v>50</v>
      </c>
      <c r="D1582" s="39" t="s">
        <v>49</v>
      </c>
      <c r="E1582" s="40" t="s">
        <v>35</v>
      </c>
      <c r="F1582" s="41">
        <v>2766</v>
      </c>
      <c r="G1582" s="42">
        <v>35</v>
      </c>
      <c r="H1582" s="43">
        <v>31</v>
      </c>
      <c r="I1582" s="44">
        <v>2770</v>
      </c>
      <c r="J1582" s="45">
        <v>88.6</v>
      </c>
    </row>
    <row r="1583" spans="1:10" ht="15.75" customHeight="1">
      <c r="A1583" s="36" t="s">
        <v>10</v>
      </c>
      <c r="B1583" s="37">
        <v>46166</v>
      </c>
      <c r="C1583" s="38" t="s">
        <v>50</v>
      </c>
      <c r="D1583" s="39" t="s">
        <v>49</v>
      </c>
      <c r="E1583" s="40" t="s">
        <v>29</v>
      </c>
      <c r="F1583" s="41">
        <v>3254</v>
      </c>
      <c r="G1583" s="42">
        <v>32</v>
      </c>
      <c r="H1583" s="43">
        <v>22</v>
      </c>
      <c r="I1583" s="44">
        <v>3264</v>
      </c>
      <c r="J1583" s="46">
        <v>68.8</v>
      </c>
    </row>
    <row r="1584" spans="1:10" ht="15.75" customHeight="1">
      <c r="A1584" s="36" t="s">
        <v>10</v>
      </c>
      <c r="B1584" s="37">
        <v>46166</v>
      </c>
      <c r="C1584" s="38" t="s">
        <v>50</v>
      </c>
      <c r="D1584" s="39" t="s">
        <v>49</v>
      </c>
      <c r="E1584" s="40" t="s">
        <v>31</v>
      </c>
      <c r="F1584" s="41">
        <v>4131</v>
      </c>
      <c r="G1584" s="42">
        <v>61</v>
      </c>
      <c r="H1584" s="43">
        <v>48</v>
      </c>
      <c r="I1584" s="44">
        <v>4144</v>
      </c>
      <c r="J1584" s="45">
        <v>78.7</v>
      </c>
    </row>
    <row r="1585" spans="1:10" ht="15.75" customHeight="1">
      <c r="A1585" s="36" t="s">
        <v>10</v>
      </c>
      <c r="B1585" s="37">
        <v>46166</v>
      </c>
      <c r="C1585" s="38" t="s">
        <v>50</v>
      </c>
      <c r="D1585" s="39" t="s">
        <v>49</v>
      </c>
      <c r="E1585" s="40" t="s">
        <v>33</v>
      </c>
      <c r="F1585" s="41">
        <v>1540</v>
      </c>
      <c r="G1585" s="42">
        <v>34</v>
      </c>
      <c r="H1585" s="43">
        <v>27</v>
      </c>
      <c r="I1585" s="44">
        <v>1547</v>
      </c>
      <c r="J1585" s="45">
        <v>79.400000000000006</v>
      </c>
    </row>
    <row r="1586" spans="1:10" ht="15.75" customHeight="1">
      <c r="A1586" s="36" t="s">
        <v>10</v>
      </c>
      <c r="B1586" s="37">
        <v>46166</v>
      </c>
      <c r="C1586" s="38" t="s">
        <v>50</v>
      </c>
      <c r="D1586" s="39" t="s">
        <v>49</v>
      </c>
      <c r="E1586" s="40" t="s">
        <v>36</v>
      </c>
      <c r="F1586" s="41">
        <v>5196</v>
      </c>
      <c r="G1586" s="42">
        <v>63</v>
      </c>
      <c r="H1586" s="43">
        <v>51</v>
      </c>
      <c r="I1586" s="44">
        <v>5208</v>
      </c>
      <c r="J1586" s="45">
        <v>81</v>
      </c>
    </row>
    <row r="1587" spans="1:10" ht="15.75" customHeight="1">
      <c r="A1587" s="14" t="s">
        <v>10</v>
      </c>
      <c r="B1587" s="15">
        <v>46167</v>
      </c>
      <c r="C1587" s="16" t="s">
        <v>51</v>
      </c>
      <c r="D1587" s="17" t="s">
        <v>46</v>
      </c>
      <c r="E1587" s="18" t="s">
        <v>26</v>
      </c>
      <c r="F1587" s="19">
        <v>4146</v>
      </c>
      <c r="G1587" s="20">
        <v>94</v>
      </c>
      <c r="H1587" s="21">
        <v>77</v>
      </c>
      <c r="I1587" s="22">
        <v>4163</v>
      </c>
      <c r="J1587" s="35">
        <v>81.900000000000006</v>
      </c>
    </row>
    <row r="1588" spans="1:10" ht="15.75" customHeight="1">
      <c r="A1588" s="24" t="s">
        <v>10</v>
      </c>
      <c r="B1588" s="25">
        <v>46167</v>
      </c>
      <c r="C1588" s="26" t="s">
        <v>51</v>
      </c>
      <c r="D1588" s="27" t="s">
        <v>46</v>
      </c>
      <c r="E1588" s="28" t="s">
        <v>27</v>
      </c>
      <c r="F1588" s="29">
        <v>2999</v>
      </c>
      <c r="G1588" s="30">
        <v>102</v>
      </c>
      <c r="H1588" s="31">
        <v>77</v>
      </c>
      <c r="I1588" s="32">
        <v>3024</v>
      </c>
      <c r="J1588" s="33">
        <v>75.5</v>
      </c>
    </row>
    <row r="1589" spans="1:10" ht="15.75" customHeight="1">
      <c r="A1589" s="14" t="s">
        <v>10</v>
      </c>
      <c r="B1589" s="15">
        <v>46167</v>
      </c>
      <c r="C1589" s="16" t="s">
        <v>51</v>
      </c>
      <c r="D1589" s="17" t="s">
        <v>46</v>
      </c>
      <c r="E1589" s="18" t="s">
        <v>30</v>
      </c>
      <c r="F1589" s="19">
        <v>4851</v>
      </c>
      <c r="G1589" s="20">
        <v>134</v>
      </c>
      <c r="H1589" s="21">
        <v>91</v>
      </c>
      <c r="I1589" s="22">
        <v>4894</v>
      </c>
      <c r="J1589" s="23">
        <v>67.900000000000006</v>
      </c>
    </row>
    <row r="1590" spans="1:10" ht="15.75" customHeight="1">
      <c r="A1590" s="24" t="s">
        <v>10</v>
      </c>
      <c r="B1590" s="25">
        <v>46167</v>
      </c>
      <c r="C1590" s="26" t="s">
        <v>51</v>
      </c>
      <c r="D1590" s="27" t="s">
        <v>46</v>
      </c>
      <c r="E1590" s="28" t="s">
        <v>32</v>
      </c>
      <c r="F1590" s="29">
        <v>2089</v>
      </c>
      <c r="G1590" s="30">
        <v>106</v>
      </c>
      <c r="H1590" s="31">
        <v>99</v>
      </c>
      <c r="I1590" s="32">
        <v>2096</v>
      </c>
      <c r="J1590" s="33">
        <v>93.4</v>
      </c>
    </row>
    <row r="1591" spans="1:10" ht="15.75" customHeight="1">
      <c r="A1591" s="14" t="s">
        <v>10</v>
      </c>
      <c r="B1591" s="15">
        <v>46167</v>
      </c>
      <c r="C1591" s="16" t="s">
        <v>51</v>
      </c>
      <c r="D1591" s="17" t="s">
        <v>46</v>
      </c>
      <c r="E1591" s="18" t="s">
        <v>34</v>
      </c>
      <c r="F1591" s="19">
        <v>5026</v>
      </c>
      <c r="G1591" s="20">
        <v>118</v>
      </c>
      <c r="H1591" s="21">
        <v>80</v>
      </c>
      <c r="I1591" s="22">
        <v>5064</v>
      </c>
      <c r="J1591" s="23">
        <v>67.8</v>
      </c>
    </row>
    <row r="1592" spans="1:10" ht="15.75" customHeight="1">
      <c r="A1592" s="24" t="s">
        <v>10</v>
      </c>
      <c r="B1592" s="25">
        <v>46167</v>
      </c>
      <c r="C1592" s="26" t="s">
        <v>51</v>
      </c>
      <c r="D1592" s="27" t="s">
        <v>46</v>
      </c>
      <c r="E1592" s="28" t="s">
        <v>25</v>
      </c>
      <c r="F1592" s="29">
        <v>2594</v>
      </c>
      <c r="G1592" s="30">
        <v>56</v>
      </c>
      <c r="H1592" s="31">
        <v>40</v>
      </c>
      <c r="I1592" s="32">
        <v>2610</v>
      </c>
      <c r="J1592" s="34">
        <v>71.400000000000006</v>
      </c>
    </row>
    <row r="1593" spans="1:10" ht="15.75" customHeight="1">
      <c r="A1593" s="14" t="s">
        <v>10</v>
      </c>
      <c r="B1593" s="15">
        <v>46167</v>
      </c>
      <c r="C1593" s="16" t="s">
        <v>51</v>
      </c>
      <c r="D1593" s="17" t="s">
        <v>46</v>
      </c>
      <c r="E1593" s="18" t="s">
        <v>35</v>
      </c>
      <c r="F1593" s="19">
        <v>2770</v>
      </c>
      <c r="G1593" s="20">
        <v>107</v>
      </c>
      <c r="H1593" s="21">
        <v>83</v>
      </c>
      <c r="I1593" s="22">
        <v>2794</v>
      </c>
      <c r="J1593" s="35">
        <v>77.599999999999994</v>
      </c>
    </row>
    <row r="1594" spans="1:10" ht="15.75" customHeight="1">
      <c r="A1594" s="24" t="s">
        <v>10</v>
      </c>
      <c r="B1594" s="25">
        <v>46167</v>
      </c>
      <c r="C1594" s="26" t="s">
        <v>51</v>
      </c>
      <c r="D1594" s="27" t="s">
        <v>46</v>
      </c>
      <c r="E1594" s="28" t="s">
        <v>29</v>
      </c>
      <c r="F1594" s="29">
        <v>3264</v>
      </c>
      <c r="G1594" s="30">
        <v>76</v>
      </c>
      <c r="H1594" s="31">
        <v>54</v>
      </c>
      <c r="I1594" s="32">
        <v>3286</v>
      </c>
      <c r="J1594" s="34">
        <v>71.099999999999994</v>
      </c>
    </row>
    <row r="1595" spans="1:10" ht="15.75" customHeight="1">
      <c r="A1595" s="14" t="s">
        <v>10</v>
      </c>
      <c r="B1595" s="15">
        <v>46167</v>
      </c>
      <c r="C1595" s="16" t="s">
        <v>51</v>
      </c>
      <c r="D1595" s="17" t="s">
        <v>46</v>
      </c>
      <c r="E1595" s="18" t="s">
        <v>31</v>
      </c>
      <c r="F1595" s="19">
        <v>4144</v>
      </c>
      <c r="G1595" s="20">
        <v>94</v>
      </c>
      <c r="H1595" s="21">
        <v>65</v>
      </c>
      <c r="I1595" s="22">
        <v>4173</v>
      </c>
      <c r="J1595" s="23">
        <v>69.099999999999994</v>
      </c>
    </row>
    <row r="1596" spans="1:10" ht="15.75" customHeight="1">
      <c r="A1596" s="24" t="s">
        <v>10</v>
      </c>
      <c r="B1596" s="25">
        <v>46167</v>
      </c>
      <c r="C1596" s="26" t="s">
        <v>51</v>
      </c>
      <c r="D1596" s="27" t="s">
        <v>46</v>
      </c>
      <c r="E1596" s="28" t="s">
        <v>33</v>
      </c>
      <c r="F1596" s="29">
        <v>1547</v>
      </c>
      <c r="G1596" s="30">
        <v>104</v>
      </c>
      <c r="H1596" s="31">
        <v>101</v>
      </c>
      <c r="I1596" s="32">
        <v>1550</v>
      </c>
      <c r="J1596" s="33">
        <v>97.1</v>
      </c>
    </row>
    <row r="1597" spans="1:10" ht="15.75" customHeight="1">
      <c r="A1597" s="14" t="s">
        <v>10</v>
      </c>
      <c r="B1597" s="15">
        <v>46167</v>
      </c>
      <c r="C1597" s="16" t="s">
        <v>51</v>
      </c>
      <c r="D1597" s="17" t="s">
        <v>46</v>
      </c>
      <c r="E1597" s="18" t="s">
        <v>36</v>
      </c>
      <c r="F1597" s="19">
        <v>5208</v>
      </c>
      <c r="G1597" s="20">
        <v>158</v>
      </c>
      <c r="H1597" s="21">
        <v>125</v>
      </c>
      <c r="I1597" s="22">
        <v>5241</v>
      </c>
      <c r="J1597" s="35">
        <v>79.099999999999994</v>
      </c>
    </row>
    <row r="1598" spans="1:10" ht="15.75" customHeight="1">
      <c r="A1598" s="24" t="s">
        <v>10</v>
      </c>
      <c r="B1598" s="25">
        <v>46168</v>
      </c>
      <c r="C1598" s="26" t="s">
        <v>52</v>
      </c>
      <c r="D1598" s="27" t="s">
        <v>46</v>
      </c>
      <c r="E1598" s="28" t="s">
        <v>26</v>
      </c>
      <c r="F1598" s="29">
        <v>4163</v>
      </c>
      <c r="G1598" s="30">
        <v>140</v>
      </c>
      <c r="H1598" s="31">
        <v>105</v>
      </c>
      <c r="I1598" s="32">
        <v>4198</v>
      </c>
      <c r="J1598" s="33">
        <v>75</v>
      </c>
    </row>
    <row r="1599" spans="1:10" ht="15.75" customHeight="1">
      <c r="A1599" s="14" t="s">
        <v>10</v>
      </c>
      <c r="B1599" s="15">
        <v>46168</v>
      </c>
      <c r="C1599" s="16" t="s">
        <v>52</v>
      </c>
      <c r="D1599" s="17" t="s">
        <v>46</v>
      </c>
      <c r="E1599" s="18" t="s">
        <v>27</v>
      </c>
      <c r="F1599" s="19">
        <v>3024</v>
      </c>
      <c r="G1599" s="20">
        <v>110</v>
      </c>
      <c r="H1599" s="21">
        <v>86</v>
      </c>
      <c r="I1599" s="22">
        <v>3048</v>
      </c>
      <c r="J1599" s="35">
        <v>78.2</v>
      </c>
    </row>
    <row r="1600" spans="1:10" ht="15.75" customHeight="1">
      <c r="A1600" s="24" t="s">
        <v>10</v>
      </c>
      <c r="B1600" s="25">
        <v>46168</v>
      </c>
      <c r="C1600" s="26" t="s">
        <v>52</v>
      </c>
      <c r="D1600" s="27" t="s">
        <v>46</v>
      </c>
      <c r="E1600" s="28" t="s">
        <v>30</v>
      </c>
      <c r="F1600" s="29">
        <v>4894</v>
      </c>
      <c r="G1600" s="30">
        <v>125</v>
      </c>
      <c r="H1600" s="31">
        <v>93</v>
      </c>
      <c r="I1600" s="32">
        <v>4926</v>
      </c>
      <c r="J1600" s="34">
        <v>74.400000000000006</v>
      </c>
    </row>
    <row r="1601" spans="1:10" ht="15.75" customHeight="1">
      <c r="A1601" s="14" t="s">
        <v>10</v>
      </c>
      <c r="B1601" s="15">
        <v>46168</v>
      </c>
      <c r="C1601" s="16" t="s">
        <v>52</v>
      </c>
      <c r="D1601" s="17" t="s">
        <v>46</v>
      </c>
      <c r="E1601" s="18" t="s">
        <v>32</v>
      </c>
      <c r="F1601" s="19">
        <v>2096</v>
      </c>
      <c r="G1601" s="20">
        <v>63</v>
      </c>
      <c r="H1601" s="21">
        <v>52</v>
      </c>
      <c r="I1601" s="22">
        <v>2107</v>
      </c>
      <c r="J1601" s="35">
        <v>82.5</v>
      </c>
    </row>
    <row r="1602" spans="1:10" ht="15.75" customHeight="1">
      <c r="A1602" s="24" t="s">
        <v>10</v>
      </c>
      <c r="B1602" s="25">
        <v>46168</v>
      </c>
      <c r="C1602" s="26" t="s">
        <v>52</v>
      </c>
      <c r="D1602" s="27" t="s">
        <v>46</v>
      </c>
      <c r="E1602" s="28" t="s">
        <v>34</v>
      </c>
      <c r="F1602" s="29">
        <v>5064</v>
      </c>
      <c r="G1602" s="30">
        <v>164</v>
      </c>
      <c r="H1602" s="31">
        <v>105</v>
      </c>
      <c r="I1602" s="32">
        <v>5123</v>
      </c>
      <c r="J1602" s="34">
        <v>64</v>
      </c>
    </row>
    <row r="1603" spans="1:10" ht="15.75" customHeight="1">
      <c r="A1603" s="14" t="s">
        <v>10</v>
      </c>
      <c r="B1603" s="15">
        <v>46168</v>
      </c>
      <c r="C1603" s="16" t="s">
        <v>52</v>
      </c>
      <c r="D1603" s="17" t="s">
        <v>46</v>
      </c>
      <c r="E1603" s="18" t="s">
        <v>25</v>
      </c>
      <c r="F1603" s="19">
        <v>2610</v>
      </c>
      <c r="G1603" s="20">
        <v>69</v>
      </c>
      <c r="H1603" s="21">
        <v>53</v>
      </c>
      <c r="I1603" s="22">
        <v>2626</v>
      </c>
      <c r="J1603" s="35">
        <v>76.8</v>
      </c>
    </row>
    <row r="1604" spans="1:10" ht="15.75" customHeight="1">
      <c r="A1604" s="24" t="s">
        <v>10</v>
      </c>
      <c r="B1604" s="25">
        <v>46168</v>
      </c>
      <c r="C1604" s="26" t="s">
        <v>52</v>
      </c>
      <c r="D1604" s="27" t="s">
        <v>46</v>
      </c>
      <c r="E1604" s="28" t="s">
        <v>35</v>
      </c>
      <c r="F1604" s="29">
        <v>2794</v>
      </c>
      <c r="G1604" s="30">
        <v>132</v>
      </c>
      <c r="H1604" s="31">
        <v>96</v>
      </c>
      <c r="I1604" s="32">
        <v>2830</v>
      </c>
      <c r="J1604" s="34">
        <v>72.7</v>
      </c>
    </row>
    <row r="1605" spans="1:10" ht="15.75" customHeight="1">
      <c r="A1605" s="14" t="s">
        <v>10</v>
      </c>
      <c r="B1605" s="15">
        <v>46168</v>
      </c>
      <c r="C1605" s="16" t="s">
        <v>52</v>
      </c>
      <c r="D1605" s="17" t="s">
        <v>46</v>
      </c>
      <c r="E1605" s="18" t="s">
        <v>29</v>
      </c>
      <c r="F1605" s="19">
        <v>3286</v>
      </c>
      <c r="G1605" s="20">
        <v>68</v>
      </c>
      <c r="H1605" s="21">
        <v>49</v>
      </c>
      <c r="I1605" s="22">
        <v>3305</v>
      </c>
      <c r="J1605" s="23">
        <v>72.099999999999994</v>
      </c>
    </row>
    <row r="1606" spans="1:10" ht="15.75" customHeight="1">
      <c r="A1606" s="24" t="s">
        <v>10</v>
      </c>
      <c r="B1606" s="25">
        <v>46168</v>
      </c>
      <c r="C1606" s="26" t="s">
        <v>52</v>
      </c>
      <c r="D1606" s="27" t="s">
        <v>46</v>
      </c>
      <c r="E1606" s="28" t="s">
        <v>31</v>
      </c>
      <c r="F1606" s="29">
        <v>4173</v>
      </c>
      <c r="G1606" s="30">
        <v>121</v>
      </c>
      <c r="H1606" s="31">
        <v>79</v>
      </c>
      <c r="I1606" s="32">
        <v>4215</v>
      </c>
      <c r="J1606" s="34">
        <v>65.3</v>
      </c>
    </row>
    <row r="1607" spans="1:10" ht="15.75" customHeight="1">
      <c r="A1607" s="14" t="s">
        <v>10</v>
      </c>
      <c r="B1607" s="15">
        <v>46168</v>
      </c>
      <c r="C1607" s="16" t="s">
        <v>52</v>
      </c>
      <c r="D1607" s="17" t="s">
        <v>46</v>
      </c>
      <c r="E1607" s="18" t="s">
        <v>33</v>
      </c>
      <c r="F1607" s="19">
        <v>1550</v>
      </c>
      <c r="G1607" s="20">
        <v>96</v>
      </c>
      <c r="H1607" s="21">
        <v>76</v>
      </c>
      <c r="I1607" s="22">
        <v>1570</v>
      </c>
      <c r="J1607" s="35">
        <v>79.2</v>
      </c>
    </row>
    <row r="1608" spans="1:10" ht="15.75" customHeight="1">
      <c r="A1608" s="24" t="s">
        <v>10</v>
      </c>
      <c r="B1608" s="25">
        <v>46168</v>
      </c>
      <c r="C1608" s="26" t="s">
        <v>52</v>
      </c>
      <c r="D1608" s="27" t="s">
        <v>46</v>
      </c>
      <c r="E1608" s="28" t="s">
        <v>36</v>
      </c>
      <c r="F1608" s="29">
        <v>5241</v>
      </c>
      <c r="G1608" s="30">
        <v>159</v>
      </c>
      <c r="H1608" s="31">
        <v>120</v>
      </c>
      <c r="I1608" s="32">
        <v>5280</v>
      </c>
      <c r="J1608" s="33">
        <v>75.5</v>
      </c>
    </row>
    <row r="1609" spans="1:10" ht="15.75" customHeight="1">
      <c r="A1609" s="14" t="s">
        <v>10</v>
      </c>
      <c r="B1609" s="15">
        <v>46169</v>
      </c>
      <c r="C1609" s="16" t="s">
        <v>53</v>
      </c>
      <c r="D1609" s="17" t="s">
        <v>46</v>
      </c>
      <c r="E1609" s="18" t="s">
        <v>26</v>
      </c>
      <c r="F1609" s="19">
        <v>4198</v>
      </c>
      <c r="G1609" s="20">
        <v>140</v>
      </c>
      <c r="H1609" s="21">
        <v>107</v>
      </c>
      <c r="I1609" s="22">
        <v>4231</v>
      </c>
      <c r="J1609" s="35">
        <v>76.400000000000006</v>
      </c>
    </row>
    <row r="1610" spans="1:10" ht="15.75" customHeight="1">
      <c r="A1610" s="24" t="s">
        <v>10</v>
      </c>
      <c r="B1610" s="25">
        <v>46169</v>
      </c>
      <c r="C1610" s="26" t="s">
        <v>53</v>
      </c>
      <c r="D1610" s="27" t="s">
        <v>46</v>
      </c>
      <c r="E1610" s="28" t="s">
        <v>27</v>
      </c>
      <c r="F1610" s="29">
        <v>3048</v>
      </c>
      <c r="G1610" s="30">
        <v>79</v>
      </c>
      <c r="H1610" s="31">
        <v>56</v>
      </c>
      <c r="I1610" s="32">
        <v>3071</v>
      </c>
      <c r="J1610" s="34">
        <v>70.900000000000006</v>
      </c>
    </row>
    <row r="1611" spans="1:10" ht="15.75" customHeight="1">
      <c r="A1611" s="14" t="s">
        <v>10</v>
      </c>
      <c r="B1611" s="15">
        <v>46169</v>
      </c>
      <c r="C1611" s="16" t="s">
        <v>53</v>
      </c>
      <c r="D1611" s="17" t="s">
        <v>46</v>
      </c>
      <c r="E1611" s="18" t="s">
        <v>30</v>
      </c>
      <c r="F1611" s="19">
        <v>4926</v>
      </c>
      <c r="G1611" s="20">
        <v>147</v>
      </c>
      <c r="H1611" s="21">
        <v>91</v>
      </c>
      <c r="I1611" s="22">
        <v>4982</v>
      </c>
      <c r="J1611" s="23">
        <v>61.9</v>
      </c>
    </row>
    <row r="1612" spans="1:10" ht="15.75" customHeight="1">
      <c r="A1612" s="24" t="s">
        <v>10</v>
      </c>
      <c r="B1612" s="25">
        <v>46169</v>
      </c>
      <c r="C1612" s="26" t="s">
        <v>53</v>
      </c>
      <c r="D1612" s="27" t="s">
        <v>46</v>
      </c>
      <c r="E1612" s="28" t="s">
        <v>32</v>
      </c>
      <c r="F1612" s="29">
        <v>2107</v>
      </c>
      <c r="G1612" s="30">
        <v>111</v>
      </c>
      <c r="H1612" s="31">
        <v>93</v>
      </c>
      <c r="I1612" s="32">
        <v>2125</v>
      </c>
      <c r="J1612" s="33">
        <v>83.8</v>
      </c>
    </row>
    <row r="1613" spans="1:10" ht="15.75" customHeight="1">
      <c r="A1613" s="14" t="s">
        <v>10</v>
      </c>
      <c r="B1613" s="15">
        <v>46169</v>
      </c>
      <c r="C1613" s="16" t="s">
        <v>53</v>
      </c>
      <c r="D1613" s="17" t="s">
        <v>46</v>
      </c>
      <c r="E1613" s="18" t="s">
        <v>34</v>
      </c>
      <c r="F1613" s="19">
        <v>5123</v>
      </c>
      <c r="G1613" s="20">
        <v>110</v>
      </c>
      <c r="H1613" s="21">
        <v>84</v>
      </c>
      <c r="I1613" s="22">
        <v>5149</v>
      </c>
      <c r="J1613" s="35">
        <v>76.400000000000006</v>
      </c>
    </row>
    <row r="1614" spans="1:10" ht="15.75" customHeight="1">
      <c r="A1614" s="24" t="s">
        <v>10</v>
      </c>
      <c r="B1614" s="25">
        <v>46169</v>
      </c>
      <c r="C1614" s="26" t="s">
        <v>53</v>
      </c>
      <c r="D1614" s="27" t="s">
        <v>46</v>
      </c>
      <c r="E1614" s="28" t="s">
        <v>25</v>
      </c>
      <c r="F1614" s="29">
        <v>2626</v>
      </c>
      <c r="G1614" s="30">
        <v>91</v>
      </c>
      <c r="H1614" s="31">
        <v>66</v>
      </c>
      <c r="I1614" s="32">
        <v>2651</v>
      </c>
      <c r="J1614" s="34">
        <v>72.5</v>
      </c>
    </row>
    <row r="1615" spans="1:10" ht="15.75" customHeight="1">
      <c r="A1615" s="14" t="s">
        <v>10</v>
      </c>
      <c r="B1615" s="15">
        <v>46169</v>
      </c>
      <c r="C1615" s="16" t="s">
        <v>53</v>
      </c>
      <c r="D1615" s="17" t="s">
        <v>46</v>
      </c>
      <c r="E1615" s="18" t="s">
        <v>35</v>
      </c>
      <c r="F1615" s="19">
        <v>2830</v>
      </c>
      <c r="G1615" s="20">
        <v>80</v>
      </c>
      <c r="H1615" s="21">
        <v>64</v>
      </c>
      <c r="I1615" s="22">
        <v>2846</v>
      </c>
      <c r="J1615" s="35">
        <v>80</v>
      </c>
    </row>
    <row r="1616" spans="1:10" ht="15.75" customHeight="1">
      <c r="A1616" s="24" t="s">
        <v>10</v>
      </c>
      <c r="B1616" s="25">
        <v>46169</v>
      </c>
      <c r="C1616" s="26" t="s">
        <v>53</v>
      </c>
      <c r="D1616" s="27" t="s">
        <v>46</v>
      </c>
      <c r="E1616" s="28" t="s">
        <v>29</v>
      </c>
      <c r="F1616" s="29">
        <v>3305</v>
      </c>
      <c r="G1616" s="30">
        <v>110</v>
      </c>
      <c r="H1616" s="31">
        <v>86</v>
      </c>
      <c r="I1616" s="32">
        <v>3329</v>
      </c>
      <c r="J1616" s="33">
        <v>78.2</v>
      </c>
    </row>
    <row r="1617" spans="1:10" ht="15.75" customHeight="1">
      <c r="A1617" s="14" t="s">
        <v>10</v>
      </c>
      <c r="B1617" s="15">
        <v>46169</v>
      </c>
      <c r="C1617" s="16" t="s">
        <v>53</v>
      </c>
      <c r="D1617" s="17" t="s">
        <v>46</v>
      </c>
      <c r="E1617" s="18" t="s">
        <v>31</v>
      </c>
      <c r="F1617" s="19">
        <v>4215</v>
      </c>
      <c r="G1617" s="20">
        <v>141</v>
      </c>
      <c r="H1617" s="21">
        <v>106</v>
      </c>
      <c r="I1617" s="22">
        <v>4250</v>
      </c>
      <c r="J1617" s="35">
        <v>75.2</v>
      </c>
    </row>
    <row r="1618" spans="1:10" ht="15.75" customHeight="1">
      <c r="A1618" s="24" t="s">
        <v>10</v>
      </c>
      <c r="B1618" s="25">
        <v>46169</v>
      </c>
      <c r="C1618" s="26" t="s">
        <v>53</v>
      </c>
      <c r="D1618" s="27" t="s">
        <v>46</v>
      </c>
      <c r="E1618" s="28" t="s">
        <v>33</v>
      </c>
      <c r="F1618" s="29">
        <v>1570</v>
      </c>
      <c r="G1618" s="30">
        <v>88</v>
      </c>
      <c r="H1618" s="31">
        <v>73</v>
      </c>
      <c r="I1618" s="32">
        <v>1585</v>
      </c>
      <c r="J1618" s="33">
        <v>83</v>
      </c>
    </row>
    <row r="1619" spans="1:10" ht="15.75" customHeight="1">
      <c r="A1619" s="14" t="s">
        <v>10</v>
      </c>
      <c r="B1619" s="15">
        <v>46169</v>
      </c>
      <c r="C1619" s="16" t="s">
        <v>53</v>
      </c>
      <c r="D1619" s="17" t="s">
        <v>46</v>
      </c>
      <c r="E1619" s="18" t="s">
        <v>36</v>
      </c>
      <c r="F1619" s="19">
        <v>5280</v>
      </c>
      <c r="G1619" s="20">
        <v>141</v>
      </c>
      <c r="H1619" s="21">
        <v>97</v>
      </c>
      <c r="I1619" s="22">
        <v>5324</v>
      </c>
      <c r="J1619" s="23">
        <v>68.8</v>
      </c>
    </row>
    <row r="1620" spans="1:10" ht="15.75" customHeight="1">
      <c r="A1620" s="24" t="s">
        <v>10</v>
      </c>
      <c r="B1620" s="25">
        <v>46170</v>
      </c>
      <c r="C1620" s="26" t="s">
        <v>45</v>
      </c>
      <c r="D1620" s="27" t="s">
        <v>46</v>
      </c>
      <c r="E1620" s="28" t="s">
        <v>26</v>
      </c>
      <c r="F1620" s="29">
        <v>4231</v>
      </c>
      <c r="G1620" s="30">
        <v>122</v>
      </c>
      <c r="H1620" s="31">
        <v>82</v>
      </c>
      <c r="I1620" s="32">
        <v>4271</v>
      </c>
      <c r="J1620" s="34">
        <v>67.2</v>
      </c>
    </row>
    <row r="1621" spans="1:10" ht="15.75" customHeight="1">
      <c r="A1621" s="14" t="s">
        <v>10</v>
      </c>
      <c r="B1621" s="15">
        <v>46170</v>
      </c>
      <c r="C1621" s="16" t="s">
        <v>45</v>
      </c>
      <c r="D1621" s="17" t="s">
        <v>46</v>
      </c>
      <c r="E1621" s="18" t="s">
        <v>27</v>
      </c>
      <c r="F1621" s="19">
        <v>3071</v>
      </c>
      <c r="G1621" s="20">
        <v>105</v>
      </c>
      <c r="H1621" s="21">
        <v>94</v>
      </c>
      <c r="I1621" s="22">
        <v>3082</v>
      </c>
      <c r="J1621" s="35">
        <v>89.5</v>
      </c>
    </row>
    <row r="1622" spans="1:10" ht="15.75" customHeight="1">
      <c r="A1622" s="24" t="s">
        <v>10</v>
      </c>
      <c r="B1622" s="25">
        <v>46170</v>
      </c>
      <c r="C1622" s="26" t="s">
        <v>45</v>
      </c>
      <c r="D1622" s="27" t="s">
        <v>46</v>
      </c>
      <c r="E1622" s="28" t="s">
        <v>30</v>
      </c>
      <c r="F1622" s="29">
        <v>4982</v>
      </c>
      <c r="G1622" s="30">
        <v>139</v>
      </c>
      <c r="H1622" s="31">
        <v>92</v>
      </c>
      <c r="I1622" s="32">
        <v>5029</v>
      </c>
      <c r="J1622" s="34">
        <v>66.2</v>
      </c>
    </row>
    <row r="1623" spans="1:10" ht="15.75" customHeight="1">
      <c r="A1623" s="14" t="s">
        <v>10</v>
      </c>
      <c r="B1623" s="15">
        <v>46170</v>
      </c>
      <c r="C1623" s="16" t="s">
        <v>45</v>
      </c>
      <c r="D1623" s="17" t="s">
        <v>46</v>
      </c>
      <c r="E1623" s="18" t="s">
        <v>32</v>
      </c>
      <c r="F1623" s="19">
        <v>2125</v>
      </c>
      <c r="G1623" s="20">
        <v>76</v>
      </c>
      <c r="H1623" s="21">
        <v>61</v>
      </c>
      <c r="I1623" s="22">
        <v>2140</v>
      </c>
      <c r="J1623" s="35">
        <v>80.3</v>
      </c>
    </row>
    <row r="1624" spans="1:10" ht="15.75" customHeight="1">
      <c r="A1624" s="24" t="s">
        <v>10</v>
      </c>
      <c r="B1624" s="25">
        <v>46170</v>
      </c>
      <c r="C1624" s="26" t="s">
        <v>45</v>
      </c>
      <c r="D1624" s="27" t="s">
        <v>46</v>
      </c>
      <c r="E1624" s="28" t="s">
        <v>34</v>
      </c>
      <c r="F1624" s="29">
        <v>5149</v>
      </c>
      <c r="G1624" s="30">
        <v>142</v>
      </c>
      <c r="H1624" s="31">
        <v>90</v>
      </c>
      <c r="I1624" s="32">
        <v>5201</v>
      </c>
      <c r="J1624" s="34">
        <v>63.4</v>
      </c>
    </row>
    <row r="1625" spans="1:10" ht="15.75" customHeight="1">
      <c r="A1625" s="14" t="s">
        <v>10</v>
      </c>
      <c r="B1625" s="15">
        <v>46170</v>
      </c>
      <c r="C1625" s="16" t="s">
        <v>45</v>
      </c>
      <c r="D1625" s="17" t="s">
        <v>46</v>
      </c>
      <c r="E1625" s="18" t="s">
        <v>25</v>
      </c>
      <c r="F1625" s="19">
        <v>2651</v>
      </c>
      <c r="G1625" s="20">
        <v>87</v>
      </c>
      <c r="H1625" s="21">
        <v>63</v>
      </c>
      <c r="I1625" s="22">
        <v>2675</v>
      </c>
      <c r="J1625" s="23">
        <v>72.400000000000006</v>
      </c>
    </row>
    <row r="1626" spans="1:10" ht="15.75" customHeight="1">
      <c r="A1626" s="24" t="s">
        <v>10</v>
      </c>
      <c r="B1626" s="25">
        <v>46170</v>
      </c>
      <c r="C1626" s="26" t="s">
        <v>45</v>
      </c>
      <c r="D1626" s="27" t="s">
        <v>46</v>
      </c>
      <c r="E1626" s="28" t="s">
        <v>35</v>
      </c>
      <c r="F1626" s="29">
        <v>2846</v>
      </c>
      <c r="G1626" s="30">
        <v>119</v>
      </c>
      <c r="H1626" s="31">
        <v>94</v>
      </c>
      <c r="I1626" s="32">
        <v>2871</v>
      </c>
      <c r="J1626" s="33">
        <v>79</v>
      </c>
    </row>
    <row r="1627" spans="1:10" ht="15.75" customHeight="1">
      <c r="A1627" s="14" t="s">
        <v>10</v>
      </c>
      <c r="B1627" s="15">
        <v>46170</v>
      </c>
      <c r="C1627" s="16" t="s">
        <v>45</v>
      </c>
      <c r="D1627" s="17" t="s">
        <v>46</v>
      </c>
      <c r="E1627" s="18" t="s">
        <v>29</v>
      </c>
      <c r="F1627" s="19">
        <v>3329</v>
      </c>
      <c r="G1627" s="20">
        <v>106</v>
      </c>
      <c r="H1627" s="21">
        <v>91</v>
      </c>
      <c r="I1627" s="22">
        <v>3344</v>
      </c>
      <c r="J1627" s="35">
        <v>85.8</v>
      </c>
    </row>
    <row r="1628" spans="1:10" ht="15.75" customHeight="1">
      <c r="A1628" s="24" t="s">
        <v>10</v>
      </c>
      <c r="B1628" s="25">
        <v>46170</v>
      </c>
      <c r="C1628" s="26" t="s">
        <v>45</v>
      </c>
      <c r="D1628" s="27" t="s">
        <v>46</v>
      </c>
      <c r="E1628" s="28" t="s">
        <v>31</v>
      </c>
      <c r="F1628" s="29">
        <v>4250</v>
      </c>
      <c r="G1628" s="30">
        <v>135</v>
      </c>
      <c r="H1628" s="31">
        <v>90</v>
      </c>
      <c r="I1628" s="32">
        <v>4295</v>
      </c>
      <c r="J1628" s="34">
        <v>66.7</v>
      </c>
    </row>
    <row r="1629" spans="1:10" ht="15.75" customHeight="1">
      <c r="A1629" s="14" t="s">
        <v>10</v>
      </c>
      <c r="B1629" s="15">
        <v>46170</v>
      </c>
      <c r="C1629" s="16" t="s">
        <v>45</v>
      </c>
      <c r="D1629" s="17" t="s">
        <v>46</v>
      </c>
      <c r="E1629" s="18" t="s">
        <v>33</v>
      </c>
      <c r="F1629" s="19">
        <v>1585</v>
      </c>
      <c r="G1629" s="20">
        <v>93</v>
      </c>
      <c r="H1629" s="21">
        <v>74</v>
      </c>
      <c r="I1629" s="22">
        <v>1604</v>
      </c>
      <c r="J1629" s="35">
        <v>79.599999999999994</v>
      </c>
    </row>
    <row r="1630" spans="1:10" ht="15.75" customHeight="1">
      <c r="A1630" s="24" t="s">
        <v>10</v>
      </c>
      <c r="B1630" s="25">
        <v>46170</v>
      </c>
      <c r="C1630" s="26" t="s">
        <v>45</v>
      </c>
      <c r="D1630" s="27" t="s">
        <v>46</v>
      </c>
      <c r="E1630" s="28" t="s">
        <v>36</v>
      </c>
      <c r="F1630" s="29">
        <v>5324</v>
      </c>
      <c r="G1630" s="30">
        <v>134</v>
      </c>
      <c r="H1630" s="31">
        <v>98</v>
      </c>
      <c r="I1630" s="32">
        <v>5360</v>
      </c>
      <c r="J1630" s="34">
        <v>73.099999999999994</v>
      </c>
    </row>
    <row r="1631" spans="1:10" ht="15.75" customHeight="1">
      <c r="A1631" s="14" t="s">
        <v>10</v>
      </c>
      <c r="B1631" s="15">
        <v>46171</v>
      </c>
      <c r="C1631" s="16" t="s">
        <v>47</v>
      </c>
      <c r="D1631" s="17" t="s">
        <v>46</v>
      </c>
      <c r="E1631" s="18" t="s">
        <v>26</v>
      </c>
      <c r="F1631" s="19">
        <v>4271</v>
      </c>
      <c r="G1631" s="20">
        <v>134</v>
      </c>
      <c r="H1631" s="21">
        <v>103</v>
      </c>
      <c r="I1631" s="22">
        <v>4302</v>
      </c>
      <c r="J1631" s="35">
        <v>76.900000000000006</v>
      </c>
    </row>
    <row r="1632" spans="1:10" ht="15.75" customHeight="1">
      <c r="A1632" s="24" t="s">
        <v>10</v>
      </c>
      <c r="B1632" s="25">
        <v>46171</v>
      </c>
      <c r="C1632" s="26" t="s">
        <v>47</v>
      </c>
      <c r="D1632" s="27" t="s">
        <v>46</v>
      </c>
      <c r="E1632" s="28" t="s">
        <v>27</v>
      </c>
      <c r="F1632" s="29">
        <v>3082</v>
      </c>
      <c r="G1632" s="30">
        <v>93</v>
      </c>
      <c r="H1632" s="31">
        <v>65</v>
      </c>
      <c r="I1632" s="32">
        <v>3110</v>
      </c>
      <c r="J1632" s="34">
        <v>69.900000000000006</v>
      </c>
    </row>
    <row r="1633" spans="1:10" ht="15.75" customHeight="1">
      <c r="A1633" s="14" t="s">
        <v>10</v>
      </c>
      <c r="B1633" s="15">
        <v>46171</v>
      </c>
      <c r="C1633" s="16" t="s">
        <v>47</v>
      </c>
      <c r="D1633" s="17" t="s">
        <v>46</v>
      </c>
      <c r="E1633" s="18" t="s">
        <v>30</v>
      </c>
      <c r="F1633" s="19">
        <v>5029</v>
      </c>
      <c r="G1633" s="20">
        <v>136</v>
      </c>
      <c r="H1633" s="21">
        <v>90</v>
      </c>
      <c r="I1633" s="22">
        <v>5075</v>
      </c>
      <c r="J1633" s="23">
        <v>66.2</v>
      </c>
    </row>
    <row r="1634" spans="1:10" ht="15.75" customHeight="1">
      <c r="A1634" s="24" t="s">
        <v>10</v>
      </c>
      <c r="B1634" s="25">
        <v>46171</v>
      </c>
      <c r="C1634" s="26" t="s">
        <v>47</v>
      </c>
      <c r="D1634" s="27" t="s">
        <v>46</v>
      </c>
      <c r="E1634" s="28" t="s">
        <v>32</v>
      </c>
      <c r="F1634" s="29">
        <v>2140</v>
      </c>
      <c r="G1634" s="30">
        <v>71</v>
      </c>
      <c r="H1634" s="31">
        <v>56</v>
      </c>
      <c r="I1634" s="32">
        <v>2155</v>
      </c>
      <c r="J1634" s="33">
        <v>78.900000000000006</v>
      </c>
    </row>
    <row r="1635" spans="1:10" ht="15.75" customHeight="1">
      <c r="A1635" s="14" t="s">
        <v>10</v>
      </c>
      <c r="B1635" s="15">
        <v>46171</v>
      </c>
      <c r="C1635" s="16" t="s">
        <v>47</v>
      </c>
      <c r="D1635" s="17" t="s">
        <v>46</v>
      </c>
      <c r="E1635" s="18" t="s">
        <v>34</v>
      </c>
      <c r="F1635" s="19">
        <v>5201</v>
      </c>
      <c r="G1635" s="20">
        <v>143</v>
      </c>
      <c r="H1635" s="21">
        <v>112</v>
      </c>
      <c r="I1635" s="22">
        <v>5232</v>
      </c>
      <c r="J1635" s="35">
        <v>78.3</v>
      </c>
    </row>
    <row r="1636" spans="1:10" ht="15.75" customHeight="1">
      <c r="A1636" s="24" t="s">
        <v>10</v>
      </c>
      <c r="B1636" s="25">
        <v>46171</v>
      </c>
      <c r="C1636" s="26" t="s">
        <v>47</v>
      </c>
      <c r="D1636" s="27" t="s">
        <v>46</v>
      </c>
      <c r="E1636" s="28" t="s">
        <v>25</v>
      </c>
      <c r="F1636" s="29">
        <v>2675</v>
      </c>
      <c r="G1636" s="30">
        <v>81</v>
      </c>
      <c r="H1636" s="31">
        <v>61</v>
      </c>
      <c r="I1636" s="32">
        <v>2695</v>
      </c>
      <c r="J1636" s="33">
        <v>75.3</v>
      </c>
    </row>
    <row r="1637" spans="1:10" ht="15.75" customHeight="1">
      <c r="A1637" s="14" t="s">
        <v>10</v>
      </c>
      <c r="B1637" s="15">
        <v>46171</v>
      </c>
      <c r="C1637" s="16" t="s">
        <v>47</v>
      </c>
      <c r="D1637" s="17" t="s">
        <v>46</v>
      </c>
      <c r="E1637" s="18" t="s">
        <v>35</v>
      </c>
      <c r="F1637" s="19">
        <v>2871</v>
      </c>
      <c r="G1637" s="20">
        <v>103</v>
      </c>
      <c r="H1637" s="21">
        <v>78</v>
      </c>
      <c r="I1637" s="22">
        <v>2896</v>
      </c>
      <c r="J1637" s="35">
        <v>75.7</v>
      </c>
    </row>
    <row r="1638" spans="1:10" ht="15.75" customHeight="1">
      <c r="A1638" s="24" t="s">
        <v>10</v>
      </c>
      <c r="B1638" s="25">
        <v>46171</v>
      </c>
      <c r="C1638" s="26" t="s">
        <v>47</v>
      </c>
      <c r="D1638" s="27" t="s">
        <v>46</v>
      </c>
      <c r="E1638" s="28" t="s">
        <v>29</v>
      </c>
      <c r="F1638" s="29">
        <v>3344</v>
      </c>
      <c r="G1638" s="30">
        <v>74</v>
      </c>
      <c r="H1638" s="31">
        <v>50</v>
      </c>
      <c r="I1638" s="32">
        <v>3368</v>
      </c>
      <c r="J1638" s="34">
        <v>67.599999999999994</v>
      </c>
    </row>
    <row r="1639" spans="1:10" ht="15.75" customHeight="1">
      <c r="A1639" s="14" t="s">
        <v>10</v>
      </c>
      <c r="B1639" s="15">
        <v>46171</v>
      </c>
      <c r="C1639" s="16" t="s">
        <v>47</v>
      </c>
      <c r="D1639" s="17" t="s">
        <v>46</v>
      </c>
      <c r="E1639" s="18" t="s">
        <v>31</v>
      </c>
      <c r="F1639" s="19">
        <v>4295</v>
      </c>
      <c r="G1639" s="20">
        <v>122</v>
      </c>
      <c r="H1639" s="21">
        <v>81</v>
      </c>
      <c r="I1639" s="22">
        <v>4336</v>
      </c>
      <c r="J1639" s="23">
        <v>66.400000000000006</v>
      </c>
    </row>
    <row r="1640" spans="1:10" ht="15.75" customHeight="1">
      <c r="A1640" s="24" t="s">
        <v>10</v>
      </c>
      <c r="B1640" s="25">
        <v>46171</v>
      </c>
      <c r="C1640" s="26" t="s">
        <v>47</v>
      </c>
      <c r="D1640" s="27" t="s">
        <v>46</v>
      </c>
      <c r="E1640" s="28" t="s">
        <v>33</v>
      </c>
      <c r="F1640" s="29">
        <v>1604</v>
      </c>
      <c r="G1640" s="30">
        <v>87</v>
      </c>
      <c r="H1640" s="31">
        <v>84</v>
      </c>
      <c r="I1640" s="32">
        <v>1607</v>
      </c>
      <c r="J1640" s="33">
        <v>96.6</v>
      </c>
    </row>
    <row r="1641" spans="1:10" ht="15.75" customHeight="1">
      <c r="A1641" s="14" t="s">
        <v>10</v>
      </c>
      <c r="B1641" s="15">
        <v>46171</v>
      </c>
      <c r="C1641" s="16" t="s">
        <v>47</v>
      </c>
      <c r="D1641" s="17" t="s">
        <v>46</v>
      </c>
      <c r="E1641" s="18" t="s">
        <v>36</v>
      </c>
      <c r="F1641" s="19">
        <v>5360</v>
      </c>
      <c r="G1641" s="20">
        <v>162</v>
      </c>
      <c r="H1641" s="21">
        <v>100</v>
      </c>
      <c r="I1641" s="22">
        <v>5422</v>
      </c>
      <c r="J1641" s="23">
        <v>61.7</v>
      </c>
    </row>
    <row r="1642" spans="1:10" ht="15.75" customHeight="1">
      <c r="A1642" s="36" t="s">
        <v>10</v>
      </c>
      <c r="B1642" s="37">
        <v>46172</v>
      </c>
      <c r="C1642" s="38" t="s">
        <v>48</v>
      </c>
      <c r="D1642" s="39" t="s">
        <v>49</v>
      </c>
      <c r="E1642" s="40" t="s">
        <v>26</v>
      </c>
      <c r="F1642" s="41">
        <v>4302</v>
      </c>
      <c r="G1642" s="42">
        <v>71</v>
      </c>
      <c r="H1642" s="43">
        <v>58</v>
      </c>
      <c r="I1642" s="44">
        <v>4315</v>
      </c>
      <c r="J1642" s="45">
        <v>81.7</v>
      </c>
    </row>
    <row r="1643" spans="1:10" ht="15.75" customHeight="1">
      <c r="A1643" s="36" t="s">
        <v>10</v>
      </c>
      <c r="B1643" s="37">
        <v>46172</v>
      </c>
      <c r="C1643" s="38" t="s">
        <v>48</v>
      </c>
      <c r="D1643" s="39" t="s">
        <v>49</v>
      </c>
      <c r="E1643" s="40" t="s">
        <v>27</v>
      </c>
      <c r="F1643" s="41">
        <v>3110</v>
      </c>
      <c r="G1643" s="42">
        <v>38</v>
      </c>
      <c r="H1643" s="43">
        <v>33</v>
      </c>
      <c r="I1643" s="44">
        <v>3115</v>
      </c>
      <c r="J1643" s="45">
        <v>86.8</v>
      </c>
    </row>
    <row r="1644" spans="1:10" ht="15.75" customHeight="1">
      <c r="A1644" s="36" t="s">
        <v>10</v>
      </c>
      <c r="B1644" s="37">
        <v>46172</v>
      </c>
      <c r="C1644" s="38" t="s">
        <v>48</v>
      </c>
      <c r="D1644" s="39" t="s">
        <v>49</v>
      </c>
      <c r="E1644" s="40" t="s">
        <v>30</v>
      </c>
      <c r="F1644" s="41">
        <v>5075</v>
      </c>
      <c r="G1644" s="42">
        <v>38</v>
      </c>
      <c r="H1644" s="43">
        <v>28</v>
      </c>
      <c r="I1644" s="44">
        <v>5085</v>
      </c>
      <c r="J1644" s="46">
        <v>73.7</v>
      </c>
    </row>
    <row r="1645" spans="1:10" ht="15.75" customHeight="1">
      <c r="A1645" s="36" t="s">
        <v>10</v>
      </c>
      <c r="B1645" s="37">
        <v>46172</v>
      </c>
      <c r="C1645" s="38" t="s">
        <v>48</v>
      </c>
      <c r="D1645" s="39" t="s">
        <v>49</v>
      </c>
      <c r="E1645" s="40" t="s">
        <v>32</v>
      </c>
      <c r="F1645" s="41">
        <v>2155</v>
      </c>
      <c r="G1645" s="42">
        <v>47</v>
      </c>
      <c r="H1645" s="43">
        <v>38</v>
      </c>
      <c r="I1645" s="44">
        <v>2164</v>
      </c>
      <c r="J1645" s="45">
        <v>80.900000000000006</v>
      </c>
    </row>
    <row r="1646" spans="1:10" ht="15.75" customHeight="1">
      <c r="A1646" s="36" t="s">
        <v>10</v>
      </c>
      <c r="B1646" s="37">
        <v>46172</v>
      </c>
      <c r="C1646" s="38" t="s">
        <v>48</v>
      </c>
      <c r="D1646" s="39" t="s">
        <v>49</v>
      </c>
      <c r="E1646" s="40" t="s">
        <v>34</v>
      </c>
      <c r="F1646" s="41">
        <v>5232</v>
      </c>
      <c r="G1646" s="42">
        <v>68</v>
      </c>
      <c r="H1646" s="43">
        <v>51</v>
      </c>
      <c r="I1646" s="44">
        <v>5249</v>
      </c>
      <c r="J1646" s="45">
        <v>75</v>
      </c>
    </row>
    <row r="1647" spans="1:10" ht="15.75" customHeight="1">
      <c r="A1647" s="36" t="s">
        <v>10</v>
      </c>
      <c r="B1647" s="37">
        <v>46172</v>
      </c>
      <c r="C1647" s="38" t="s">
        <v>48</v>
      </c>
      <c r="D1647" s="39" t="s">
        <v>49</v>
      </c>
      <c r="E1647" s="40" t="s">
        <v>25</v>
      </c>
      <c r="F1647" s="41">
        <v>2695</v>
      </c>
      <c r="G1647" s="42">
        <v>38</v>
      </c>
      <c r="H1647" s="43">
        <v>32</v>
      </c>
      <c r="I1647" s="44">
        <v>2701</v>
      </c>
      <c r="J1647" s="45">
        <v>84.2</v>
      </c>
    </row>
    <row r="1648" spans="1:10" ht="15.75" customHeight="1">
      <c r="A1648" s="36" t="s">
        <v>10</v>
      </c>
      <c r="B1648" s="37">
        <v>46172</v>
      </c>
      <c r="C1648" s="38" t="s">
        <v>48</v>
      </c>
      <c r="D1648" s="39" t="s">
        <v>49</v>
      </c>
      <c r="E1648" s="40" t="s">
        <v>35</v>
      </c>
      <c r="F1648" s="41">
        <v>2896</v>
      </c>
      <c r="G1648" s="42">
        <v>44</v>
      </c>
      <c r="H1648" s="43">
        <v>39</v>
      </c>
      <c r="I1648" s="44">
        <v>2901</v>
      </c>
      <c r="J1648" s="45">
        <v>88.6</v>
      </c>
    </row>
    <row r="1649" spans="1:10" ht="15.75" customHeight="1">
      <c r="A1649" s="36" t="s">
        <v>10</v>
      </c>
      <c r="B1649" s="37">
        <v>46172</v>
      </c>
      <c r="C1649" s="38" t="s">
        <v>48</v>
      </c>
      <c r="D1649" s="39" t="s">
        <v>49</v>
      </c>
      <c r="E1649" s="40" t="s">
        <v>29</v>
      </c>
      <c r="F1649" s="41">
        <v>3368</v>
      </c>
      <c r="G1649" s="42">
        <v>41</v>
      </c>
      <c r="H1649" s="43">
        <v>31</v>
      </c>
      <c r="I1649" s="44">
        <v>3378</v>
      </c>
      <c r="J1649" s="45">
        <v>75.599999999999994</v>
      </c>
    </row>
    <row r="1650" spans="1:10" ht="15.75" customHeight="1">
      <c r="A1650" s="36" t="s">
        <v>10</v>
      </c>
      <c r="B1650" s="37">
        <v>46172</v>
      </c>
      <c r="C1650" s="38" t="s">
        <v>48</v>
      </c>
      <c r="D1650" s="39" t="s">
        <v>49</v>
      </c>
      <c r="E1650" s="40" t="s">
        <v>31</v>
      </c>
      <c r="F1650" s="41">
        <v>4336</v>
      </c>
      <c r="G1650" s="42">
        <v>64</v>
      </c>
      <c r="H1650" s="43">
        <v>53</v>
      </c>
      <c r="I1650" s="44">
        <v>4347</v>
      </c>
      <c r="J1650" s="45">
        <v>82.8</v>
      </c>
    </row>
    <row r="1651" spans="1:10" ht="15.75" customHeight="1">
      <c r="A1651" s="36" t="s">
        <v>10</v>
      </c>
      <c r="B1651" s="37">
        <v>46172</v>
      </c>
      <c r="C1651" s="38" t="s">
        <v>48</v>
      </c>
      <c r="D1651" s="39" t="s">
        <v>49</v>
      </c>
      <c r="E1651" s="40" t="s">
        <v>33</v>
      </c>
      <c r="F1651" s="41">
        <v>1607</v>
      </c>
      <c r="G1651" s="42">
        <v>28</v>
      </c>
      <c r="H1651" s="43">
        <v>23</v>
      </c>
      <c r="I1651" s="44">
        <v>1612</v>
      </c>
      <c r="J1651" s="45">
        <v>82.1</v>
      </c>
    </row>
    <row r="1652" spans="1:10" ht="15.75" customHeight="1">
      <c r="A1652" s="36" t="s">
        <v>10</v>
      </c>
      <c r="B1652" s="37">
        <v>46172</v>
      </c>
      <c r="C1652" s="38" t="s">
        <v>48</v>
      </c>
      <c r="D1652" s="39" t="s">
        <v>49</v>
      </c>
      <c r="E1652" s="40" t="s">
        <v>36</v>
      </c>
      <c r="F1652" s="41">
        <v>5422</v>
      </c>
      <c r="G1652" s="42">
        <v>81</v>
      </c>
      <c r="H1652" s="43">
        <v>63</v>
      </c>
      <c r="I1652" s="44">
        <v>5440</v>
      </c>
      <c r="J1652" s="45">
        <v>77.8</v>
      </c>
    </row>
    <row r="1653" spans="1:10" ht="15.75" customHeight="1">
      <c r="A1653" s="36" t="s">
        <v>10</v>
      </c>
      <c r="B1653" s="37">
        <v>46173</v>
      </c>
      <c r="C1653" s="38" t="s">
        <v>50</v>
      </c>
      <c r="D1653" s="39" t="s">
        <v>49</v>
      </c>
      <c r="E1653" s="40" t="s">
        <v>26</v>
      </c>
      <c r="F1653" s="41">
        <v>4315</v>
      </c>
      <c r="G1653" s="42">
        <v>44</v>
      </c>
      <c r="H1653" s="43">
        <v>37</v>
      </c>
      <c r="I1653" s="44">
        <v>4322</v>
      </c>
      <c r="J1653" s="45">
        <v>84.1</v>
      </c>
    </row>
    <row r="1654" spans="1:10" ht="15.75" customHeight="1">
      <c r="A1654" s="36" t="s">
        <v>10</v>
      </c>
      <c r="B1654" s="37">
        <v>46173</v>
      </c>
      <c r="C1654" s="38" t="s">
        <v>50</v>
      </c>
      <c r="D1654" s="39" t="s">
        <v>49</v>
      </c>
      <c r="E1654" s="40" t="s">
        <v>27</v>
      </c>
      <c r="F1654" s="41">
        <v>3115</v>
      </c>
      <c r="G1654" s="42">
        <v>36</v>
      </c>
      <c r="H1654" s="43">
        <v>29</v>
      </c>
      <c r="I1654" s="44">
        <v>3122</v>
      </c>
      <c r="J1654" s="45">
        <v>80.599999999999994</v>
      </c>
    </row>
    <row r="1655" spans="1:10" ht="15.75" customHeight="1">
      <c r="A1655" s="36" t="s">
        <v>10</v>
      </c>
      <c r="B1655" s="37">
        <v>46173</v>
      </c>
      <c r="C1655" s="38" t="s">
        <v>50</v>
      </c>
      <c r="D1655" s="39" t="s">
        <v>49</v>
      </c>
      <c r="E1655" s="40" t="s">
        <v>30</v>
      </c>
      <c r="F1655" s="41">
        <v>5085</v>
      </c>
      <c r="G1655" s="42">
        <v>39</v>
      </c>
      <c r="H1655" s="43">
        <v>30</v>
      </c>
      <c r="I1655" s="44">
        <v>5094</v>
      </c>
      <c r="J1655" s="45">
        <v>76.900000000000006</v>
      </c>
    </row>
    <row r="1656" spans="1:10" ht="15.75" customHeight="1">
      <c r="A1656" s="36" t="s">
        <v>10</v>
      </c>
      <c r="B1656" s="37">
        <v>46173</v>
      </c>
      <c r="C1656" s="38" t="s">
        <v>50</v>
      </c>
      <c r="D1656" s="39" t="s">
        <v>49</v>
      </c>
      <c r="E1656" s="40" t="s">
        <v>32</v>
      </c>
      <c r="F1656" s="41">
        <v>2164</v>
      </c>
      <c r="G1656" s="42">
        <v>47</v>
      </c>
      <c r="H1656" s="43">
        <v>43</v>
      </c>
      <c r="I1656" s="44">
        <v>2168</v>
      </c>
      <c r="J1656" s="45">
        <v>91.5</v>
      </c>
    </row>
    <row r="1657" spans="1:10" ht="15.75" customHeight="1">
      <c r="A1657" s="36" t="s">
        <v>10</v>
      </c>
      <c r="B1657" s="37">
        <v>46173</v>
      </c>
      <c r="C1657" s="38" t="s">
        <v>50</v>
      </c>
      <c r="D1657" s="39" t="s">
        <v>49</v>
      </c>
      <c r="E1657" s="40" t="s">
        <v>34</v>
      </c>
      <c r="F1657" s="41">
        <v>5249</v>
      </c>
      <c r="G1657" s="42">
        <v>46</v>
      </c>
      <c r="H1657" s="43">
        <v>36</v>
      </c>
      <c r="I1657" s="44">
        <v>5259</v>
      </c>
      <c r="J1657" s="45">
        <v>78.3</v>
      </c>
    </row>
    <row r="1658" spans="1:10" ht="15.75" customHeight="1">
      <c r="A1658" s="36" t="s">
        <v>10</v>
      </c>
      <c r="B1658" s="37">
        <v>46173</v>
      </c>
      <c r="C1658" s="38" t="s">
        <v>50</v>
      </c>
      <c r="D1658" s="39" t="s">
        <v>49</v>
      </c>
      <c r="E1658" s="40" t="s">
        <v>25</v>
      </c>
      <c r="F1658" s="41">
        <v>2701</v>
      </c>
      <c r="G1658" s="42">
        <v>27</v>
      </c>
      <c r="H1658" s="43">
        <v>20</v>
      </c>
      <c r="I1658" s="44">
        <v>2708</v>
      </c>
      <c r="J1658" s="46">
        <v>74.099999999999994</v>
      </c>
    </row>
    <row r="1659" spans="1:10" ht="15.75" customHeight="1">
      <c r="A1659" s="36" t="s">
        <v>10</v>
      </c>
      <c r="B1659" s="37">
        <v>46173</v>
      </c>
      <c r="C1659" s="38" t="s">
        <v>50</v>
      </c>
      <c r="D1659" s="39" t="s">
        <v>49</v>
      </c>
      <c r="E1659" s="40" t="s">
        <v>35</v>
      </c>
      <c r="F1659" s="41">
        <v>2901</v>
      </c>
      <c r="G1659" s="42">
        <v>35</v>
      </c>
      <c r="H1659" s="43">
        <v>27</v>
      </c>
      <c r="I1659" s="44">
        <v>2909</v>
      </c>
      <c r="J1659" s="45">
        <v>77.099999999999994</v>
      </c>
    </row>
    <row r="1660" spans="1:10" ht="15.75" customHeight="1">
      <c r="A1660" s="36" t="s">
        <v>10</v>
      </c>
      <c r="B1660" s="37">
        <v>46173</v>
      </c>
      <c r="C1660" s="38" t="s">
        <v>50</v>
      </c>
      <c r="D1660" s="39" t="s">
        <v>49</v>
      </c>
      <c r="E1660" s="40" t="s">
        <v>29</v>
      </c>
      <c r="F1660" s="41">
        <v>3378</v>
      </c>
      <c r="G1660" s="42">
        <v>43</v>
      </c>
      <c r="H1660" s="43">
        <v>35</v>
      </c>
      <c r="I1660" s="44">
        <v>3386</v>
      </c>
      <c r="J1660" s="45">
        <v>81.400000000000006</v>
      </c>
    </row>
    <row r="1661" spans="1:10" ht="15.75" customHeight="1">
      <c r="A1661" s="36" t="s">
        <v>10</v>
      </c>
      <c r="B1661" s="37">
        <v>46173</v>
      </c>
      <c r="C1661" s="38" t="s">
        <v>50</v>
      </c>
      <c r="D1661" s="39" t="s">
        <v>49</v>
      </c>
      <c r="E1661" s="40" t="s">
        <v>31</v>
      </c>
      <c r="F1661" s="41">
        <v>4347</v>
      </c>
      <c r="G1661" s="42">
        <v>66</v>
      </c>
      <c r="H1661" s="43">
        <v>44</v>
      </c>
      <c r="I1661" s="44">
        <v>4369</v>
      </c>
      <c r="J1661" s="46">
        <v>66.7</v>
      </c>
    </row>
    <row r="1662" spans="1:10" ht="15.75" customHeight="1">
      <c r="A1662" s="36" t="s">
        <v>10</v>
      </c>
      <c r="B1662" s="37">
        <v>46173</v>
      </c>
      <c r="C1662" s="38" t="s">
        <v>50</v>
      </c>
      <c r="D1662" s="39" t="s">
        <v>49</v>
      </c>
      <c r="E1662" s="40" t="s">
        <v>33</v>
      </c>
      <c r="F1662" s="41">
        <v>1612</v>
      </c>
      <c r="G1662" s="42">
        <v>48</v>
      </c>
      <c r="H1662" s="43">
        <v>43</v>
      </c>
      <c r="I1662" s="44">
        <v>1617</v>
      </c>
      <c r="J1662" s="45">
        <v>89.6</v>
      </c>
    </row>
    <row r="1663" spans="1:10" ht="15.75" customHeight="1">
      <c r="A1663" s="36" t="s">
        <v>10</v>
      </c>
      <c r="B1663" s="37">
        <v>46173</v>
      </c>
      <c r="C1663" s="38" t="s">
        <v>50</v>
      </c>
      <c r="D1663" s="39" t="s">
        <v>49</v>
      </c>
      <c r="E1663" s="40" t="s">
        <v>36</v>
      </c>
      <c r="F1663" s="41">
        <v>5440</v>
      </c>
      <c r="G1663" s="42">
        <v>43</v>
      </c>
      <c r="H1663" s="43">
        <v>29</v>
      </c>
      <c r="I1663" s="44">
        <v>5454</v>
      </c>
      <c r="J1663" s="46">
        <v>67.400000000000006</v>
      </c>
    </row>
    <row r="1664" spans="1:10" ht="15.75" customHeight="1">
      <c r="A1664" s="24" t="s">
        <v>11</v>
      </c>
      <c r="B1664" s="25">
        <v>46174</v>
      </c>
      <c r="C1664" s="26" t="s">
        <v>51</v>
      </c>
      <c r="D1664" s="27" t="s">
        <v>46</v>
      </c>
      <c r="E1664" s="28" t="s">
        <v>26</v>
      </c>
      <c r="F1664" s="29">
        <v>4322</v>
      </c>
      <c r="G1664" s="30">
        <v>110</v>
      </c>
      <c r="H1664" s="31">
        <v>83</v>
      </c>
      <c r="I1664" s="32">
        <v>4349</v>
      </c>
      <c r="J1664" s="33">
        <v>75.5</v>
      </c>
    </row>
    <row r="1665" spans="1:10" ht="15.75" customHeight="1">
      <c r="A1665" s="14" t="s">
        <v>11</v>
      </c>
      <c r="B1665" s="15">
        <v>46174</v>
      </c>
      <c r="C1665" s="16" t="s">
        <v>51</v>
      </c>
      <c r="D1665" s="17" t="s">
        <v>46</v>
      </c>
      <c r="E1665" s="18" t="s">
        <v>27</v>
      </c>
      <c r="F1665" s="19">
        <v>3122</v>
      </c>
      <c r="G1665" s="20">
        <v>75</v>
      </c>
      <c r="H1665" s="21">
        <v>63</v>
      </c>
      <c r="I1665" s="22">
        <v>3134</v>
      </c>
      <c r="J1665" s="35">
        <v>84</v>
      </c>
    </row>
    <row r="1666" spans="1:10" ht="15.75" customHeight="1">
      <c r="A1666" s="24" t="s">
        <v>11</v>
      </c>
      <c r="B1666" s="25">
        <v>46174</v>
      </c>
      <c r="C1666" s="26" t="s">
        <v>51</v>
      </c>
      <c r="D1666" s="27" t="s">
        <v>46</v>
      </c>
      <c r="E1666" s="28" t="s">
        <v>30</v>
      </c>
      <c r="F1666" s="29">
        <v>5094</v>
      </c>
      <c r="G1666" s="30">
        <v>118</v>
      </c>
      <c r="H1666" s="31">
        <v>70</v>
      </c>
      <c r="I1666" s="32">
        <v>5142</v>
      </c>
      <c r="J1666" s="34">
        <v>59.3</v>
      </c>
    </row>
    <row r="1667" spans="1:10" ht="15.75" customHeight="1">
      <c r="A1667" s="14" t="s">
        <v>11</v>
      </c>
      <c r="B1667" s="15">
        <v>46174</v>
      </c>
      <c r="C1667" s="16" t="s">
        <v>51</v>
      </c>
      <c r="D1667" s="17" t="s">
        <v>46</v>
      </c>
      <c r="E1667" s="18" t="s">
        <v>32</v>
      </c>
      <c r="F1667" s="19">
        <v>2168</v>
      </c>
      <c r="G1667" s="20">
        <v>80</v>
      </c>
      <c r="H1667" s="21">
        <v>63</v>
      </c>
      <c r="I1667" s="22">
        <v>2185</v>
      </c>
      <c r="J1667" s="35">
        <v>78.8</v>
      </c>
    </row>
    <row r="1668" spans="1:10" ht="15.75" customHeight="1">
      <c r="A1668" s="24" t="s">
        <v>11</v>
      </c>
      <c r="B1668" s="25">
        <v>46174</v>
      </c>
      <c r="C1668" s="26" t="s">
        <v>51</v>
      </c>
      <c r="D1668" s="27" t="s">
        <v>46</v>
      </c>
      <c r="E1668" s="28" t="s">
        <v>34</v>
      </c>
      <c r="F1668" s="29">
        <v>5259</v>
      </c>
      <c r="G1668" s="30">
        <v>142</v>
      </c>
      <c r="H1668" s="31">
        <v>113</v>
      </c>
      <c r="I1668" s="32">
        <v>5288</v>
      </c>
      <c r="J1668" s="33">
        <v>79.599999999999994</v>
      </c>
    </row>
    <row r="1669" spans="1:10" ht="15.75" customHeight="1">
      <c r="A1669" s="14" t="s">
        <v>11</v>
      </c>
      <c r="B1669" s="15">
        <v>46174</v>
      </c>
      <c r="C1669" s="16" t="s">
        <v>51</v>
      </c>
      <c r="D1669" s="17" t="s">
        <v>46</v>
      </c>
      <c r="E1669" s="18" t="s">
        <v>25</v>
      </c>
      <c r="F1669" s="19">
        <v>2708</v>
      </c>
      <c r="G1669" s="20">
        <v>59</v>
      </c>
      <c r="H1669" s="21">
        <v>42</v>
      </c>
      <c r="I1669" s="22">
        <v>2725</v>
      </c>
      <c r="J1669" s="23">
        <v>71.2</v>
      </c>
    </row>
    <row r="1670" spans="1:10" ht="15.75" customHeight="1">
      <c r="A1670" s="24" t="s">
        <v>11</v>
      </c>
      <c r="B1670" s="25">
        <v>46174</v>
      </c>
      <c r="C1670" s="26" t="s">
        <v>51</v>
      </c>
      <c r="D1670" s="27" t="s">
        <v>46</v>
      </c>
      <c r="E1670" s="28" t="s">
        <v>35</v>
      </c>
      <c r="F1670" s="29">
        <v>2909</v>
      </c>
      <c r="G1670" s="30">
        <v>79</v>
      </c>
      <c r="H1670" s="31">
        <v>65</v>
      </c>
      <c r="I1670" s="32">
        <v>2923</v>
      </c>
      <c r="J1670" s="33">
        <v>82.3</v>
      </c>
    </row>
    <row r="1671" spans="1:10" ht="15.75" customHeight="1">
      <c r="A1671" s="14" t="s">
        <v>11</v>
      </c>
      <c r="B1671" s="15">
        <v>46174</v>
      </c>
      <c r="C1671" s="16" t="s">
        <v>51</v>
      </c>
      <c r="D1671" s="17" t="s">
        <v>46</v>
      </c>
      <c r="E1671" s="18" t="s">
        <v>29</v>
      </c>
      <c r="F1671" s="19">
        <v>3386</v>
      </c>
      <c r="G1671" s="20">
        <v>123</v>
      </c>
      <c r="H1671" s="21">
        <v>96</v>
      </c>
      <c r="I1671" s="22">
        <v>3413</v>
      </c>
      <c r="J1671" s="35">
        <v>78</v>
      </c>
    </row>
    <row r="1672" spans="1:10" ht="15.75" customHeight="1">
      <c r="A1672" s="24" t="s">
        <v>11</v>
      </c>
      <c r="B1672" s="25">
        <v>46174</v>
      </c>
      <c r="C1672" s="26" t="s">
        <v>51</v>
      </c>
      <c r="D1672" s="27" t="s">
        <v>46</v>
      </c>
      <c r="E1672" s="28" t="s">
        <v>31</v>
      </c>
      <c r="F1672" s="29">
        <v>4369</v>
      </c>
      <c r="G1672" s="30">
        <v>102</v>
      </c>
      <c r="H1672" s="31">
        <v>80</v>
      </c>
      <c r="I1672" s="32">
        <v>4391</v>
      </c>
      <c r="J1672" s="33">
        <v>78.400000000000006</v>
      </c>
    </row>
    <row r="1673" spans="1:10" ht="15.75" customHeight="1">
      <c r="A1673" s="14" t="s">
        <v>11</v>
      </c>
      <c r="B1673" s="15">
        <v>46174</v>
      </c>
      <c r="C1673" s="16" t="s">
        <v>51</v>
      </c>
      <c r="D1673" s="17" t="s">
        <v>46</v>
      </c>
      <c r="E1673" s="18" t="s">
        <v>33</v>
      </c>
      <c r="F1673" s="19">
        <v>1617</v>
      </c>
      <c r="G1673" s="20">
        <v>83</v>
      </c>
      <c r="H1673" s="21">
        <v>64</v>
      </c>
      <c r="I1673" s="22">
        <v>1636</v>
      </c>
      <c r="J1673" s="35">
        <v>77.099999999999994</v>
      </c>
    </row>
    <row r="1674" spans="1:10" ht="15.75" customHeight="1">
      <c r="A1674" s="24" t="s">
        <v>11</v>
      </c>
      <c r="B1674" s="25">
        <v>46174</v>
      </c>
      <c r="C1674" s="26" t="s">
        <v>51</v>
      </c>
      <c r="D1674" s="27" t="s">
        <v>46</v>
      </c>
      <c r="E1674" s="28" t="s">
        <v>36</v>
      </c>
      <c r="F1674" s="29">
        <v>5454</v>
      </c>
      <c r="G1674" s="30">
        <v>105</v>
      </c>
      <c r="H1674" s="31">
        <v>64</v>
      </c>
      <c r="I1674" s="32">
        <v>5495</v>
      </c>
      <c r="J1674" s="34">
        <v>61</v>
      </c>
    </row>
    <row r="1675" spans="1:10" ht="15.75" customHeight="1">
      <c r="A1675" s="14" t="s">
        <v>11</v>
      </c>
      <c r="B1675" s="15">
        <v>46175</v>
      </c>
      <c r="C1675" s="16" t="s">
        <v>52</v>
      </c>
      <c r="D1675" s="17" t="s">
        <v>46</v>
      </c>
      <c r="E1675" s="18" t="s">
        <v>26</v>
      </c>
      <c r="F1675" s="19">
        <v>4349</v>
      </c>
      <c r="G1675" s="20">
        <v>94</v>
      </c>
      <c r="H1675" s="21">
        <v>70</v>
      </c>
      <c r="I1675" s="22">
        <v>4373</v>
      </c>
      <c r="J1675" s="23">
        <v>74.5</v>
      </c>
    </row>
    <row r="1676" spans="1:10" ht="15.75" customHeight="1">
      <c r="A1676" s="24" t="s">
        <v>11</v>
      </c>
      <c r="B1676" s="25">
        <v>46175</v>
      </c>
      <c r="C1676" s="26" t="s">
        <v>52</v>
      </c>
      <c r="D1676" s="27" t="s">
        <v>46</v>
      </c>
      <c r="E1676" s="28" t="s">
        <v>27</v>
      </c>
      <c r="F1676" s="29">
        <v>3134</v>
      </c>
      <c r="G1676" s="30">
        <v>85</v>
      </c>
      <c r="H1676" s="31">
        <v>68</v>
      </c>
      <c r="I1676" s="32">
        <v>3151</v>
      </c>
      <c r="J1676" s="33">
        <v>80</v>
      </c>
    </row>
    <row r="1677" spans="1:10" ht="15.75" customHeight="1">
      <c r="A1677" s="14" t="s">
        <v>11</v>
      </c>
      <c r="B1677" s="15">
        <v>46175</v>
      </c>
      <c r="C1677" s="16" t="s">
        <v>52</v>
      </c>
      <c r="D1677" s="17" t="s">
        <v>46</v>
      </c>
      <c r="E1677" s="18" t="s">
        <v>30</v>
      </c>
      <c r="F1677" s="19">
        <v>5142</v>
      </c>
      <c r="G1677" s="20">
        <v>105</v>
      </c>
      <c r="H1677" s="21">
        <v>64</v>
      </c>
      <c r="I1677" s="22">
        <v>5183</v>
      </c>
      <c r="J1677" s="23">
        <v>61</v>
      </c>
    </row>
    <row r="1678" spans="1:10" ht="15.75" customHeight="1">
      <c r="A1678" s="24" t="s">
        <v>11</v>
      </c>
      <c r="B1678" s="25">
        <v>46175</v>
      </c>
      <c r="C1678" s="26" t="s">
        <v>52</v>
      </c>
      <c r="D1678" s="27" t="s">
        <v>46</v>
      </c>
      <c r="E1678" s="28" t="s">
        <v>32</v>
      </c>
      <c r="F1678" s="29">
        <v>2185</v>
      </c>
      <c r="G1678" s="30">
        <v>75</v>
      </c>
      <c r="H1678" s="31">
        <v>69</v>
      </c>
      <c r="I1678" s="32">
        <v>2191</v>
      </c>
      <c r="J1678" s="33">
        <v>92</v>
      </c>
    </row>
    <row r="1679" spans="1:10" ht="15.75" customHeight="1">
      <c r="A1679" s="14" t="s">
        <v>11</v>
      </c>
      <c r="B1679" s="15">
        <v>46175</v>
      </c>
      <c r="C1679" s="16" t="s">
        <v>52</v>
      </c>
      <c r="D1679" s="17" t="s">
        <v>46</v>
      </c>
      <c r="E1679" s="18" t="s">
        <v>34</v>
      </c>
      <c r="F1679" s="19">
        <v>5288</v>
      </c>
      <c r="G1679" s="20">
        <v>179</v>
      </c>
      <c r="H1679" s="21">
        <v>139</v>
      </c>
      <c r="I1679" s="22">
        <v>5328</v>
      </c>
      <c r="J1679" s="35">
        <v>77.7</v>
      </c>
    </row>
    <row r="1680" spans="1:10" ht="15.75" customHeight="1">
      <c r="A1680" s="24" t="s">
        <v>11</v>
      </c>
      <c r="B1680" s="25">
        <v>46175</v>
      </c>
      <c r="C1680" s="26" t="s">
        <v>52</v>
      </c>
      <c r="D1680" s="27" t="s">
        <v>46</v>
      </c>
      <c r="E1680" s="28" t="s">
        <v>25</v>
      </c>
      <c r="F1680" s="29">
        <v>2725</v>
      </c>
      <c r="G1680" s="30">
        <v>54</v>
      </c>
      <c r="H1680" s="31">
        <v>37</v>
      </c>
      <c r="I1680" s="32">
        <v>2742</v>
      </c>
      <c r="J1680" s="34">
        <v>68.5</v>
      </c>
    </row>
    <row r="1681" spans="1:10" ht="15.75" customHeight="1">
      <c r="A1681" s="14" t="s">
        <v>11</v>
      </c>
      <c r="B1681" s="15">
        <v>46175</v>
      </c>
      <c r="C1681" s="16" t="s">
        <v>52</v>
      </c>
      <c r="D1681" s="17" t="s">
        <v>46</v>
      </c>
      <c r="E1681" s="18" t="s">
        <v>35</v>
      </c>
      <c r="F1681" s="19">
        <v>2923</v>
      </c>
      <c r="G1681" s="20">
        <v>138</v>
      </c>
      <c r="H1681" s="21">
        <v>118</v>
      </c>
      <c r="I1681" s="22">
        <v>2943</v>
      </c>
      <c r="J1681" s="35">
        <v>85.5</v>
      </c>
    </row>
    <row r="1682" spans="1:10" ht="15.75" customHeight="1">
      <c r="A1682" s="24" t="s">
        <v>11</v>
      </c>
      <c r="B1682" s="25">
        <v>46175</v>
      </c>
      <c r="C1682" s="26" t="s">
        <v>52</v>
      </c>
      <c r="D1682" s="27" t="s">
        <v>46</v>
      </c>
      <c r="E1682" s="28" t="s">
        <v>29</v>
      </c>
      <c r="F1682" s="29">
        <v>3413</v>
      </c>
      <c r="G1682" s="30">
        <v>99</v>
      </c>
      <c r="H1682" s="31">
        <v>65</v>
      </c>
      <c r="I1682" s="32">
        <v>3447</v>
      </c>
      <c r="J1682" s="34">
        <v>65.7</v>
      </c>
    </row>
    <row r="1683" spans="1:10" ht="15.75" customHeight="1">
      <c r="A1683" s="14" t="s">
        <v>11</v>
      </c>
      <c r="B1683" s="15">
        <v>46175</v>
      </c>
      <c r="C1683" s="16" t="s">
        <v>52</v>
      </c>
      <c r="D1683" s="17" t="s">
        <v>46</v>
      </c>
      <c r="E1683" s="18" t="s">
        <v>31</v>
      </c>
      <c r="F1683" s="19">
        <v>4391</v>
      </c>
      <c r="G1683" s="20">
        <v>150</v>
      </c>
      <c r="H1683" s="21">
        <v>114</v>
      </c>
      <c r="I1683" s="22">
        <v>4427</v>
      </c>
      <c r="J1683" s="35">
        <v>76</v>
      </c>
    </row>
    <row r="1684" spans="1:10" ht="15.75" customHeight="1">
      <c r="A1684" s="24" t="s">
        <v>11</v>
      </c>
      <c r="B1684" s="25">
        <v>46175</v>
      </c>
      <c r="C1684" s="26" t="s">
        <v>52</v>
      </c>
      <c r="D1684" s="27" t="s">
        <v>46</v>
      </c>
      <c r="E1684" s="28" t="s">
        <v>33</v>
      </c>
      <c r="F1684" s="29">
        <v>1636</v>
      </c>
      <c r="G1684" s="30">
        <v>70</v>
      </c>
      <c r="H1684" s="31">
        <v>65</v>
      </c>
      <c r="I1684" s="32">
        <v>1641</v>
      </c>
      <c r="J1684" s="33">
        <v>92.9</v>
      </c>
    </row>
    <row r="1685" spans="1:10" ht="15.75" customHeight="1">
      <c r="A1685" s="14" t="s">
        <v>11</v>
      </c>
      <c r="B1685" s="15">
        <v>46175</v>
      </c>
      <c r="C1685" s="16" t="s">
        <v>52</v>
      </c>
      <c r="D1685" s="17" t="s">
        <v>46</v>
      </c>
      <c r="E1685" s="18" t="s">
        <v>36</v>
      </c>
      <c r="F1685" s="19">
        <v>5495</v>
      </c>
      <c r="G1685" s="20">
        <v>113</v>
      </c>
      <c r="H1685" s="21">
        <v>77</v>
      </c>
      <c r="I1685" s="22">
        <v>5531</v>
      </c>
      <c r="J1685" s="23">
        <v>68.099999999999994</v>
      </c>
    </row>
    <row r="1686" spans="1:10" ht="15.75" customHeight="1">
      <c r="A1686" s="24" t="s">
        <v>11</v>
      </c>
      <c r="B1686" s="25">
        <v>46176</v>
      </c>
      <c r="C1686" s="26" t="s">
        <v>53</v>
      </c>
      <c r="D1686" s="27" t="s">
        <v>46</v>
      </c>
      <c r="E1686" s="28" t="s">
        <v>26</v>
      </c>
      <c r="F1686" s="29">
        <v>4373</v>
      </c>
      <c r="G1686" s="30">
        <v>90</v>
      </c>
      <c r="H1686" s="31">
        <v>74</v>
      </c>
      <c r="I1686" s="32">
        <v>4389</v>
      </c>
      <c r="J1686" s="33">
        <v>82.2</v>
      </c>
    </row>
    <row r="1687" spans="1:10" ht="15.75" customHeight="1">
      <c r="A1687" s="14" t="s">
        <v>11</v>
      </c>
      <c r="B1687" s="15">
        <v>46176</v>
      </c>
      <c r="C1687" s="16" t="s">
        <v>53</v>
      </c>
      <c r="D1687" s="17" t="s">
        <v>46</v>
      </c>
      <c r="E1687" s="18" t="s">
        <v>27</v>
      </c>
      <c r="F1687" s="19">
        <v>3151</v>
      </c>
      <c r="G1687" s="20">
        <v>93</v>
      </c>
      <c r="H1687" s="21">
        <v>67</v>
      </c>
      <c r="I1687" s="22">
        <v>3177</v>
      </c>
      <c r="J1687" s="23">
        <v>72</v>
      </c>
    </row>
    <row r="1688" spans="1:10" ht="15.75" customHeight="1">
      <c r="A1688" s="24" t="s">
        <v>11</v>
      </c>
      <c r="B1688" s="25">
        <v>46176</v>
      </c>
      <c r="C1688" s="26" t="s">
        <v>53</v>
      </c>
      <c r="D1688" s="27" t="s">
        <v>46</v>
      </c>
      <c r="E1688" s="28" t="s">
        <v>30</v>
      </c>
      <c r="F1688" s="29">
        <v>5183</v>
      </c>
      <c r="G1688" s="30">
        <v>157</v>
      </c>
      <c r="H1688" s="31">
        <v>95</v>
      </c>
      <c r="I1688" s="32">
        <v>5245</v>
      </c>
      <c r="J1688" s="34">
        <v>60.5</v>
      </c>
    </row>
    <row r="1689" spans="1:10" ht="15.75" customHeight="1">
      <c r="A1689" s="14" t="s">
        <v>11</v>
      </c>
      <c r="B1689" s="15">
        <v>46176</v>
      </c>
      <c r="C1689" s="16" t="s">
        <v>53</v>
      </c>
      <c r="D1689" s="17" t="s">
        <v>46</v>
      </c>
      <c r="E1689" s="18" t="s">
        <v>32</v>
      </c>
      <c r="F1689" s="19">
        <v>2191</v>
      </c>
      <c r="G1689" s="20">
        <v>84</v>
      </c>
      <c r="H1689" s="21">
        <v>78</v>
      </c>
      <c r="I1689" s="22">
        <v>2197</v>
      </c>
      <c r="J1689" s="35">
        <v>92.9</v>
      </c>
    </row>
    <row r="1690" spans="1:10" ht="15.75" customHeight="1">
      <c r="A1690" s="24" t="s">
        <v>11</v>
      </c>
      <c r="B1690" s="25">
        <v>46176</v>
      </c>
      <c r="C1690" s="26" t="s">
        <v>53</v>
      </c>
      <c r="D1690" s="27" t="s">
        <v>46</v>
      </c>
      <c r="E1690" s="28" t="s">
        <v>34</v>
      </c>
      <c r="F1690" s="29">
        <v>5328</v>
      </c>
      <c r="G1690" s="30">
        <v>105</v>
      </c>
      <c r="H1690" s="31">
        <v>85</v>
      </c>
      <c r="I1690" s="32">
        <v>5348</v>
      </c>
      <c r="J1690" s="33">
        <v>81</v>
      </c>
    </row>
    <row r="1691" spans="1:10" ht="15.75" customHeight="1">
      <c r="A1691" s="14" t="s">
        <v>11</v>
      </c>
      <c r="B1691" s="15">
        <v>46176</v>
      </c>
      <c r="C1691" s="16" t="s">
        <v>53</v>
      </c>
      <c r="D1691" s="17" t="s">
        <v>46</v>
      </c>
      <c r="E1691" s="18" t="s">
        <v>25</v>
      </c>
      <c r="F1691" s="19">
        <v>2742</v>
      </c>
      <c r="G1691" s="20">
        <v>74</v>
      </c>
      <c r="H1691" s="21">
        <v>61</v>
      </c>
      <c r="I1691" s="22">
        <v>2755</v>
      </c>
      <c r="J1691" s="35">
        <v>82.4</v>
      </c>
    </row>
    <row r="1692" spans="1:10" ht="15.75" customHeight="1">
      <c r="A1692" s="24" t="s">
        <v>11</v>
      </c>
      <c r="B1692" s="25">
        <v>46176</v>
      </c>
      <c r="C1692" s="26" t="s">
        <v>53</v>
      </c>
      <c r="D1692" s="27" t="s">
        <v>46</v>
      </c>
      <c r="E1692" s="28" t="s">
        <v>35</v>
      </c>
      <c r="F1692" s="29">
        <v>2943</v>
      </c>
      <c r="G1692" s="30">
        <v>107</v>
      </c>
      <c r="H1692" s="31">
        <v>77</v>
      </c>
      <c r="I1692" s="32">
        <v>2973</v>
      </c>
      <c r="J1692" s="34">
        <v>72</v>
      </c>
    </row>
    <row r="1693" spans="1:10" ht="15.75" customHeight="1">
      <c r="A1693" s="14" t="s">
        <v>11</v>
      </c>
      <c r="B1693" s="15">
        <v>46176</v>
      </c>
      <c r="C1693" s="16" t="s">
        <v>53</v>
      </c>
      <c r="D1693" s="17" t="s">
        <v>46</v>
      </c>
      <c r="E1693" s="18" t="s">
        <v>29</v>
      </c>
      <c r="F1693" s="19">
        <v>3447</v>
      </c>
      <c r="G1693" s="20">
        <v>87</v>
      </c>
      <c r="H1693" s="21">
        <v>59</v>
      </c>
      <c r="I1693" s="22">
        <v>3475</v>
      </c>
      <c r="J1693" s="23">
        <v>67.8</v>
      </c>
    </row>
    <row r="1694" spans="1:10" ht="15.75" customHeight="1">
      <c r="A1694" s="24" t="s">
        <v>11</v>
      </c>
      <c r="B1694" s="25">
        <v>46176</v>
      </c>
      <c r="C1694" s="26" t="s">
        <v>53</v>
      </c>
      <c r="D1694" s="27" t="s">
        <v>46</v>
      </c>
      <c r="E1694" s="28" t="s">
        <v>31</v>
      </c>
      <c r="F1694" s="29">
        <v>4427</v>
      </c>
      <c r="G1694" s="30">
        <v>129</v>
      </c>
      <c r="H1694" s="31">
        <v>89</v>
      </c>
      <c r="I1694" s="32">
        <v>4467</v>
      </c>
      <c r="J1694" s="34">
        <v>69</v>
      </c>
    </row>
    <row r="1695" spans="1:10" ht="15.75" customHeight="1">
      <c r="A1695" s="14" t="s">
        <v>11</v>
      </c>
      <c r="B1695" s="15">
        <v>46176</v>
      </c>
      <c r="C1695" s="16" t="s">
        <v>53</v>
      </c>
      <c r="D1695" s="17" t="s">
        <v>46</v>
      </c>
      <c r="E1695" s="18" t="s">
        <v>33</v>
      </c>
      <c r="F1695" s="19">
        <v>1641</v>
      </c>
      <c r="G1695" s="20">
        <v>101</v>
      </c>
      <c r="H1695" s="21">
        <v>98</v>
      </c>
      <c r="I1695" s="22">
        <v>1644</v>
      </c>
      <c r="J1695" s="35">
        <v>97</v>
      </c>
    </row>
    <row r="1696" spans="1:10" ht="15.75" customHeight="1">
      <c r="A1696" s="24" t="s">
        <v>11</v>
      </c>
      <c r="B1696" s="25">
        <v>46176</v>
      </c>
      <c r="C1696" s="26" t="s">
        <v>53</v>
      </c>
      <c r="D1696" s="27" t="s">
        <v>46</v>
      </c>
      <c r="E1696" s="28" t="s">
        <v>36</v>
      </c>
      <c r="F1696" s="29">
        <v>5531</v>
      </c>
      <c r="G1696" s="30">
        <v>108</v>
      </c>
      <c r="H1696" s="31">
        <v>83</v>
      </c>
      <c r="I1696" s="32">
        <v>5556</v>
      </c>
      <c r="J1696" s="33">
        <v>76.900000000000006</v>
      </c>
    </row>
    <row r="1697" spans="1:10" ht="15.75" customHeight="1">
      <c r="A1697" s="14" t="s">
        <v>11</v>
      </c>
      <c r="B1697" s="15">
        <v>46177</v>
      </c>
      <c r="C1697" s="16" t="s">
        <v>45</v>
      </c>
      <c r="D1697" s="17" t="s">
        <v>46</v>
      </c>
      <c r="E1697" s="18" t="s">
        <v>26</v>
      </c>
      <c r="F1697" s="19">
        <v>4389</v>
      </c>
      <c r="G1697" s="20">
        <v>139</v>
      </c>
      <c r="H1697" s="21">
        <v>112</v>
      </c>
      <c r="I1697" s="22">
        <v>4416</v>
      </c>
      <c r="J1697" s="35">
        <v>80.599999999999994</v>
      </c>
    </row>
    <row r="1698" spans="1:10" ht="15.75" customHeight="1">
      <c r="A1698" s="24" t="s">
        <v>11</v>
      </c>
      <c r="B1698" s="25">
        <v>46177</v>
      </c>
      <c r="C1698" s="26" t="s">
        <v>45</v>
      </c>
      <c r="D1698" s="27" t="s">
        <v>46</v>
      </c>
      <c r="E1698" s="28" t="s">
        <v>27</v>
      </c>
      <c r="F1698" s="29">
        <v>3177</v>
      </c>
      <c r="G1698" s="30">
        <v>100</v>
      </c>
      <c r="H1698" s="31">
        <v>90</v>
      </c>
      <c r="I1698" s="32">
        <v>3187</v>
      </c>
      <c r="J1698" s="33">
        <v>90</v>
      </c>
    </row>
    <row r="1699" spans="1:10" ht="15.75" customHeight="1">
      <c r="A1699" s="14" t="s">
        <v>11</v>
      </c>
      <c r="B1699" s="15">
        <v>46177</v>
      </c>
      <c r="C1699" s="16" t="s">
        <v>45</v>
      </c>
      <c r="D1699" s="17" t="s">
        <v>46</v>
      </c>
      <c r="E1699" s="18" t="s">
        <v>30</v>
      </c>
      <c r="F1699" s="19">
        <v>5245</v>
      </c>
      <c r="G1699" s="20">
        <v>113</v>
      </c>
      <c r="H1699" s="21">
        <v>71</v>
      </c>
      <c r="I1699" s="22">
        <v>5287</v>
      </c>
      <c r="J1699" s="23">
        <v>62.8</v>
      </c>
    </row>
    <row r="1700" spans="1:10" ht="15.75" customHeight="1">
      <c r="A1700" s="24" t="s">
        <v>11</v>
      </c>
      <c r="B1700" s="25">
        <v>46177</v>
      </c>
      <c r="C1700" s="26" t="s">
        <v>45</v>
      </c>
      <c r="D1700" s="27" t="s">
        <v>46</v>
      </c>
      <c r="E1700" s="28" t="s">
        <v>32</v>
      </c>
      <c r="F1700" s="29">
        <v>2197</v>
      </c>
      <c r="G1700" s="30">
        <v>64</v>
      </c>
      <c r="H1700" s="31">
        <v>59</v>
      </c>
      <c r="I1700" s="32">
        <v>2202</v>
      </c>
      <c r="J1700" s="33">
        <v>92.2</v>
      </c>
    </row>
    <row r="1701" spans="1:10" ht="15.75" customHeight="1">
      <c r="A1701" s="14" t="s">
        <v>11</v>
      </c>
      <c r="B1701" s="15">
        <v>46177</v>
      </c>
      <c r="C1701" s="16" t="s">
        <v>45</v>
      </c>
      <c r="D1701" s="17" t="s">
        <v>46</v>
      </c>
      <c r="E1701" s="18" t="s">
        <v>34</v>
      </c>
      <c r="F1701" s="19">
        <v>5348</v>
      </c>
      <c r="G1701" s="20">
        <v>158</v>
      </c>
      <c r="H1701" s="21">
        <v>99</v>
      </c>
      <c r="I1701" s="22">
        <v>5407</v>
      </c>
      <c r="J1701" s="23">
        <v>62.7</v>
      </c>
    </row>
    <row r="1702" spans="1:10" ht="15.75" customHeight="1">
      <c r="A1702" s="24" t="s">
        <v>11</v>
      </c>
      <c r="B1702" s="25">
        <v>46177</v>
      </c>
      <c r="C1702" s="26" t="s">
        <v>45</v>
      </c>
      <c r="D1702" s="27" t="s">
        <v>46</v>
      </c>
      <c r="E1702" s="28" t="s">
        <v>25</v>
      </c>
      <c r="F1702" s="29">
        <v>2755</v>
      </c>
      <c r="G1702" s="30">
        <v>68</v>
      </c>
      <c r="H1702" s="31">
        <v>49</v>
      </c>
      <c r="I1702" s="32">
        <v>2774</v>
      </c>
      <c r="J1702" s="34">
        <v>72.099999999999994</v>
      </c>
    </row>
    <row r="1703" spans="1:10" ht="15.75" customHeight="1">
      <c r="A1703" s="14" t="s">
        <v>11</v>
      </c>
      <c r="B1703" s="15">
        <v>46177</v>
      </c>
      <c r="C1703" s="16" t="s">
        <v>45</v>
      </c>
      <c r="D1703" s="17" t="s">
        <v>46</v>
      </c>
      <c r="E1703" s="18" t="s">
        <v>35</v>
      </c>
      <c r="F1703" s="19">
        <v>2973</v>
      </c>
      <c r="G1703" s="20">
        <v>80</v>
      </c>
      <c r="H1703" s="21">
        <v>63</v>
      </c>
      <c r="I1703" s="22">
        <v>2990</v>
      </c>
      <c r="J1703" s="35">
        <v>78.8</v>
      </c>
    </row>
    <row r="1704" spans="1:10" ht="15.75" customHeight="1">
      <c r="A1704" s="24" t="s">
        <v>11</v>
      </c>
      <c r="B1704" s="25">
        <v>46177</v>
      </c>
      <c r="C1704" s="26" t="s">
        <v>45</v>
      </c>
      <c r="D1704" s="27" t="s">
        <v>46</v>
      </c>
      <c r="E1704" s="28" t="s">
        <v>29</v>
      </c>
      <c r="F1704" s="29">
        <v>3475</v>
      </c>
      <c r="G1704" s="30">
        <v>121</v>
      </c>
      <c r="H1704" s="31">
        <v>80</v>
      </c>
      <c r="I1704" s="32">
        <v>3516</v>
      </c>
      <c r="J1704" s="34">
        <v>66.099999999999994</v>
      </c>
    </row>
    <row r="1705" spans="1:10" ht="15.75" customHeight="1">
      <c r="A1705" s="14" t="s">
        <v>11</v>
      </c>
      <c r="B1705" s="15">
        <v>46177</v>
      </c>
      <c r="C1705" s="16" t="s">
        <v>45</v>
      </c>
      <c r="D1705" s="17" t="s">
        <v>46</v>
      </c>
      <c r="E1705" s="18" t="s">
        <v>31</v>
      </c>
      <c r="F1705" s="19">
        <v>4467</v>
      </c>
      <c r="G1705" s="20">
        <v>125</v>
      </c>
      <c r="H1705" s="21">
        <v>89</v>
      </c>
      <c r="I1705" s="22">
        <v>4503</v>
      </c>
      <c r="J1705" s="23">
        <v>71.2</v>
      </c>
    </row>
    <row r="1706" spans="1:10" ht="15.75" customHeight="1">
      <c r="A1706" s="24" t="s">
        <v>11</v>
      </c>
      <c r="B1706" s="25">
        <v>46177</v>
      </c>
      <c r="C1706" s="26" t="s">
        <v>45</v>
      </c>
      <c r="D1706" s="27" t="s">
        <v>46</v>
      </c>
      <c r="E1706" s="28" t="s">
        <v>33</v>
      </c>
      <c r="F1706" s="29">
        <v>1644</v>
      </c>
      <c r="G1706" s="30">
        <v>87</v>
      </c>
      <c r="H1706" s="31">
        <v>79</v>
      </c>
      <c r="I1706" s="32">
        <v>1652</v>
      </c>
      <c r="J1706" s="33">
        <v>90.8</v>
      </c>
    </row>
    <row r="1707" spans="1:10" ht="15.75" customHeight="1">
      <c r="A1707" s="14" t="s">
        <v>11</v>
      </c>
      <c r="B1707" s="15">
        <v>46177</v>
      </c>
      <c r="C1707" s="16" t="s">
        <v>45</v>
      </c>
      <c r="D1707" s="17" t="s">
        <v>46</v>
      </c>
      <c r="E1707" s="18" t="s">
        <v>36</v>
      </c>
      <c r="F1707" s="19">
        <v>5556</v>
      </c>
      <c r="G1707" s="20">
        <v>164</v>
      </c>
      <c r="H1707" s="21">
        <v>130</v>
      </c>
      <c r="I1707" s="22">
        <v>5590</v>
      </c>
      <c r="J1707" s="35">
        <v>79.3</v>
      </c>
    </row>
    <row r="1708" spans="1:10" ht="15.75" customHeight="1">
      <c r="A1708" s="24" t="s">
        <v>11</v>
      </c>
      <c r="B1708" s="25">
        <v>46178</v>
      </c>
      <c r="C1708" s="26" t="s">
        <v>47</v>
      </c>
      <c r="D1708" s="27" t="s">
        <v>46</v>
      </c>
      <c r="E1708" s="28" t="s">
        <v>26</v>
      </c>
      <c r="F1708" s="29">
        <v>4416</v>
      </c>
      <c r="G1708" s="30">
        <v>95</v>
      </c>
      <c r="H1708" s="31">
        <v>72</v>
      </c>
      <c r="I1708" s="32">
        <v>4439</v>
      </c>
      <c r="J1708" s="33">
        <v>75.8</v>
      </c>
    </row>
    <row r="1709" spans="1:10" ht="15.75" customHeight="1">
      <c r="A1709" s="14" t="s">
        <v>11</v>
      </c>
      <c r="B1709" s="15">
        <v>46178</v>
      </c>
      <c r="C1709" s="16" t="s">
        <v>47</v>
      </c>
      <c r="D1709" s="17" t="s">
        <v>46</v>
      </c>
      <c r="E1709" s="18" t="s">
        <v>27</v>
      </c>
      <c r="F1709" s="19">
        <v>3187</v>
      </c>
      <c r="G1709" s="20">
        <v>97</v>
      </c>
      <c r="H1709" s="21">
        <v>79</v>
      </c>
      <c r="I1709" s="22">
        <v>3205</v>
      </c>
      <c r="J1709" s="35">
        <v>81.400000000000006</v>
      </c>
    </row>
    <row r="1710" spans="1:10" ht="15.75" customHeight="1">
      <c r="A1710" s="24" t="s">
        <v>11</v>
      </c>
      <c r="B1710" s="25">
        <v>46178</v>
      </c>
      <c r="C1710" s="26" t="s">
        <v>47</v>
      </c>
      <c r="D1710" s="27" t="s">
        <v>46</v>
      </c>
      <c r="E1710" s="28" t="s">
        <v>30</v>
      </c>
      <c r="F1710" s="29">
        <v>5287</v>
      </c>
      <c r="G1710" s="30">
        <v>146</v>
      </c>
      <c r="H1710" s="31">
        <v>115</v>
      </c>
      <c r="I1710" s="32">
        <v>5318</v>
      </c>
      <c r="J1710" s="33">
        <v>78.8</v>
      </c>
    </row>
    <row r="1711" spans="1:10" ht="15.75" customHeight="1">
      <c r="A1711" s="14" t="s">
        <v>11</v>
      </c>
      <c r="B1711" s="15">
        <v>46178</v>
      </c>
      <c r="C1711" s="16" t="s">
        <v>47</v>
      </c>
      <c r="D1711" s="17" t="s">
        <v>46</v>
      </c>
      <c r="E1711" s="18" t="s">
        <v>32</v>
      </c>
      <c r="F1711" s="19">
        <v>2202</v>
      </c>
      <c r="G1711" s="20">
        <v>84</v>
      </c>
      <c r="H1711" s="21">
        <v>73</v>
      </c>
      <c r="I1711" s="22">
        <v>2213</v>
      </c>
      <c r="J1711" s="35">
        <v>86.9</v>
      </c>
    </row>
    <row r="1712" spans="1:10" ht="15.75" customHeight="1">
      <c r="A1712" s="24" t="s">
        <v>11</v>
      </c>
      <c r="B1712" s="25">
        <v>46178</v>
      </c>
      <c r="C1712" s="26" t="s">
        <v>47</v>
      </c>
      <c r="D1712" s="27" t="s">
        <v>46</v>
      </c>
      <c r="E1712" s="28" t="s">
        <v>34</v>
      </c>
      <c r="F1712" s="29">
        <v>5407</v>
      </c>
      <c r="G1712" s="30">
        <v>123</v>
      </c>
      <c r="H1712" s="31">
        <v>91</v>
      </c>
      <c r="I1712" s="32">
        <v>5439</v>
      </c>
      <c r="J1712" s="34">
        <v>74</v>
      </c>
    </row>
    <row r="1713" spans="1:10" ht="15.75" customHeight="1">
      <c r="A1713" s="14" t="s">
        <v>11</v>
      </c>
      <c r="B1713" s="15">
        <v>46178</v>
      </c>
      <c r="C1713" s="16" t="s">
        <v>47</v>
      </c>
      <c r="D1713" s="17" t="s">
        <v>46</v>
      </c>
      <c r="E1713" s="18" t="s">
        <v>25</v>
      </c>
      <c r="F1713" s="19">
        <v>2774</v>
      </c>
      <c r="G1713" s="20">
        <v>94</v>
      </c>
      <c r="H1713" s="21">
        <v>78</v>
      </c>
      <c r="I1713" s="22">
        <v>2790</v>
      </c>
      <c r="J1713" s="35">
        <v>83</v>
      </c>
    </row>
    <row r="1714" spans="1:10" ht="15.75" customHeight="1">
      <c r="A1714" s="24" t="s">
        <v>11</v>
      </c>
      <c r="B1714" s="25">
        <v>46178</v>
      </c>
      <c r="C1714" s="26" t="s">
        <v>47</v>
      </c>
      <c r="D1714" s="27" t="s">
        <v>46</v>
      </c>
      <c r="E1714" s="28" t="s">
        <v>35</v>
      </c>
      <c r="F1714" s="29">
        <v>2990</v>
      </c>
      <c r="G1714" s="30">
        <v>122</v>
      </c>
      <c r="H1714" s="31">
        <v>112</v>
      </c>
      <c r="I1714" s="32">
        <v>3000</v>
      </c>
      <c r="J1714" s="33">
        <v>91.8</v>
      </c>
    </row>
    <row r="1715" spans="1:10" ht="15.75" customHeight="1">
      <c r="A1715" s="14" t="s">
        <v>11</v>
      </c>
      <c r="B1715" s="15">
        <v>46178</v>
      </c>
      <c r="C1715" s="16" t="s">
        <v>47</v>
      </c>
      <c r="D1715" s="17" t="s">
        <v>46</v>
      </c>
      <c r="E1715" s="18" t="s">
        <v>29</v>
      </c>
      <c r="F1715" s="19">
        <v>3516</v>
      </c>
      <c r="G1715" s="20">
        <v>98</v>
      </c>
      <c r="H1715" s="21">
        <v>72</v>
      </c>
      <c r="I1715" s="22">
        <v>3542</v>
      </c>
      <c r="J1715" s="23">
        <v>73.5</v>
      </c>
    </row>
    <row r="1716" spans="1:10" ht="15.75" customHeight="1">
      <c r="A1716" s="24" t="s">
        <v>11</v>
      </c>
      <c r="B1716" s="25">
        <v>46178</v>
      </c>
      <c r="C1716" s="26" t="s">
        <v>47</v>
      </c>
      <c r="D1716" s="27" t="s">
        <v>46</v>
      </c>
      <c r="E1716" s="28" t="s">
        <v>31</v>
      </c>
      <c r="F1716" s="29">
        <v>4503</v>
      </c>
      <c r="G1716" s="30">
        <v>95</v>
      </c>
      <c r="H1716" s="31">
        <v>73</v>
      </c>
      <c r="I1716" s="32">
        <v>4525</v>
      </c>
      <c r="J1716" s="33">
        <v>76.8</v>
      </c>
    </row>
    <row r="1717" spans="1:10" ht="15.75" customHeight="1">
      <c r="A1717" s="14" t="s">
        <v>11</v>
      </c>
      <c r="B1717" s="15">
        <v>46178</v>
      </c>
      <c r="C1717" s="16" t="s">
        <v>47</v>
      </c>
      <c r="D1717" s="17" t="s">
        <v>46</v>
      </c>
      <c r="E1717" s="18" t="s">
        <v>33</v>
      </c>
      <c r="F1717" s="19">
        <v>1652</v>
      </c>
      <c r="G1717" s="20">
        <v>60</v>
      </c>
      <c r="H1717" s="21">
        <v>52</v>
      </c>
      <c r="I1717" s="22">
        <v>1660</v>
      </c>
      <c r="J1717" s="35">
        <v>86.7</v>
      </c>
    </row>
    <row r="1718" spans="1:10" ht="15.75" customHeight="1">
      <c r="A1718" s="24" t="s">
        <v>11</v>
      </c>
      <c r="B1718" s="25">
        <v>46178</v>
      </c>
      <c r="C1718" s="26" t="s">
        <v>47</v>
      </c>
      <c r="D1718" s="27" t="s">
        <v>46</v>
      </c>
      <c r="E1718" s="28" t="s">
        <v>36</v>
      </c>
      <c r="F1718" s="29">
        <v>5590</v>
      </c>
      <c r="G1718" s="30">
        <v>118</v>
      </c>
      <c r="H1718" s="31">
        <v>88</v>
      </c>
      <c r="I1718" s="32">
        <v>5620</v>
      </c>
      <c r="J1718" s="34">
        <v>74.599999999999994</v>
      </c>
    </row>
    <row r="1719" spans="1:10" ht="15.75" customHeight="1">
      <c r="A1719" s="36" t="s">
        <v>11</v>
      </c>
      <c r="B1719" s="37">
        <v>46179</v>
      </c>
      <c r="C1719" s="38" t="s">
        <v>48</v>
      </c>
      <c r="D1719" s="39" t="s">
        <v>49</v>
      </c>
      <c r="E1719" s="40" t="s">
        <v>26</v>
      </c>
      <c r="F1719" s="41">
        <v>4439</v>
      </c>
      <c r="G1719" s="42">
        <v>70</v>
      </c>
      <c r="H1719" s="43">
        <v>56</v>
      </c>
      <c r="I1719" s="44">
        <v>4453</v>
      </c>
      <c r="J1719" s="45">
        <v>80</v>
      </c>
    </row>
    <row r="1720" spans="1:10" ht="15.75" customHeight="1">
      <c r="A1720" s="36" t="s">
        <v>11</v>
      </c>
      <c r="B1720" s="37">
        <v>46179</v>
      </c>
      <c r="C1720" s="38" t="s">
        <v>48</v>
      </c>
      <c r="D1720" s="39" t="s">
        <v>49</v>
      </c>
      <c r="E1720" s="40" t="s">
        <v>27</v>
      </c>
      <c r="F1720" s="41">
        <v>3205</v>
      </c>
      <c r="G1720" s="42">
        <v>55</v>
      </c>
      <c r="H1720" s="43">
        <v>40</v>
      </c>
      <c r="I1720" s="44">
        <v>3220</v>
      </c>
      <c r="J1720" s="46">
        <v>72.7</v>
      </c>
    </row>
    <row r="1721" spans="1:10" ht="15.75" customHeight="1">
      <c r="A1721" s="36" t="s">
        <v>11</v>
      </c>
      <c r="B1721" s="37">
        <v>46179</v>
      </c>
      <c r="C1721" s="38" t="s">
        <v>48</v>
      </c>
      <c r="D1721" s="39" t="s">
        <v>49</v>
      </c>
      <c r="E1721" s="40" t="s">
        <v>30</v>
      </c>
      <c r="F1721" s="41">
        <v>5318</v>
      </c>
      <c r="G1721" s="42">
        <v>80</v>
      </c>
      <c r="H1721" s="43">
        <v>62</v>
      </c>
      <c r="I1721" s="44">
        <v>5336</v>
      </c>
      <c r="J1721" s="45">
        <v>77.5</v>
      </c>
    </row>
    <row r="1722" spans="1:10" ht="15.75" customHeight="1">
      <c r="A1722" s="36" t="s">
        <v>11</v>
      </c>
      <c r="B1722" s="37">
        <v>46179</v>
      </c>
      <c r="C1722" s="38" t="s">
        <v>48</v>
      </c>
      <c r="D1722" s="39" t="s">
        <v>49</v>
      </c>
      <c r="E1722" s="40" t="s">
        <v>32</v>
      </c>
      <c r="F1722" s="41">
        <v>2213</v>
      </c>
      <c r="G1722" s="42">
        <v>46</v>
      </c>
      <c r="H1722" s="43">
        <v>41</v>
      </c>
      <c r="I1722" s="44">
        <v>2218</v>
      </c>
      <c r="J1722" s="45">
        <v>89.1</v>
      </c>
    </row>
    <row r="1723" spans="1:10" ht="15.75" customHeight="1">
      <c r="A1723" s="36" t="s">
        <v>11</v>
      </c>
      <c r="B1723" s="37">
        <v>46179</v>
      </c>
      <c r="C1723" s="38" t="s">
        <v>48</v>
      </c>
      <c r="D1723" s="39" t="s">
        <v>49</v>
      </c>
      <c r="E1723" s="40" t="s">
        <v>34</v>
      </c>
      <c r="F1723" s="41">
        <v>5439</v>
      </c>
      <c r="G1723" s="42">
        <v>42</v>
      </c>
      <c r="H1723" s="43">
        <v>31</v>
      </c>
      <c r="I1723" s="44">
        <v>5450</v>
      </c>
      <c r="J1723" s="46">
        <v>73.8</v>
      </c>
    </row>
    <row r="1724" spans="1:10" ht="15.75" customHeight="1">
      <c r="A1724" s="36" t="s">
        <v>11</v>
      </c>
      <c r="B1724" s="37">
        <v>46179</v>
      </c>
      <c r="C1724" s="38" t="s">
        <v>48</v>
      </c>
      <c r="D1724" s="39" t="s">
        <v>49</v>
      </c>
      <c r="E1724" s="40" t="s">
        <v>25</v>
      </c>
      <c r="F1724" s="41">
        <v>2790</v>
      </c>
      <c r="G1724" s="42">
        <v>47</v>
      </c>
      <c r="H1724" s="43">
        <v>35</v>
      </c>
      <c r="I1724" s="44">
        <v>2802</v>
      </c>
      <c r="J1724" s="46">
        <v>74.5</v>
      </c>
    </row>
    <row r="1725" spans="1:10" ht="15.75" customHeight="1">
      <c r="A1725" s="36" t="s">
        <v>11</v>
      </c>
      <c r="B1725" s="37">
        <v>46179</v>
      </c>
      <c r="C1725" s="38" t="s">
        <v>48</v>
      </c>
      <c r="D1725" s="39" t="s">
        <v>49</v>
      </c>
      <c r="E1725" s="40" t="s">
        <v>35</v>
      </c>
      <c r="F1725" s="41">
        <v>3000</v>
      </c>
      <c r="G1725" s="42">
        <v>70</v>
      </c>
      <c r="H1725" s="43">
        <v>62</v>
      </c>
      <c r="I1725" s="44">
        <v>3008</v>
      </c>
      <c r="J1725" s="45">
        <v>88.6</v>
      </c>
    </row>
    <row r="1726" spans="1:10" ht="15.75" customHeight="1">
      <c r="A1726" s="36" t="s">
        <v>11</v>
      </c>
      <c r="B1726" s="37">
        <v>46179</v>
      </c>
      <c r="C1726" s="38" t="s">
        <v>48</v>
      </c>
      <c r="D1726" s="39" t="s">
        <v>49</v>
      </c>
      <c r="E1726" s="40" t="s">
        <v>29</v>
      </c>
      <c r="F1726" s="41">
        <v>3542</v>
      </c>
      <c r="G1726" s="42">
        <v>29</v>
      </c>
      <c r="H1726" s="43">
        <v>19</v>
      </c>
      <c r="I1726" s="44">
        <v>3552</v>
      </c>
      <c r="J1726" s="46">
        <v>65.5</v>
      </c>
    </row>
    <row r="1727" spans="1:10" ht="15.75" customHeight="1">
      <c r="A1727" s="36" t="s">
        <v>11</v>
      </c>
      <c r="B1727" s="37">
        <v>46179</v>
      </c>
      <c r="C1727" s="38" t="s">
        <v>48</v>
      </c>
      <c r="D1727" s="39" t="s">
        <v>49</v>
      </c>
      <c r="E1727" s="40" t="s">
        <v>31</v>
      </c>
      <c r="F1727" s="41">
        <v>4525</v>
      </c>
      <c r="G1727" s="42">
        <v>76</v>
      </c>
      <c r="H1727" s="43">
        <v>60</v>
      </c>
      <c r="I1727" s="44">
        <v>4541</v>
      </c>
      <c r="J1727" s="45">
        <v>78.900000000000006</v>
      </c>
    </row>
    <row r="1728" spans="1:10" ht="15.75" customHeight="1">
      <c r="A1728" s="36" t="s">
        <v>11</v>
      </c>
      <c r="B1728" s="37">
        <v>46179</v>
      </c>
      <c r="C1728" s="38" t="s">
        <v>48</v>
      </c>
      <c r="D1728" s="39" t="s">
        <v>49</v>
      </c>
      <c r="E1728" s="40" t="s">
        <v>33</v>
      </c>
      <c r="F1728" s="41">
        <v>1660</v>
      </c>
      <c r="G1728" s="42">
        <v>33</v>
      </c>
      <c r="H1728" s="43">
        <v>27</v>
      </c>
      <c r="I1728" s="44">
        <v>1666</v>
      </c>
      <c r="J1728" s="45">
        <v>81.8</v>
      </c>
    </row>
    <row r="1729" spans="1:10" ht="15.75" customHeight="1">
      <c r="A1729" s="36" t="s">
        <v>11</v>
      </c>
      <c r="B1729" s="37">
        <v>46179</v>
      </c>
      <c r="C1729" s="38" t="s">
        <v>48</v>
      </c>
      <c r="D1729" s="39" t="s">
        <v>49</v>
      </c>
      <c r="E1729" s="40" t="s">
        <v>36</v>
      </c>
      <c r="F1729" s="41">
        <v>5620</v>
      </c>
      <c r="G1729" s="42">
        <v>39</v>
      </c>
      <c r="H1729" s="43">
        <v>25</v>
      </c>
      <c r="I1729" s="44">
        <v>5634</v>
      </c>
      <c r="J1729" s="46">
        <v>64.099999999999994</v>
      </c>
    </row>
    <row r="1730" spans="1:10" ht="15.75" customHeight="1">
      <c r="A1730" s="36" t="s">
        <v>11</v>
      </c>
      <c r="B1730" s="37">
        <v>46180</v>
      </c>
      <c r="C1730" s="38" t="s">
        <v>50</v>
      </c>
      <c r="D1730" s="39" t="s">
        <v>49</v>
      </c>
      <c r="E1730" s="40" t="s">
        <v>26</v>
      </c>
      <c r="F1730" s="41">
        <v>4453</v>
      </c>
      <c r="G1730" s="42">
        <v>55</v>
      </c>
      <c r="H1730" s="43">
        <v>40</v>
      </c>
      <c r="I1730" s="44">
        <v>4468</v>
      </c>
      <c r="J1730" s="46">
        <v>72.7</v>
      </c>
    </row>
    <row r="1731" spans="1:10" ht="15.75" customHeight="1">
      <c r="A1731" s="36" t="s">
        <v>11</v>
      </c>
      <c r="B1731" s="37">
        <v>46180</v>
      </c>
      <c r="C1731" s="38" t="s">
        <v>50</v>
      </c>
      <c r="D1731" s="39" t="s">
        <v>49</v>
      </c>
      <c r="E1731" s="40" t="s">
        <v>27</v>
      </c>
      <c r="F1731" s="41">
        <v>3220</v>
      </c>
      <c r="G1731" s="42">
        <v>52</v>
      </c>
      <c r="H1731" s="43">
        <v>45</v>
      </c>
      <c r="I1731" s="44">
        <v>3227</v>
      </c>
      <c r="J1731" s="45">
        <v>86.5</v>
      </c>
    </row>
    <row r="1732" spans="1:10" ht="15.75" customHeight="1">
      <c r="A1732" s="36" t="s">
        <v>11</v>
      </c>
      <c r="B1732" s="37">
        <v>46180</v>
      </c>
      <c r="C1732" s="38" t="s">
        <v>50</v>
      </c>
      <c r="D1732" s="39" t="s">
        <v>49</v>
      </c>
      <c r="E1732" s="40" t="s">
        <v>30</v>
      </c>
      <c r="F1732" s="41">
        <v>5336</v>
      </c>
      <c r="G1732" s="42">
        <v>38</v>
      </c>
      <c r="H1732" s="43">
        <v>24</v>
      </c>
      <c r="I1732" s="44">
        <v>5350</v>
      </c>
      <c r="J1732" s="46">
        <v>63.2</v>
      </c>
    </row>
    <row r="1733" spans="1:10" ht="15.75" customHeight="1">
      <c r="A1733" s="36" t="s">
        <v>11</v>
      </c>
      <c r="B1733" s="37">
        <v>46180</v>
      </c>
      <c r="C1733" s="38" t="s">
        <v>50</v>
      </c>
      <c r="D1733" s="39" t="s">
        <v>49</v>
      </c>
      <c r="E1733" s="40" t="s">
        <v>32</v>
      </c>
      <c r="F1733" s="41">
        <v>2218</v>
      </c>
      <c r="G1733" s="42">
        <v>52</v>
      </c>
      <c r="H1733" s="43">
        <v>44</v>
      </c>
      <c r="I1733" s="44">
        <v>2226</v>
      </c>
      <c r="J1733" s="45">
        <v>84.6</v>
      </c>
    </row>
    <row r="1734" spans="1:10" ht="15.75" customHeight="1">
      <c r="A1734" s="36" t="s">
        <v>11</v>
      </c>
      <c r="B1734" s="37">
        <v>46180</v>
      </c>
      <c r="C1734" s="38" t="s">
        <v>50</v>
      </c>
      <c r="D1734" s="39" t="s">
        <v>49</v>
      </c>
      <c r="E1734" s="40" t="s">
        <v>34</v>
      </c>
      <c r="F1734" s="41">
        <v>5450</v>
      </c>
      <c r="G1734" s="42">
        <v>63</v>
      </c>
      <c r="H1734" s="43">
        <v>46</v>
      </c>
      <c r="I1734" s="44">
        <v>5467</v>
      </c>
      <c r="J1734" s="46">
        <v>73</v>
      </c>
    </row>
    <row r="1735" spans="1:10" ht="15.75" customHeight="1">
      <c r="A1735" s="36" t="s">
        <v>11</v>
      </c>
      <c r="B1735" s="37">
        <v>46180</v>
      </c>
      <c r="C1735" s="38" t="s">
        <v>50</v>
      </c>
      <c r="D1735" s="39" t="s">
        <v>49</v>
      </c>
      <c r="E1735" s="40" t="s">
        <v>25</v>
      </c>
      <c r="F1735" s="41">
        <v>2802</v>
      </c>
      <c r="G1735" s="42">
        <v>24</v>
      </c>
      <c r="H1735" s="43">
        <v>20</v>
      </c>
      <c r="I1735" s="44">
        <v>2806</v>
      </c>
      <c r="J1735" s="45">
        <v>83.3</v>
      </c>
    </row>
    <row r="1736" spans="1:10" ht="15.75" customHeight="1">
      <c r="A1736" s="36" t="s">
        <v>11</v>
      </c>
      <c r="B1736" s="37">
        <v>46180</v>
      </c>
      <c r="C1736" s="38" t="s">
        <v>50</v>
      </c>
      <c r="D1736" s="39" t="s">
        <v>49</v>
      </c>
      <c r="E1736" s="40" t="s">
        <v>35</v>
      </c>
      <c r="F1736" s="41">
        <v>3008</v>
      </c>
      <c r="G1736" s="42">
        <v>38</v>
      </c>
      <c r="H1736" s="43">
        <v>32</v>
      </c>
      <c r="I1736" s="44">
        <v>3014</v>
      </c>
      <c r="J1736" s="45">
        <v>84.2</v>
      </c>
    </row>
    <row r="1737" spans="1:10" ht="15.75" customHeight="1">
      <c r="A1737" s="36" t="s">
        <v>11</v>
      </c>
      <c r="B1737" s="37">
        <v>46180</v>
      </c>
      <c r="C1737" s="38" t="s">
        <v>50</v>
      </c>
      <c r="D1737" s="39" t="s">
        <v>49</v>
      </c>
      <c r="E1737" s="40" t="s">
        <v>29</v>
      </c>
      <c r="F1737" s="41">
        <v>3552</v>
      </c>
      <c r="G1737" s="42">
        <v>51</v>
      </c>
      <c r="H1737" s="43">
        <v>38</v>
      </c>
      <c r="I1737" s="44">
        <v>3565</v>
      </c>
      <c r="J1737" s="46">
        <v>74.5</v>
      </c>
    </row>
    <row r="1738" spans="1:10" ht="15.75" customHeight="1">
      <c r="A1738" s="36" t="s">
        <v>11</v>
      </c>
      <c r="B1738" s="37">
        <v>46180</v>
      </c>
      <c r="C1738" s="38" t="s">
        <v>50</v>
      </c>
      <c r="D1738" s="39" t="s">
        <v>49</v>
      </c>
      <c r="E1738" s="40" t="s">
        <v>31</v>
      </c>
      <c r="F1738" s="41">
        <v>4541</v>
      </c>
      <c r="G1738" s="42">
        <v>75</v>
      </c>
      <c r="H1738" s="43">
        <v>56</v>
      </c>
      <c r="I1738" s="44">
        <v>4560</v>
      </c>
      <c r="J1738" s="46">
        <v>74.7</v>
      </c>
    </row>
    <row r="1739" spans="1:10" ht="15.75" customHeight="1">
      <c r="A1739" s="36" t="s">
        <v>11</v>
      </c>
      <c r="B1739" s="37">
        <v>46180</v>
      </c>
      <c r="C1739" s="38" t="s">
        <v>50</v>
      </c>
      <c r="D1739" s="39" t="s">
        <v>49</v>
      </c>
      <c r="E1739" s="40" t="s">
        <v>33</v>
      </c>
      <c r="F1739" s="41">
        <v>1666</v>
      </c>
      <c r="G1739" s="42">
        <v>29</v>
      </c>
      <c r="H1739" s="43">
        <v>22</v>
      </c>
      <c r="I1739" s="44">
        <v>1673</v>
      </c>
      <c r="J1739" s="45">
        <v>75.900000000000006</v>
      </c>
    </row>
    <row r="1740" spans="1:10" ht="15.75" customHeight="1">
      <c r="A1740" s="36" t="s">
        <v>11</v>
      </c>
      <c r="B1740" s="37">
        <v>46180</v>
      </c>
      <c r="C1740" s="38" t="s">
        <v>50</v>
      </c>
      <c r="D1740" s="39" t="s">
        <v>49</v>
      </c>
      <c r="E1740" s="40" t="s">
        <v>36</v>
      </c>
      <c r="F1740" s="41">
        <v>5634</v>
      </c>
      <c r="G1740" s="42">
        <v>39</v>
      </c>
      <c r="H1740" s="43">
        <v>25</v>
      </c>
      <c r="I1740" s="44">
        <v>5648</v>
      </c>
      <c r="J1740" s="46">
        <v>64.099999999999994</v>
      </c>
    </row>
    <row r="1741" spans="1:10" ht="15.75" customHeight="1">
      <c r="A1741" s="14" t="s">
        <v>11</v>
      </c>
      <c r="B1741" s="15">
        <v>46181</v>
      </c>
      <c r="C1741" s="16" t="s">
        <v>51</v>
      </c>
      <c r="D1741" s="17" t="s">
        <v>46</v>
      </c>
      <c r="E1741" s="18" t="s">
        <v>26</v>
      </c>
      <c r="F1741" s="19">
        <v>4468</v>
      </c>
      <c r="G1741" s="20">
        <v>137</v>
      </c>
      <c r="H1741" s="21">
        <v>95</v>
      </c>
      <c r="I1741" s="22">
        <v>4510</v>
      </c>
      <c r="J1741" s="23">
        <v>69.3</v>
      </c>
    </row>
    <row r="1742" spans="1:10" ht="15.75" customHeight="1">
      <c r="A1742" s="24" t="s">
        <v>11</v>
      </c>
      <c r="B1742" s="25">
        <v>46181</v>
      </c>
      <c r="C1742" s="26" t="s">
        <v>51</v>
      </c>
      <c r="D1742" s="27" t="s">
        <v>46</v>
      </c>
      <c r="E1742" s="28" t="s">
        <v>27</v>
      </c>
      <c r="F1742" s="29">
        <v>3227</v>
      </c>
      <c r="G1742" s="30">
        <v>109</v>
      </c>
      <c r="H1742" s="31">
        <v>85</v>
      </c>
      <c r="I1742" s="32">
        <v>3251</v>
      </c>
      <c r="J1742" s="33">
        <v>78</v>
      </c>
    </row>
    <row r="1743" spans="1:10" ht="15.75" customHeight="1">
      <c r="A1743" s="14" t="s">
        <v>11</v>
      </c>
      <c r="B1743" s="15">
        <v>46181</v>
      </c>
      <c r="C1743" s="16" t="s">
        <v>51</v>
      </c>
      <c r="D1743" s="17" t="s">
        <v>46</v>
      </c>
      <c r="E1743" s="18" t="s">
        <v>30</v>
      </c>
      <c r="F1743" s="19">
        <v>5350</v>
      </c>
      <c r="G1743" s="20">
        <v>152</v>
      </c>
      <c r="H1743" s="21">
        <v>97</v>
      </c>
      <c r="I1743" s="22">
        <v>5405</v>
      </c>
      <c r="J1743" s="23">
        <v>63.8</v>
      </c>
    </row>
    <row r="1744" spans="1:10" ht="15.75" customHeight="1">
      <c r="A1744" s="24" t="s">
        <v>11</v>
      </c>
      <c r="B1744" s="25">
        <v>46181</v>
      </c>
      <c r="C1744" s="26" t="s">
        <v>51</v>
      </c>
      <c r="D1744" s="27" t="s">
        <v>46</v>
      </c>
      <c r="E1744" s="28" t="s">
        <v>32</v>
      </c>
      <c r="F1744" s="29">
        <v>2226</v>
      </c>
      <c r="G1744" s="30">
        <v>67</v>
      </c>
      <c r="H1744" s="31">
        <v>52</v>
      </c>
      <c r="I1744" s="32">
        <v>2241</v>
      </c>
      <c r="J1744" s="33">
        <v>77.599999999999994</v>
      </c>
    </row>
    <row r="1745" spans="1:10" ht="15.75" customHeight="1">
      <c r="A1745" s="14" t="s">
        <v>11</v>
      </c>
      <c r="B1745" s="15">
        <v>46181</v>
      </c>
      <c r="C1745" s="16" t="s">
        <v>51</v>
      </c>
      <c r="D1745" s="17" t="s">
        <v>46</v>
      </c>
      <c r="E1745" s="18" t="s">
        <v>34</v>
      </c>
      <c r="F1745" s="19">
        <v>5467</v>
      </c>
      <c r="G1745" s="20">
        <v>109</v>
      </c>
      <c r="H1745" s="21">
        <v>81</v>
      </c>
      <c r="I1745" s="22">
        <v>5495</v>
      </c>
      <c r="J1745" s="23">
        <v>74.3</v>
      </c>
    </row>
    <row r="1746" spans="1:10" ht="15.75" customHeight="1">
      <c r="A1746" s="24" t="s">
        <v>11</v>
      </c>
      <c r="B1746" s="25">
        <v>46181</v>
      </c>
      <c r="C1746" s="26" t="s">
        <v>51</v>
      </c>
      <c r="D1746" s="27" t="s">
        <v>46</v>
      </c>
      <c r="E1746" s="28" t="s">
        <v>25</v>
      </c>
      <c r="F1746" s="29">
        <v>2806</v>
      </c>
      <c r="G1746" s="30">
        <v>61</v>
      </c>
      <c r="H1746" s="31">
        <v>52</v>
      </c>
      <c r="I1746" s="32">
        <v>2815</v>
      </c>
      <c r="J1746" s="33">
        <v>85.2</v>
      </c>
    </row>
    <row r="1747" spans="1:10" ht="15.75" customHeight="1">
      <c r="A1747" s="14" t="s">
        <v>11</v>
      </c>
      <c r="B1747" s="15">
        <v>46181</v>
      </c>
      <c r="C1747" s="16" t="s">
        <v>51</v>
      </c>
      <c r="D1747" s="17" t="s">
        <v>46</v>
      </c>
      <c r="E1747" s="18" t="s">
        <v>35</v>
      </c>
      <c r="F1747" s="19">
        <v>3014</v>
      </c>
      <c r="G1747" s="20">
        <v>131</v>
      </c>
      <c r="H1747" s="21">
        <v>96</v>
      </c>
      <c r="I1747" s="22">
        <v>3049</v>
      </c>
      <c r="J1747" s="23">
        <v>73.3</v>
      </c>
    </row>
    <row r="1748" spans="1:10" ht="15.75" customHeight="1">
      <c r="A1748" s="24" t="s">
        <v>11</v>
      </c>
      <c r="B1748" s="25">
        <v>46181</v>
      </c>
      <c r="C1748" s="26" t="s">
        <v>51</v>
      </c>
      <c r="D1748" s="27" t="s">
        <v>46</v>
      </c>
      <c r="E1748" s="28" t="s">
        <v>29</v>
      </c>
      <c r="F1748" s="29">
        <v>3565</v>
      </c>
      <c r="G1748" s="30">
        <v>116</v>
      </c>
      <c r="H1748" s="31">
        <v>97</v>
      </c>
      <c r="I1748" s="32">
        <v>3584</v>
      </c>
      <c r="J1748" s="33">
        <v>83.6</v>
      </c>
    </row>
    <row r="1749" spans="1:10" ht="15.75" customHeight="1">
      <c r="A1749" s="14" t="s">
        <v>11</v>
      </c>
      <c r="B1749" s="15">
        <v>46181</v>
      </c>
      <c r="C1749" s="16" t="s">
        <v>51</v>
      </c>
      <c r="D1749" s="17" t="s">
        <v>46</v>
      </c>
      <c r="E1749" s="18" t="s">
        <v>31</v>
      </c>
      <c r="F1749" s="19">
        <v>4560</v>
      </c>
      <c r="G1749" s="20">
        <v>125</v>
      </c>
      <c r="H1749" s="21">
        <v>101</v>
      </c>
      <c r="I1749" s="22">
        <v>4584</v>
      </c>
      <c r="J1749" s="35">
        <v>80.8</v>
      </c>
    </row>
    <row r="1750" spans="1:10" ht="15.75" customHeight="1">
      <c r="A1750" s="24" t="s">
        <v>11</v>
      </c>
      <c r="B1750" s="25">
        <v>46181</v>
      </c>
      <c r="C1750" s="26" t="s">
        <v>51</v>
      </c>
      <c r="D1750" s="27" t="s">
        <v>46</v>
      </c>
      <c r="E1750" s="28" t="s">
        <v>33</v>
      </c>
      <c r="F1750" s="29">
        <v>1673</v>
      </c>
      <c r="G1750" s="30">
        <v>77</v>
      </c>
      <c r="H1750" s="31">
        <v>62</v>
      </c>
      <c r="I1750" s="32">
        <v>1688</v>
      </c>
      <c r="J1750" s="33">
        <v>80.5</v>
      </c>
    </row>
    <row r="1751" spans="1:10" ht="15.75" customHeight="1">
      <c r="A1751" s="14" t="s">
        <v>11</v>
      </c>
      <c r="B1751" s="15">
        <v>46181</v>
      </c>
      <c r="C1751" s="16" t="s">
        <v>51</v>
      </c>
      <c r="D1751" s="17" t="s">
        <v>46</v>
      </c>
      <c r="E1751" s="18" t="s">
        <v>36</v>
      </c>
      <c r="F1751" s="19">
        <v>5648</v>
      </c>
      <c r="G1751" s="20">
        <v>165</v>
      </c>
      <c r="H1751" s="21">
        <v>118</v>
      </c>
      <c r="I1751" s="22">
        <v>5695</v>
      </c>
      <c r="J1751" s="23">
        <v>71.5</v>
      </c>
    </row>
    <row r="1752" spans="1:10" ht="15.75" customHeight="1">
      <c r="A1752" s="24" t="s">
        <v>11</v>
      </c>
      <c r="B1752" s="25">
        <v>46182</v>
      </c>
      <c r="C1752" s="26" t="s">
        <v>52</v>
      </c>
      <c r="D1752" s="27" t="s">
        <v>46</v>
      </c>
      <c r="E1752" s="28" t="s">
        <v>26</v>
      </c>
      <c r="F1752" s="29">
        <v>4510</v>
      </c>
      <c r="G1752" s="30">
        <v>97</v>
      </c>
      <c r="H1752" s="31">
        <v>70</v>
      </c>
      <c r="I1752" s="32">
        <v>4537</v>
      </c>
      <c r="J1752" s="34">
        <v>72.2</v>
      </c>
    </row>
    <row r="1753" spans="1:10" ht="15.75" customHeight="1">
      <c r="A1753" s="14" t="s">
        <v>11</v>
      </c>
      <c r="B1753" s="15">
        <v>46182</v>
      </c>
      <c r="C1753" s="16" t="s">
        <v>52</v>
      </c>
      <c r="D1753" s="17" t="s">
        <v>46</v>
      </c>
      <c r="E1753" s="18" t="s">
        <v>27</v>
      </c>
      <c r="F1753" s="19">
        <v>3251</v>
      </c>
      <c r="G1753" s="20">
        <v>120</v>
      </c>
      <c r="H1753" s="21">
        <v>99</v>
      </c>
      <c r="I1753" s="22">
        <v>3272</v>
      </c>
      <c r="J1753" s="35">
        <v>82.5</v>
      </c>
    </row>
    <row r="1754" spans="1:10" ht="15.75" customHeight="1">
      <c r="A1754" s="24" t="s">
        <v>11</v>
      </c>
      <c r="B1754" s="25">
        <v>46182</v>
      </c>
      <c r="C1754" s="26" t="s">
        <v>52</v>
      </c>
      <c r="D1754" s="27" t="s">
        <v>46</v>
      </c>
      <c r="E1754" s="28" t="s">
        <v>30</v>
      </c>
      <c r="F1754" s="29">
        <v>5405</v>
      </c>
      <c r="G1754" s="30">
        <v>93</v>
      </c>
      <c r="H1754" s="31">
        <v>66</v>
      </c>
      <c r="I1754" s="32">
        <v>5432</v>
      </c>
      <c r="J1754" s="34">
        <v>71</v>
      </c>
    </row>
    <row r="1755" spans="1:10" ht="15.75" customHeight="1">
      <c r="A1755" s="14" t="s">
        <v>11</v>
      </c>
      <c r="B1755" s="15">
        <v>46182</v>
      </c>
      <c r="C1755" s="16" t="s">
        <v>52</v>
      </c>
      <c r="D1755" s="17" t="s">
        <v>46</v>
      </c>
      <c r="E1755" s="18" t="s">
        <v>32</v>
      </c>
      <c r="F1755" s="19">
        <v>2241</v>
      </c>
      <c r="G1755" s="20">
        <v>95</v>
      </c>
      <c r="H1755" s="21">
        <v>89</v>
      </c>
      <c r="I1755" s="22">
        <v>2247</v>
      </c>
      <c r="J1755" s="35">
        <v>93.7</v>
      </c>
    </row>
    <row r="1756" spans="1:10" ht="15.75" customHeight="1">
      <c r="A1756" s="24" t="s">
        <v>11</v>
      </c>
      <c r="B1756" s="25">
        <v>46182</v>
      </c>
      <c r="C1756" s="26" t="s">
        <v>52</v>
      </c>
      <c r="D1756" s="27" t="s">
        <v>46</v>
      </c>
      <c r="E1756" s="28" t="s">
        <v>34</v>
      </c>
      <c r="F1756" s="29">
        <v>5495</v>
      </c>
      <c r="G1756" s="30">
        <v>147</v>
      </c>
      <c r="H1756" s="31">
        <v>105</v>
      </c>
      <c r="I1756" s="32">
        <v>5537</v>
      </c>
      <c r="J1756" s="34">
        <v>71.400000000000006</v>
      </c>
    </row>
    <row r="1757" spans="1:10" ht="15.75" customHeight="1">
      <c r="A1757" s="14" t="s">
        <v>11</v>
      </c>
      <c r="B1757" s="15">
        <v>46182</v>
      </c>
      <c r="C1757" s="16" t="s">
        <v>52</v>
      </c>
      <c r="D1757" s="17" t="s">
        <v>46</v>
      </c>
      <c r="E1757" s="18" t="s">
        <v>25</v>
      </c>
      <c r="F1757" s="19">
        <v>2815</v>
      </c>
      <c r="G1757" s="20">
        <v>101</v>
      </c>
      <c r="H1757" s="21">
        <v>85</v>
      </c>
      <c r="I1757" s="22">
        <v>2831</v>
      </c>
      <c r="J1757" s="35">
        <v>84.2</v>
      </c>
    </row>
    <row r="1758" spans="1:10" ht="15.75" customHeight="1">
      <c r="A1758" s="24" t="s">
        <v>11</v>
      </c>
      <c r="B1758" s="25">
        <v>46182</v>
      </c>
      <c r="C1758" s="26" t="s">
        <v>52</v>
      </c>
      <c r="D1758" s="27" t="s">
        <v>46</v>
      </c>
      <c r="E1758" s="28" t="s">
        <v>35</v>
      </c>
      <c r="F1758" s="29">
        <v>3049</v>
      </c>
      <c r="G1758" s="30">
        <v>91</v>
      </c>
      <c r="H1758" s="31">
        <v>67</v>
      </c>
      <c r="I1758" s="32">
        <v>3073</v>
      </c>
      <c r="J1758" s="34">
        <v>73.599999999999994</v>
      </c>
    </row>
    <row r="1759" spans="1:10" ht="15.75" customHeight="1">
      <c r="A1759" s="14" t="s">
        <v>11</v>
      </c>
      <c r="B1759" s="15">
        <v>46182</v>
      </c>
      <c r="C1759" s="16" t="s">
        <v>52</v>
      </c>
      <c r="D1759" s="17" t="s">
        <v>46</v>
      </c>
      <c r="E1759" s="18" t="s">
        <v>29</v>
      </c>
      <c r="F1759" s="19">
        <v>3584</v>
      </c>
      <c r="G1759" s="20">
        <v>69</v>
      </c>
      <c r="H1759" s="21">
        <v>49</v>
      </c>
      <c r="I1759" s="22">
        <v>3604</v>
      </c>
      <c r="J1759" s="23">
        <v>71</v>
      </c>
    </row>
    <row r="1760" spans="1:10" ht="15.75" customHeight="1">
      <c r="A1760" s="24" t="s">
        <v>11</v>
      </c>
      <c r="B1760" s="25">
        <v>46182</v>
      </c>
      <c r="C1760" s="26" t="s">
        <v>52</v>
      </c>
      <c r="D1760" s="27" t="s">
        <v>46</v>
      </c>
      <c r="E1760" s="28" t="s">
        <v>31</v>
      </c>
      <c r="F1760" s="29">
        <v>4584</v>
      </c>
      <c r="G1760" s="30">
        <v>135</v>
      </c>
      <c r="H1760" s="31">
        <v>108</v>
      </c>
      <c r="I1760" s="32">
        <v>4611</v>
      </c>
      <c r="J1760" s="33">
        <v>80</v>
      </c>
    </row>
    <row r="1761" spans="1:10" ht="15.75" customHeight="1">
      <c r="A1761" s="14" t="s">
        <v>11</v>
      </c>
      <c r="B1761" s="15">
        <v>46182</v>
      </c>
      <c r="C1761" s="16" t="s">
        <v>52</v>
      </c>
      <c r="D1761" s="17" t="s">
        <v>46</v>
      </c>
      <c r="E1761" s="18" t="s">
        <v>33</v>
      </c>
      <c r="F1761" s="19">
        <v>1688</v>
      </c>
      <c r="G1761" s="20">
        <v>101</v>
      </c>
      <c r="H1761" s="21">
        <v>93</v>
      </c>
      <c r="I1761" s="22">
        <v>1696</v>
      </c>
      <c r="J1761" s="35">
        <v>92.1</v>
      </c>
    </row>
    <row r="1762" spans="1:10" ht="15.75" customHeight="1">
      <c r="A1762" s="24" t="s">
        <v>11</v>
      </c>
      <c r="B1762" s="25">
        <v>46182</v>
      </c>
      <c r="C1762" s="26" t="s">
        <v>52</v>
      </c>
      <c r="D1762" s="27" t="s">
        <v>46</v>
      </c>
      <c r="E1762" s="28" t="s">
        <v>36</v>
      </c>
      <c r="F1762" s="29">
        <v>5695</v>
      </c>
      <c r="G1762" s="30">
        <v>162</v>
      </c>
      <c r="H1762" s="31">
        <v>124</v>
      </c>
      <c r="I1762" s="32">
        <v>5733</v>
      </c>
      <c r="J1762" s="33">
        <v>76.5</v>
      </c>
    </row>
    <row r="1763" spans="1:10" ht="15.75" customHeight="1">
      <c r="A1763" s="14" t="s">
        <v>11</v>
      </c>
      <c r="B1763" s="15">
        <v>46183</v>
      </c>
      <c r="C1763" s="16" t="s">
        <v>53</v>
      </c>
      <c r="D1763" s="17" t="s">
        <v>46</v>
      </c>
      <c r="E1763" s="18" t="s">
        <v>26</v>
      </c>
      <c r="F1763" s="19">
        <v>4537</v>
      </c>
      <c r="G1763" s="20">
        <v>146</v>
      </c>
      <c r="H1763" s="21">
        <v>105</v>
      </c>
      <c r="I1763" s="22">
        <v>4578</v>
      </c>
      <c r="J1763" s="23">
        <v>71.900000000000006</v>
      </c>
    </row>
    <row r="1764" spans="1:10" ht="15.75" customHeight="1">
      <c r="A1764" s="24" t="s">
        <v>11</v>
      </c>
      <c r="B1764" s="25">
        <v>46183</v>
      </c>
      <c r="C1764" s="26" t="s">
        <v>53</v>
      </c>
      <c r="D1764" s="27" t="s">
        <v>46</v>
      </c>
      <c r="E1764" s="28" t="s">
        <v>27</v>
      </c>
      <c r="F1764" s="29">
        <v>3272</v>
      </c>
      <c r="G1764" s="30">
        <v>78</v>
      </c>
      <c r="H1764" s="31">
        <v>59</v>
      </c>
      <c r="I1764" s="32">
        <v>3291</v>
      </c>
      <c r="J1764" s="33">
        <v>75.599999999999994</v>
      </c>
    </row>
    <row r="1765" spans="1:10" ht="15.75" customHeight="1">
      <c r="A1765" s="14" t="s">
        <v>11</v>
      </c>
      <c r="B1765" s="15">
        <v>46183</v>
      </c>
      <c r="C1765" s="16" t="s">
        <v>53</v>
      </c>
      <c r="D1765" s="17" t="s">
        <v>46</v>
      </c>
      <c r="E1765" s="18" t="s">
        <v>30</v>
      </c>
      <c r="F1765" s="19">
        <v>5432</v>
      </c>
      <c r="G1765" s="20">
        <v>106</v>
      </c>
      <c r="H1765" s="21">
        <v>76</v>
      </c>
      <c r="I1765" s="22">
        <v>5462</v>
      </c>
      <c r="J1765" s="23">
        <v>71.7</v>
      </c>
    </row>
    <row r="1766" spans="1:10" ht="15.75" customHeight="1">
      <c r="A1766" s="24" t="s">
        <v>11</v>
      </c>
      <c r="B1766" s="25">
        <v>46183</v>
      </c>
      <c r="C1766" s="26" t="s">
        <v>53</v>
      </c>
      <c r="D1766" s="27" t="s">
        <v>46</v>
      </c>
      <c r="E1766" s="28" t="s">
        <v>32</v>
      </c>
      <c r="F1766" s="29">
        <v>2247</v>
      </c>
      <c r="G1766" s="30">
        <v>92</v>
      </c>
      <c r="H1766" s="31">
        <v>70</v>
      </c>
      <c r="I1766" s="32">
        <v>2269</v>
      </c>
      <c r="J1766" s="33">
        <v>76.099999999999994</v>
      </c>
    </row>
    <row r="1767" spans="1:10" ht="15.75" customHeight="1">
      <c r="A1767" s="14" t="s">
        <v>11</v>
      </c>
      <c r="B1767" s="15">
        <v>46183</v>
      </c>
      <c r="C1767" s="16" t="s">
        <v>53</v>
      </c>
      <c r="D1767" s="17" t="s">
        <v>46</v>
      </c>
      <c r="E1767" s="18" t="s">
        <v>34</v>
      </c>
      <c r="F1767" s="19">
        <v>5537</v>
      </c>
      <c r="G1767" s="20">
        <v>115</v>
      </c>
      <c r="H1767" s="21">
        <v>87</v>
      </c>
      <c r="I1767" s="22">
        <v>5565</v>
      </c>
      <c r="J1767" s="35">
        <v>75.7</v>
      </c>
    </row>
    <row r="1768" spans="1:10" ht="15.75" customHeight="1">
      <c r="A1768" s="24" t="s">
        <v>11</v>
      </c>
      <c r="B1768" s="25">
        <v>46183</v>
      </c>
      <c r="C1768" s="26" t="s">
        <v>53</v>
      </c>
      <c r="D1768" s="27" t="s">
        <v>46</v>
      </c>
      <c r="E1768" s="28" t="s">
        <v>25</v>
      </c>
      <c r="F1768" s="29">
        <v>2831</v>
      </c>
      <c r="G1768" s="30">
        <v>59</v>
      </c>
      <c r="H1768" s="31">
        <v>44</v>
      </c>
      <c r="I1768" s="32">
        <v>2846</v>
      </c>
      <c r="J1768" s="34">
        <v>74.599999999999994</v>
      </c>
    </row>
    <row r="1769" spans="1:10" ht="15.75" customHeight="1">
      <c r="A1769" s="14" t="s">
        <v>11</v>
      </c>
      <c r="B1769" s="15">
        <v>46183</v>
      </c>
      <c r="C1769" s="16" t="s">
        <v>53</v>
      </c>
      <c r="D1769" s="17" t="s">
        <v>46</v>
      </c>
      <c r="E1769" s="18" t="s">
        <v>35</v>
      </c>
      <c r="F1769" s="19">
        <v>3073</v>
      </c>
      <c r="G1769" s="20">
        <v>96</v>
      </c>
      <c r="H1769" s="21">
        <v>74</v>
      </c>
      <c r="I1769" s="22">
        <v>3095</v>
      </c>
      <c r="J1769" s="35">
        <v>77.099999999999994</v>
      </c>
    </row>
    <row r="1770" spans="1:10" ht="15.75" customHeight="1">
      <c r="A1770" s="24" t="s">
        <v>11</v>
      </c>
      <c r="B1770" s="25">
        <v>46183</v>
      </c>
      <c r="C1770" s="26" t="s">
        <v>53</v>
      </c>
      <c r="D1770" s="27" t="s">
        <v>46</v>
      </c>
      <c r="E1770" s="28" t="s">
        <v>29</v>
      </c>
      <c r="F1770" s="29">
        <v>3604</v>
      </c>
      <c r="G1770" s="30">
        <v>85</v>
      </c>
      <c r="H1770" s="31">
        <v>63</v>
      </c>
      <c r="I1770" s="32">
        <v>3626</v>
      </c>
      <c r="J1770" s="34">
        <v>74.099999999999994</v>
      </c>
    </row>
    <row r="1771" spans="1:10" ht="15.75" customHeight="1">
      <c r="A1771" s="14" t="s">
        <v>11</v>
      </c>
      <c r="B1771" s="15">
        <v>46183</v>
      </c>
      <c r="C1771" s="16" t="s">
        <v>53</v>
      </c>
      <c r="D1771" s="17" t="s">
        <v>46</v>
      </c>
      <c r="E1771" s="18" t="s">
        <v>31</v>
      </c>
      <c r="F1771" s="19">
        <v>4611</v>
      </c>
      <c r="G1771" s="20">
        <v>129</v>
      </c>
      <c r="H1771" s="21">
        <v>98</v>
      </c>
      <c r="I1771" s="22">
        <v>4642</v>
      </c>
      <c r="J1771" s="35">
        <v>76</v>
      </c>
    </row>
    <row r="1772" spans="1:10" ht="15.75" customHeight="1">
      <c r="A1772" s="24" t="s">
        <v>11</v>
      </c>
      <c r="B1772" s="25">
        <v>46183</v>
      </c>
      <c r="C1772" s="26" t="s">
        <v>53</v>
      </c>
      <c r="D1772" s="27" t="s">
        <v>46</v>
      </c>
      <c r="E1772" s="28" t="s">
        <v>33</v>
      </c>
      <c r="F1772" s="29">
        <v>1696</v>
      </c>
      <c r="G1772" s="30">
        <v>73</v>
      </c>
      <c r="H1772" s="31">
        <v>58</v>
      </c>
      <c r="I1772" s="32">
        <v>1711</v>
      </c>
      <c r="J1772" s="33">
        <v>79.5</v>
      </c>
    </row>
    <row r="1773" spans="1:10" ht="15.75" customHeight="1">
      <c r="A1773" s="14" t="s">
        <v>11</v>
      </c>
      <c r="B1773" s="15">
        <v>46183</v>
      </c>
      <c r="C1773" s="16" t="s">
        <v>53</v>
      </c>
      <c r="D1773" s="17" t="s">
        <v>46</v>
      </c>
      <c r="E1773" s="18" t="s">
        <v>36</v>
      </c>
      <c r="F1773" s="19">
        <v>5733</v>
      </c>
      <c r="G1773" s="20">
        <v>127</v>
      </c>
      <c r="H1773" s="21">
        <v>83</v>
      </c>
      <c r="I1773" s="22">
        <v>5777</v>
      </c>
      <c r="J1773" s="23">
        <v>65.400000000000006</v>
      </c>
    </row>
    <row r="1774" spans="1:10" ht="15.75" customHeight="1">
      <c r="A1774" s="24" t="s">
        <v>11</v>
      </c>
      <c r="B1774" s="25">
        <v>46184</v>
      </c>
      <c r="C1774" s="26" t="s">
        <v>45</v>
      </c>
      <c r="D1774" s="27" t="s">
        <v>46</v>
      </c>
      <c r="E1774" s="28" t="s">
        <v>26</v>
      </c>
      <c r="F1774" s="29">
        <v>4578</v>
      </c>
      <c r="G1774" s="30">
        <v>101</v>
      </c>
      <c r="H1774" s="31">
        <v>83</v>
      </c>
      <c r="I1774" s="32">
        <v>4596</v>
      </c>
      <c r="J1774" s="33">
        <v>82.2</v>
      </c>
    </row>
    <row r="1775" spans="1:10" ht="15.75" customHeight="1">
      <c r="A1775" s="14" t="s">
        <v>11</v>
      </c>
      <c r="B1775" s="15">
        <v>46184</v>
      </c>
      <c r="C1775" s="16" t="s">
        <v>45</v>
      </c>
      <c r="D1775" s="17" t="s">
        <v>46</v>
      </c>
      <c r="E1775" s="18" t="s">
        <v>27</v>
      </c>
      <c r="F1775" s="19">
        <v>3291</v>
      </c>
      <c r="G1775" s="20">
        <v>130</v>
      </c>
      <c r="H1775" s="21">
        <v>109</v>
      </c>
      <c r="I1775" s="22">
        <v>3312</v>
      </c>
      <c r="J1775" s="35">
        <v>83.8</v>
      </c>
    </row>
    <row r="1776" spans="1:10" ht="15.75" customHeight="1">
      <c r="A1776" s="24" t="s">
        <v>11</v>
      </c>
      <c r="B1776" s="25">
        <v>46184</v>
      </c>
      <c r="C1776" s="26" t="s">
        <v>45</v>
      </c>
      <c r="D1776" s="27" t="s">
        <v>46</v>
      </c>
      <c r="E1776" s="28" t="s">
        <v>30</v>
      </c>
      <c r="F1776" s="29">
        <v>5462</v>
      </c>
      <c r="G1776" s="30">
        <v>109</v>
      </c>
      <c r="H1776" s="31">
        <v>70</v>
      </c>
      <c r="I1776" s="32">
        <v>5501</v>
      </c>
      <c r="J1776" s="34">
        <v>64.2</v>
      </c>
    </row>
    <row r="1777" spans="1:10" ht="15.75" customHeight="1">
      <c r="A1777" s="14" t="s">
        <v>11</v>
      </c>
      <c r="B1777" s="15">
        <v>46184</v>
      </c>
      <c r="C1777" s="16" t="s">
        <v>45</v>
      </c>
      <c r="D1777" s="17" t="s">
        <v>46</v>
      </c>
      <c r="E1777" s="18" t="s">
        <v>32</v>
      </c>
      <c r="F1777" s="19">
        <v>2269</v>
      </c>
      <c r="G1777" s="20">
        <v>102</v>
      </c>
      <c r="H1777" s="21">
        <v>95</v>
      </c>
      <c r="I1777" s="22">
        <v>2276</v>
      </c>
      <c r="J1777" s="35">
        <v>93.1</v>
      </c>
    </row>
    <row r="1778" spans="1:10" ht="15.75" customHeight="1">
      <c r="A1778" s="24" t="s">
        <v>11</v>
      </c>
      <c r="B1778" s="25">
        <v>46184</v>
      </c>
      <c r="C1778" s="26" t="s">
        <v>45</v>
      </c>
      <c r="D1778" s="27" t="s">
        <v>46</v>
      </c>
      <c r="E1778" s="28" t="s">
        <v>34</v>
      </c>
      <c r="F1778" s="29">
        <v>5565</v>
      </c>
      <c r="G1778" s="30">
        <v>177</v>
      </c>
      <c r="H1778" s="31">
        <v>130</v>
      </c>
      <c r="I1778" s="32">
        <v>5612</v>
      </c>
      <c r="J1778" s="34">
        <v>73.400000000000006</v>
      </c>
    </row>
    <row r="1779" spans="1:10" ht="15.75" customHeight="1">
      <c r="A1779" s="14" t="s">
        <v>11</v>
      </c>
      <c r="B1779" s="15">
        <v>46184</v>
      </c>
      <c r="C1779" s="16" t="s">
        <v>45</v>
      </c>
      <c r="D1779" s="17" t="s">
        <v>46</v>
      </c>
      <c r="E1779" s="18" t="s">
        <v>25</v>
      </c>
      <c r="F1779" s="19">
        <v>2846</v>
      </c>
      <c r="G1779" s="20">
        <v>103</v>
      </c>
      <c r="H1779" s="21">
        <v>88</v>
      </c>
      <c r="I1779" s="22">
        <v>2861</v>
      </c>
      <c r="J1779" s="35">
        <v>85.4</v>
      </c>
    </row>
    <row r="1780" spans="1:10" ht="15.75" customHeight="1">
      <c r="A1780" s="24" t="s">
        <v>11</v>
      </c>
      <c r="B1780" s="25">
        <v>46184</v>
      </c>
      <c r="C1780" s="26" t="s">
        <v>45</v>
      </c>
      <c r="D1780" s="27" t="s">
        <v>46</v>
      </c>
      <c r="E1780" s="28" t="s">
        <v>35</v>
      </c>
      <c r="F1780" s="29">
        <v>3095</v>
      </c>
      <c r="G1780" s="30">
        <v>80</v>
      </c>
      <c r="H1780" s="31">
        <v>57</v>
      </c>
      <c r="I1780" s="32">
        <v>3118</v>
      </c>
      <c r="J1780" s="34">
        <v>71.2</v>
      </c>
    </row>
    <row r="1781" spans="1:10" ht="15.75" customHeight="1">
      <c r="A1781" s="14" t="s">
        <v>11</v>
      </c>
      <c r="B1781" s="15">
        <v>46184</v>
      </c>
      <c r="C1781" s="16" t="s">
        <v>45</v>
      </c>
      <c r="D1781" s="17" t="s">
        <v>46</v>
      </c>
      <c r="E1781" s="18" t="s">
        <v>29</v>
      </c>
      <c r="F1781" s="19">
        <v>3626</v>
      </c>
      <c r="G1781" s="20">
        <v>70</v>
      </c>
      <c r="H1781" s="21">
        <v>46</v>
      </c>
      <c r="I1781" s="22">
        <v>3650</v>
      </c>
      <c r="J1781" s="23">
        <v>65.7</v>
      </c>
    </row>
    <row r="1782" spans="1:10" ht="15.75" customHeight="1">
      <c r="A1782" s="24" t="s">
        <v>11</v>
      </c>
      <c r="B1782" s="25">
        <v>46184</v>
      </c>
      <c r="C1782" s="26" t="s">
        <v>45</v>
      </c>
      <c r="D1782" s="27" t="s">
        <v>46</v>
      </c>
      <c r="E1782" s="28" t="s">
        <v>31</v>
      </c>
      <c r="F1782" s="29">
        <v>4642</v>
      </c>
      <c r="G1782" s="30">
        <v>118</v>
      </c>
      <c r="H1782" s="31">
        <v>95</v>
      </c>
      <c r="I1782" s="32">
        <v>4665</v>
      </c>
      <c r="J1782" s="33">
        <v>80.5</v>
      </c>
    </row>
    <row r="1783" spans="1:10" ht="15.75" customHeight="1">
      <c r="A1783" s="14" t="s">
        <v>11</v>
      </c>
      <c r="B1783" s="15">
        <v>46184</v>
      </c>
      <c r="C1783" s="16" t="s">
        <v>45</v>
      </c>
      <c r="D1783" s="17" t="s">
        <v>46</v>
      </c>
      <c r="E1783" s="18" t="s">
        <v>33</v>
      </c>
      <c r="F1783" s="19">
        <v>1711</v>
      </c>
      <c r="G1783" s="20">
        <v>68</v>
      </c>
      <c r="H1783" s="21">
        <v>65</v>
      </c>
      <c r="I1783" s="22">
        <v>1714</v>
      </c>
      <c r="J1783" s="35">
        <v>95.6</v>
      </c>
    </row>
    <row r="1784" spans="1:10" ht="15.75" customHeight="1">
      <c r="A1784" s="24" t="s">
        <v>11</v>
      </c>
      <c r="B1784" s="25">
        <v>46184</v>
      </c>
      <c r="C1784" s="26" t="s">
        <v>45</v>
      </c>
      <c r="D1784" s="27" t="s">
        <v>46</v>
      </c>
      <c r="E1784" s="28" t="s">
        <v>36</v>
      </c>
      <c r="F1784" s="29">
        <v>5777</v>
      </c>
      <c r="G1784" s="30">
        <v>168</v>
      </c>
      <c r="H1784" s="31">
        <v>128</v>
      </c>
      <c r="I1784" s="32">
        <v>5817</v>
      </c>
      <c r="J1784" s="33">
        <v>76.2</v>
      </c>
    </row>
    <row r="1785" spans="1:10" ht="15.75" customHeight="1">
      <c r="A1785" s="14" t="s">
        <v>11</v>
      </c>
      <c r="B1785" s="15">
        <v>46185</v>
      </c>
      <c r="C1785" s="16" t="s">
        <v>47</v>
      </c>
      <c r="D1785" s="17" t="s">
        <v>46</v>
      </c>
      <c r="E1785" s="18" t="s">
        <v>26</v>
      </c>
      <c r="F1785" s="19">
        <v>4596</v>
      </c>
      <c r="G1785" s="20">
        <v>131</v>
      </c>
      <c r="H1785" s="21">
        <v>94</v>
      </c>
      <c r="I1785" s="22">
        <v>4633</v>
      </c>
      <c r="J1785" s="23">
        <v>71.8</v>
      </c>
    </row>
    <row r="1786" spans="1:10" ht="15.75" customHeight="1">
      <c r="A1786" s="24" t="s">
        <v>11</v>
      </c>
      <c r="B1786" s="25">
        <v>46185</v>
      </c>
      <c r="C1786" s="26" t="s">
        <v>47</v>
      </c>
      <c r="D1786" s="27" t="s">
        <v>46</v>
      </c>
      <c r="E1786" s="28" t="s">
        <v>27</v>
      </c>
      <c r="F1786" s="29">
        <v>3312</v>
      </c>
      <c r="G1786" s="30">
        <v>99</v>
      </c>
      <c r="H1786" s="31">
        <v>71</v>
      </c>
      <c r="I1786" s="32">
        <v>3340</v>
      </c>
      <c r="J1786" s="34">
        <v>71.7</v>
      </c>
    </row>
    <row r="1787" spans="1:10" ht="15.75" customHeight="1">
      <c r="A1787" s="14" t="s">
        <v>11</v>
      </c>
      <c r="B1787" s="15">
        <v>46185</v>
      </c>
      <c r="C1787" s="16" t="s">
        <v>47</v>
      </c>
      <c r="D1787" s="17" t="s">
        <v>46</v>
      </c>
      <c r="E1787" s="18" t="s">
        <v>30</v>
      </c>
      <c r="F1787" s="19">
        <v>5501</v>
      </c>
      <c r="G1787" s="20">
        <v>97</v>
      </c>
      <c r="H1787" s="21">
        <v>63</v>
      </c>
      <c r="I1787" s="22">
        <v>5535</v>
      </c>
      <c r="J1787" s="23">
        <v>64.900000000000006</v>
      </c>
    </row>
    <row r="1788" spans="1:10" ht="15.75" customHeight="1">
      <c r="A1788" s="24" t="s">
        <v>11</v>
      </c>
      <c r="B1788" s="25">
        <v>46185</v>
      </c>
      <c r="C1788" s="26" t="s">
        <v>47</v>
      </c>
      <c r="D1788" s="27" t="s">
        <v>46</v>
      </c>
      <c r="E1788" s="28" t="s">
        <v>32</v>
      </c>
      <c r="F1788" s="29">
        <v>2276</v>
      </c>
      <c r="G1788" s="30">
        <v>88</v>
      </c>
      <c r="H1788" s="31">
        <v>79</v>
      </c>
      <c r="I1788" s="32">
        <v>2285</v>
      </c>
      <c r="J1788" s="33">
        <v>89.8</v>
      </c>
    </row>
    <row r="1789" spans="1:10" ht="15.75" customHeight="1">
      <c r="A1789" s="14" t="s">
        <v>11</v>
      </c>
      <c r="B1789" s="15">
        <v>46185</v>
      </c>
      <c r="C1789" s="16" t="s">
        <v>47</v>
      </c>
      <c r="D1789" s="17" t="s">
        <v>46</v>
      </c>
      <c r="E1789" s="18" t="s">
        <v>34</v>
      </c>
      <c r="F1789" s="19">
        <v>5612</v>
      </c>
      <c r="G1789" s="20">
        <v>161</v>
      </c>
      <c r="H1789" s="21">
        <v>128</v>
      </c>
      <c r="I1789" s="22">
        <v>5645</v>
      </c>
      <c r="J1789" s="35">
        <v>79.5</v>
      </c>
    </row>
    <row r="1790" spans="1:10" ht="15.75" customHeight="1">
      <c r="A1790" s="24" t="s">
        <v>11</v>
      </c>
      <c r="B1790" s="25">
        <v>46185</v>
      </c>
      <c r="C1790" s="26" t="s">
        <v>47</v>
      </c>
      <c r="D1790" s="27" t="s">
        <v>46</v>
      </c>
      <c r="E1790" s="28" t="s">
        <v>25</v>
      </c>
      <c r="F1790" s="29">
        <v>2861</v>
      </c>
      <c r="G1790" s="30">
        <v>63</v>
      </c>
      <c r="H1790" s="31">
        <v>47</v>
      </c>
      <c r="I1790" s="32">
        <v>2877</v>
      </c>
      <c r="J1790" s="34">
        <v>74.599999999999994</v>
      </c>
    </row>
    <row r="1791" spans="1:10" ht="15.75" customHeight="1">
      <c r="A1791" s="14" t="s">
        <v>11</v>
      </c>
      <c r="B1791" s="15">
        <v>46185</v>
      </c>
      <c r="C1791" s="16" t="s">
        <v>47</v>
      </c>
      <c r="D1791" s="17" t="s">
        <v>46</v>
      </c>
      <c r="E1791" s="18" t="s">
        <v>35</v>
      </c>
      <c r="F1791" s="19">
        <v>3118</v>
      </c>
      <c r="G1791" s="20">
        <v>93</v>
      </c>
      <c r="H1791" s="21">
        <v>76</v>
      </c>
      <c r="I1791" s="22">
        <v>3135</v>
      </c>
      <c r="J1791" s="35">
        <v>81.7</v>
      </c>
    </row>
    <row r="1792" spans="1:10" ht="15.75" customHeight="1">
      <c r="A1792" s="24" t="s">
        <v>11</v>
      </c>
      <c r="B1792" s="25">
        <v>46185</v>
      </c>
      <c r="C1792" s="26" t="s">
        <v>47</v>
      </c>
      <c r="D1792" s="27" t="s">
        <v>46</v>
      </c>
      <c r="E1792" s="28" t="s">
        <v>29</v>
      </c>
      <c r="F1792" s="29">
        <v>3650</v>
      </c>
      <c r="G1792" s="30">
        <v>120</v>
      </c>
      <c r="H1792" s="31">
        <v>101</v>
      </c>
      <c r="I1792" s="32">
        <v>3669</v>
      </c>
      <c r="J1792" s="33">
        <v>84.2</v>
      </c>
    </row>
    <row r="1793" spans="1:10" ht="15.75" customHeight="1">
      <c r="A1793" s="14" t="s">
        <v>11</v>
      </c>
      <c r="B1793" s="15">
        <v>46185</v>
      </c>
      <c r="C1793" s="16" t="s">
        <v>47</v>
      </c>
      <c r="D1793" s="17" t="s">
        <v>46</v>
      </c>
      <c r="E1793" s="18" t="s">
        <v>31</v>
      </c>
      <c r="F1793" s="19">
        <v>4665</v>
      </c>
      <c r="G1793" s="20">
        <v>125</v>
      </c>
      <c r="H1793" s="21">
        <v>103</v>
      </c>
      <c r="I1793" s="22">
        <v>4687</v>
      </c>
      <c r="J1793" s="35">
        <v>82.4</v>
      </c>
    </row>
    <row r="1794" spans="1:10" ht="15.75" customHeight="1">
      <c r="A1794" s="24" t="s">
        <v>11</v>
      </c>
      <c r="B1794" s="25">
        <v>46185</v>
      </c>
      <c r="C1794" s="26" t="s">
        <v>47</v>
      </c>
      <c r="D1794" s="27" t="s">
        <v>46</v>
      </c>
      <c r="E1794" s="28" t="s">
        <v>33</v>
      </c>
      <c r="F1794" s="29">
        <v>1714</v>
      </c>
      <c r="G1794" s="30">
        <v>77</v>
      </c>
      <c r="H1794" s="31">
        <v>72</v>
      </c>
      <c r="I1794" s="32">
        <v>1719</v>
      </c>
      <c r="J1794" s="33">
        <v>93.5</v>
      </c>
    </row>
    <row r="1795" spans="1:10" ht="15.75" customHeight="1">
      <c r="A1795" s="14" t="s">
        <v>11</v>
      </c>
      <c r="B1795" s="15">
        <v>46185</v>
      </c>
      <c r="C1795" s="16" t="s">
        <v>47</v>
      </c>
      <c r="D1795" s="17" t="s">
        <v>46</v>
      </c>
      <c r="E1795" s="18" t="s">
        <v>36</v>
      </c>
      <c r="F1795" s="19">
        <v>5817</v>
      </c>
      <c r="G1795" s="20">
        <v>111</v>
      </c>
      <c r="H1795" s="21">
        <v>78</v>
      </c>
      <c r="I1795" s="22">
        <v>5850</v>
      </c>
      <c r="J1795" s="23">
        <v>70.3</v>
      </c>
    </row>
    <row r="1796" spans="1:10" ht="15.75" customHeight="1">
      <c r="A1796" s="36" t="s">
        <v>11</v>
      </c>
      <c r="B1796" s="37">
        <v>46186</v>
      </c>
      <c r="C1796" s="38" t="s">
        <v>48</v>
      </c>
      <c r="D1796" s="39" t="s">
        <v>49</v>
      </c>
      <c r="E1796" s="40" t="s">
        <v>26</v>
      </c>
      <c r="F1796" s="41">
        <v>4633</v>
      </c>
      <c r="G1796" s="42">
        <v>60</v>
      </c>
      <c r="H1796" s="43">
        <v>42</v>
      </c>
      <c r="I1796" s="44">
        <v>4651</v>
      </c>
      <c r="J1796" s="46">
        <v>70</v>
      </c>
    </row>
    <row r="1797" spans="1:10" ht="15.75" customHeight="1">
      <c r="A1797" s="36" t="s">
        <v>11</v>
      </c>
      <c r="B1797" s="37">
        <v>46186</v>
      </c>
      <c r="C1797" s="38" t="s">
        <v>48</v>
      </c>
      <c r="D1797" s="39" t="s">
        <v>49</v>
      </c>
      <c r="E1797" s="40" t="s">
        <v>27</v>
      </c>
      <c r="F1797" s="41">
        <v>3340</v>
      </c>
      <c r="G1797" s="42">
        <v>37</v>
      </c>
      <c r="H1797" s="43">
        <v>26</v>
      </c>
      <c r="I1797" s="44">
        <v>3351</v>
      </c>
      <c r="J1797" s="46">
        <v>70.3</v>
      </c>
    </row>
    <row r="1798" spans="1:10" ht="15.75" customHeight="1">
      <c r="A1798" s="36" t="s">
        <v>11</v>
      </c>
      <c r="B1798" s="37">
        <v>46186</v>
      </c>
      <c r="C1798" s="38" t="s">
        <v>48</v>
      </c>
      <c r="D1798" s="39" t="s">
        <v>49</v>
      </c>
      <c r="E1798" s="40" t="s">
        <v>30</v>
      </c>
      <c r="F1798" s="41">
        <v>5535</v>
      </c>
      <c r="G1798" s="42">
        <v>39</v>
      </c>
      <c r="H1798" s="43">
        <v>27</v>
      </c>
      <c r="I1798" s="44">
        <v>5547</v>
      </c>
      <c r="J1798" s="46">
        <v>69.2</v>
      </c>
    </row>
    <row r="1799" spans="1:10" ht="15.75" customHeight="1">
      <c r="A1799" s="36" t="s">
        <v>11</v>
      </c>
      <c r="B1799" s="37">
        <v>46186</v>
      </c>
      <c r="C1799" s="38" t="s">
        <v>48</v>
      </c>
      <c r="D1799" s="39" t="s">
        <v>49</v>
      </c>
      <c r="E1799" s="40" t="s">
        <v>32</v>
      </c>
      <c r="F1799" s="41">
        <v>2285</v>
      </c>
      <c r="G1799" s="42">
        <v>48</v>
      </c>
      <c r="H1799" s="43">
        <v>45</v>
      </c>
      <c r="I1799" s="44">
        <v>2288</v>
      </c>
      <c r="J1799" s="45">
        <v>93.8</v>
      </c>
    </row>
    <row r="1800" spans="1:10" ht="15.75" customHeight="1">
      <c r="A1800" s="36" t="s">
        <v>11</v>
      </c>
      <c r="B1800" s="37">
        <v>46186</v>
      </c>
      <c r="C1800" s="38" t="s">
        <v>48</v>
      </c>
      <c r="D1800" s="39" t="s">
        <v>49</v>
      </c>
      <c r="E1800" s="40" t="s">
        <v>34</v>
      </c>
      <c r="F1800" s="41">
        <v>5645</v>
      </c>
      <c r="G1800" s="42">
        <v>66</v>
      </c>
      <c r="H1800" s="43">
        <v>43</v>
      </c>
      <c r="I1800" s="44">
        <v>5668</v>
      </c>
      <c r="J1800" s="46">
        <v>65.2</v>
      </c>
    </row>
    <row r="1801" spans="1:10" ht="15.75" customHeight="1">
      <c r="A1801" s="36" t="s">
        <v>11</v>
      </c>
      <c r="B1801" s="37">
        <v>46186</v>
      </c>
      <c r="C1801" s="38" t="s">
        <v>48</v>
      </c>
      <c r="D1801" s="39" t="s">
        <v>49</v>
      </c>
      <c r="E1801" s="40" t="s">
        <v>25</v>
      </c>
      <c r="F1801" s="41">
        <v>2877</v>
      </c>
      <c r="G1801" s="42">
        <v>30</v>
      </c>
      <c r="H1801" s="43">
        <v>26</v>
      </c>
      <c r="I1801" s="44">
        <v>2881</v>
      </c>
      <c r="J1801" s="45">
        <v>86.7</v>
      </c>
    </row>
    <row r="1802" spans="1:10" ht="15.75" customHeight="1">
      <c r="A1802" s="36" t="s">
        <v>11</v>
      </c>
      <c r="B1802" s="37">
        <v>46186</v>
      </c>
      <c r="C1802" s="38" t="s">
        <v>48</v>
      </c>
      <c r="D1802" s="39" t="s">
        <v>49</v>
      </c>
      <c r="E1802" s="40" t="s">
        <v>35</v>
      </c>
      <c r="F1802" s="41">
        <v>3135</v>
      </c>
      <c r="G1802" s="42">
        <v>50</v>
      </c>
      <c r="H1802" s="43">
        <v>45</v>
      </c>
      <c r="I1802" s="44">
        <v>3140</v>
      </c>
      <c r="J1802" s="45">
        <v>90</v>
      </c>
    </row>
    <row r="1803" spans="1:10" ht="15.75" customHeight="1">
      <c r="A1803" s="36" t="s">
        <v>11</v>
      </c>
      <c r="B1803" s="37">
        <v>46186</v>
      </c>
      <c r="C1803" s="38" t="s">
        <v>48</v>
      </c>
      <c r="D1803" s="39" t="s">
        <v>49</v>
      </c>
      <c r="E1803" s="40" t="s">
        <v>29</v>
      </c>
      <c r="F1803" s="41">
        <v>3669</v>
      </c>
      <c r="G1803" s="42">
        <v>46</v>
      </c>
      <c r="H1803" s="43">
        <v>33</v>
      </c>
      <c r="I1803" s="44">
        <v>3682</v>
      </c>
      <c r="J1803" s="46">
        <v>71.7</v>
      </c>
    </row>
    <row r="1804" spans="1:10" ht="15.75" customHeight="1">
      <c r="A1804" s="36" t="s">
        <v>11</v>
      </c>
      <c r="B1804" s="37">
        <v>46186</v>
      </c>
      <c r="C1804" s="38" t="s">
        <v>48</v>
      </c>
      <c r="D1804" s="39" t="s">
        <v>49</v>
      </c>
      <c r="E1804" s="40" t="s">
        <v>31</v>
      </c>
      <c r="F1804" s="41">
        <v>4687</v>
      </c>
      <c r="G1804" s="42">
        <v>44</v>
      </c>
      <c r="H1804" s="43">
        <v>35</v>
      </c>
      <c r="I1804" s="44">
        <v>4696</v>
      </c>
      <c r="J1804" s="45">
        <v>79.5</v>
      </c>
    </row>
    <row r="1805" spans="1:10" ht="15.75" customHeight="1">
      <c r="A1805" s="36" t="s">
        <v>11</v>
      </c>
      <c r="B1805" s="37">
        <v>46186</v>
      </c>
      <c r="C1805" s="38" t="s">
        <v>48</v>
      </c>
      <c r="D1805" s="39" t="s">
        <v>49</v>
      </c>
      <c r="E1805" s="40" t="s">
        <v>33</v>
      </c>
      <c r="F1805" s="41">
        <v>1719</v>
      </c>
      <c r="G1805" s="42">
        <v>38</v>
      </c>
      <c r="H1805" s="43">
        <v>36</v>
      </c>
      <c r="I1805" s="44">
        <v>1721</v>
      </c>
      <c r="J1805" s="45">
        <v>94.7</v>
      </c>
    </row>
    <row r="1806" spans="1:10" ht="15.75" customHeight="1">
      <c r="A1806" s="36" t="s">
        <v>11</v>
      </c>
      <c r="B1806" s="37">
        <v>46186</v>
      </c>
      <c r="C1806" s="38" t="s">
        <v>48</v>
      </c>
      <c r="D1806" s="39" t="s">
        <v>49</v>
      </c>
      <c r="E1806" s="40" t="s">
        <v>36</v>
      </c>
      <c r="F1806" s="41">
        <v>5850</v>
      </c>
      <c r="G1806" s="42">
        <v>69</v>
      </c>
      <c r="H1806" s="43">
        <v>46</v>
      </c>
      <c r="I1806" s="44">
        <v>5873</v>
      </c>
      <c r="J1806" s="46">
        <v>66.7</v>
      </c>
    </row>
    <row r="1807" spans="1:10" ht="15.75" customHeight="1">
      <c r="A1807" s="36" t="s">
        <v>11</v>
      </c>
      <c r="B1807" s="37">
        <v>46187</v>
      </c>
      <c r="C1807" s="38" t="s">
        <v>50</v>
      </c>
      <c r="D1807" s="39" t="s">
        <v>49</v>
      </c>
      <c r="E1807" s="40" t="s">
        <v>26</v>
      </c>
      <c r="F1807" s="41">
        <v>4651</v>
      </c>
      <c r="G1807" s="42">
        <v>69</v>
      </c>
      <c r="H1807" s="43">
        <v>49</v>
      </c>
      <c r="I1807" s="44">
        <v>4671</v>
      </c>
      <c r="J1807" s="46">
        <v>71</v>
      </c>
    </row>
    <row r="1808" spans="1:10" ht="15.75" customHeight="1">
      <c r="A1808" s="36" t="s">
        <v>11</v>
      </c>
      <c r="B1808" s="37">
        <v>46187</v>
      </c>
      <c r="C1808" s="38" t="s">
        <v>50</v>
      </c>
      <c r="D1808" s="39" t="s">
        <v>49</v>
      </c>
      <c r="E1808" s="40" t="s">
        <v>27</v>
      </c>
      <c r="F1808" s="41">
        <v>3351</v>
      </c>
      <c r="G1808" s="42">
        <v>31</v>
      </c>
      <c r="H1808" s="43">
        <v>21</v>
      </c>
      <c r="I1808" s="44">
        <v>3361</v>
      </c>
      <c r="J1808" s="46">
        <v>67.7</v>
      </c>
    </row>
    <row r="1809" spans="1:10" ht="15.75" customHeight="1">
      <c r="A1809" s="36" t="s">
        <v>11</v>
      </c>
      <c r="B1809" s="37">
        <v>46187</v>
      </c>
      <c r="C1809" s="38" t="s">
        <v>50</v>
      </c>
      <c r="D1809" s="39" t="s">
        <v>49</v>
      </c>
      <c r="E1809" s="40" t="s">
        <v>30</v>
      </c>
      <c r="F1809" s="41">
        <v>5547</v>
      </c>
      <c r="G1809" s="42">
        <v>54</v>
      </c>
      <c r="H1809" s="43">
        <v>39</v>
      </c>
      <c r="I1809" s="44">
        <v>5562</v>
      </c>
      <c r="J1809" s="46">
        <v>72.2</v>
      </c>
    </row>
    <row r="1810" spans="1:10" ht="15.75" customHeight="1">
      <c r="A1810" s="36" t="s">
        <v>11</v>
      </c>
      <c r="B1810" s="37">
        <v>46187</v>
      </c>
      <c r="C1810" s="38" t="s">
        <v>50</v>
      </c>
      <c r="D1810" s="39" t="s">
        <v>49</v>
      </c>
      <c r="E1810" s="40" t="s">
        <v>32</v>
      </c>
      <c r="F1810" s="41">
        <v>2288</v>
      </c>
      <c r="G1810" s="42">
        <v>54</v>
      </c>
      <c r="H1810" s="43">
        <v>44</v>
      </c>
      <c r="I1810" s="44">
        <v>2298</v>
      </c>
      <c r="J1810" s="45">
        <v>81.5</v>
      </c>
    </row>
    <row r="1811" spans="1:10" ht="15.75" customHeight="1">
      <c r="A1811" s="36" t="s">
        <v>11</v>
      </c>
      <c r="B1811" s="37">
        <v>46187</v>
      </c>
      <c r="C1811" s="38" t="s">
        <v>50</v>
      </c>
      <c r="D1811" s="39" t="s">
        <v>49</v>
      </c>
      <c r="E1811" s="40" t="s">
        <v>34</v>
      </c>
      <c r="F1811" s="41">
        <v>5668</v>
      </c>
      <c r="G1811" s="42">
        <v>74</v>
      </c>
      <c r="H1811" s="43">
        <v>45</v>
      </c>
      <c r="I1811" s="44">
        <v>5697</v>
      </c>
      <c r="J1811" s="46">
        <v>60.8</v>
      </c>
    </row>
    <row r="1812" spans="1:10" ht="15.75" customHeight="1">
      <c r="A1812" s="36" t="s">
        <v>11</v>
      </c>
      <c r="B1812" s="37">
        <v>46187</v>
      </c>
      <c r="C1812" s="38" t="s">
        <v>50</v>
      </c>
      <c r="D1812" s="39" t="s">
        <v>49</v>
      </c>
      <c r="E1812" s="40" t="s">
        <v>25</v>
      </c>
      <c r="F1812" s="41">
        <v>2881</v>
      </c>
      <c r="G1812" s="42">
        <v>26</v>
      </c>
      <c r="H1812" s="43">
        <v>20</v>
      </c>
      <c r="I1812" s="44">
        <v>2887</v>
      </c>
      <c r="J1812" s="45">
        <v>76.900000000000006</v>
      </c>
    </row>
    <row r="1813" spans="1:10" ht="15.75" customHeight="1">
      <c r="A1813" s="36" t="s">
        <v>11</v>
      </c>
      <c r="B1813" s="37">
        <v>46187</v>
      </c>
      <c r="C1813" s="38" t="s">
        <v>50</v>
      </c>
      <c r="D1813" s="39" t="s">
        <v>49</v>
      </c>
      <c r="E1813" s="40" t="s">
        <v>35</v>
      </c>
      <c r="F1813" s="41">
        <v>3140</v>
      </c>
      <c r="G1813" s="42">
        <v>38</v>
      </c>
      <c r="H1813" s="43">
        <v>31</v>
      </c>
      <c r="I1813" s="44">
        <v>3147</v>
      </c>
      <c r="J1813" s="45">
        <v>81.599999999999994</v>
      </c>
    </row>
    <row r="1814" spans="1:10" ht="15.75" customHeight="1">
      <c r="A1814" s="36" t="s">
        <v>11</v>
      </c>
      <c r="B1814" s="37">
        <v>46187</v>
      </c>
      <c r="C1814" s="38" t="s">
        <v>50</v>
      </c>
      <c r="D1814" s="39" t="s">
        <v>49</v>
      </c>
      <c r="E1814" s="40" t="s">
        <v>29</v>
      </c>
      <c r="F1814" s="41">
        <v>3682</v>
      </c>
      <c r="G1814" s="42">
        <v>49</v>
      </c>
      <c r="H1814" s="43">
        <v>38</v>
      </c>
      <c r="I1814" s="44">
        <v>3693</v>
      </c>
      <c r="J1814" s="45">
        <v>77.599999999999994</v>
      </c>
    </row>
    <row r="1815" spans="1:10" ht="15.75" customHeight="1">
      <c r="A1815" s="36" t="s">
        <v>11</v>
      </c>
      <c r="B1815" s="37">
        <v>46187</v>
      </c>
      <c r="C1815" s="38" t="s">
        <v>50</v>
      </c>
      <c r="D1815" s="39" t="s">
        <v>49</v>
      </c>
      <c r="E1815" s="40" t="s">
        <v>31</v>
      </c>
      <c r="F1815" s="41">
        <v>4696</v>
      </c>
      <c r="G1815" s="42">
        <v>57</v>
      </c>
      <c r="H1815" s="43">
        <v>36</v>
      </c>
      <c r="I1815" s="44">
        <v>4717</v>
      </c>
      <c r="J1815" s="46">
        <v>63.2</v>
      </c>
    </row>
    <row r="1816" spans="1:10" ht="15.75" customHeight="1">
      <c r="A1816" s="36" t="s">
        <v>11</v>
      </c>
      <c r="B1816" s="37">
        <v>46187</v>
      </c>
      <c r="C1816" s="38" t="s">
        <v>50</v>
      </c>
      <c r="D1816" s="39" t="s">
        <v>49</v>
      </c>
      <c r="E1816" s="40" t="s">
        <v>33</v>
      </c>
      <c r="F1816" s="41">
        <v>1721</v>
      </c>
      <c r="G1816" s="42">
        <v>34</v>
      </c>
      <c r="H1816" s="43">
        <v>26</v>
      </c>
      <c r="I1816" s="44">
        <v>1729</v>
      </c>
      <c r="J1816" s="45">
        <v>76.5</v>
      </c>
    </row>
    <row r="1817" spans="1:10" ht="15.75" customHeight="1">
      <c r="A1817" s="36" t="s">
        <v>11</v>
      </c>
      <c r="B1817" s="37">
        <v>46187</v>
      </c>
      <c r="C1817" s="38" t="s">
        <v>50</v>
      </c>
      <c r="D1817" s="39" t="s">
        <v>49</v>
      </c>
      <c r="E1817" s="40" t="s">
        <v>36</v>
      </c>
      <c r="F1817" s="41">
        <v>5873</v>
      </c>
      <c r="G1817" s="42">
        <v>74</v>
      </c>
      <c r="H1817" s="43">
        <v>53</v>
      </c>
      <c r="I1817" s="44">
        <v>5894</v>
      </c>
      <c r="J1817" s="46">
        <v>71.599999999999994</v>
      </c>
    </row>
    <row r="1818" spans="1:10" ht="15.75" customHeight="1">
      <c r="A1818" s="24" t="s">
        <v>11</v>
      </c>
      <c r="B1818" s="25">
        <v>46188</v>
      </c>
      <c r="C1818" s="26" t="s">
        <v>51</v>
      </c>
      <c r="D1818" s="27" t="s">
        <v>46</v>
      </c>
      <c r="E1818" s="28" t="s">
        <v>26</v>
      </c>
      <c r="F1818" s="29">
        <v>4671</v>
      </c>
      <c r="G1818" s="30">
        <v>150</v>
      </c>
      <c r="H1818" s="31">
        <v>105</v>
      </c>
      <c r="I1818" s="32">
        <v>4716</v>
      </c>
      <c r="J1818" s="34">
        <v>70</v>
      </c>
    </row>
    <row r="1819" spans="1:10" ht="15.75" customHeight="1">
      <c r="A1819" s="14" t="s">
        <v>11</v>
      </c>
      <c r="B1819" s="15">
        <v>46188</v>
      </c>
      <c r="C1819" s="16" t="s">
        <v>51</v>
      </c>
      <c r="D1819" s="17" t="s">
        <v>46</v>
      </c>
      <c r="E1819" s="18" t="s">
        <v>27</v>
      </c>
      <c r="F1819" s="19">
        <v>3361</v>
      </c>
      <c r="G1819" s="20">
        <v>122</v>
      </c>
      <c r="H1819" s="21">
        <v>104</v>
      </c>
      <c r="I1819" s="22">
        <v>3379</v>
      </c>
      <c r="J1819" s="35">
        <v>85.2</v>
      </c>
    </row>
    <row r="1820" spans="1:10" ht="15.75" customHeight="1">
      <c r="A1820" s="24" t="s">
        <v>11</v>
      </c>
      <c r="B1820" s="25">
        <v>46188</v>
      </c>
      <c r="C1820" s="26" t="s">
        <v>51</v>
      </c>
      <c r="D1820" s="27" t="s">
        <v>46</v>
      </c>
      <c r="E1820" s="28" t="s">
        <v>30</v>
      </c>
      <c r="F1820" s="29">
        <v>5562</v>
      </c>
      <c r="G1820" s="30">
        <v>105</v>
      </c>
      <c r="H1820" s="31">
        <v>67</v>
      </c>
      <c r="I1820" s="32">
        <v>5600</v>
      </c>
      <c r="J1820" s="34">
        <v>63.8</v>
      </c>
    </row>
    <row r="1821" spans="1:10" ht="15.75" customHeight="1">
      <c r="A1821" s="14" t="s">
        <v>11</v>
      </c>
      <c r="B1821" s="15">
        <v>46188</v>
      </c>
      <c r="C1821" s="16" t="s">
        <v>51</v>
      </c>
      <c r="D1821" s="17" t="s">
        <v>46</v>
      </c>
      <c r="E1821" s="18" t="s">
        <v>32</v>
      </c>
      <c r="F1821" s="19">
        <v>2298</v>
      </c>
      <c r="G1821" s="20">
        <v>66</v>
      </c>
      <c r="H1821" s="21">
        <v>55</v>
      </c>
      <c r="I1821" s="22">
        <v>2309</v>
      </c>
      <c r="J1821" s="35">
        <v>83.3</v>
      </c>
    </row>
    <row r="1822" spans="1:10" ht="15.75" customHeight="1">
      <c r="A1822" s="24" t="s">
        <v>11</v>
      </c>
      <c r="B1822" s="25">
        <v>46188</v>
      </c>
      <c r="C1822" s="26" t="s">
        <v>51</v>
      </c>
      <c r="D1822" s="27" t="s">
        <v>46</v>
      </c>
      <c r="E1822" s="28" t="s">
        <v>34</v>
      </c>
      <c r="F1822" s="29">
        <v>5697</v>
      </c>
      <c r="G1822" s="30">
        <v>147</v>
      </c>
      <c r="H1822" s="31">
        <v>116</v>
      </c>
      <c r="I1822" s="32">
        <v>5728</v>
      </c>
      <c r="J1822" s="33">
        <v>78.900000000000006</v>
      </c>
    </row>
    <row r="1823" spans="1:10" ht="15.75" customHeight="1">
      <c r="A1823" s="14" t="s">
        <v>11</v>
      </c>
      <c r="B1823" s="15">
        <v>46188</v>
      </c>
      <c r="C1823" s="16" t="s">
        <v>51</v>
      </c>
      <c r="D1823" s="17" t="s">
        <v>46</v>
      </c>
      <c r="E1823" s="18" t="s">
        <v>25</v>
      </c>
      <c r="F1823" s="19">
        <v>2887</v>
      </c>
      <c r="G1823" s="20">
        <v>71</v>
      </c>
      <c r="H1823" s="21">
        <v>56</v>
      </c>
      <c r="I1823" s="22">
        <v>2902</v>
      </c>
      <c r="J1823" s="35">
        <v>78.900000000000006</v>
      </c>
    </row>
    <row r="1824" spans="1:10" ht="15.75" customHeight="1">
      <c r="A1824" s="24" t="s">
        <v>11</v>
      </c>
      <c r="B1824" s="25">
        <v>46188</v>
      </c>
      <c r="C1824" s="26" t="s">
        <v>51</v>
      </c>
      <c r="D1824" s="27" t="s">
        <v>46</v>
      </c>
      <c r="E1824" s="28" t="s">
        <v>35</v>
      </c>
      <c r="F1824" s="29">
        <v>3147</v>
      </c>
      <c r="G1824" s="30">
        <v>121</v>
      </c>
      <c r="H1824" s="31">
        <v>111</v>
      </c>
      <c r="I1824" s="32">
        <v>3157</v>
      </c>
      <c r="J1824" s="33">
        <v>91.7</v>
      </c>
    </row>
    <row r="1825" spans="1:10" ht="15.75" customHeight="1">
      <c r="A1825" s="14" t="s">
        <v>11</v>
      </c>
      <c r="B1825" s="15">
        <v>46188</v>
      </c>
      <c r="C1825" s="16" t="s">
        <v>51</v>
      </c>
      <c r="D1825" s="17" t="s">
        <v>46</v>
      </c>
      <c r="E1825" s="18" t="s">
        <v>29</v>
      </c>
      <c r="F1825" s="19">
        <v>3693</v>
      </c>
      <c r="G1825" s="20">
        <v>74</v>
      </c>
      <c r="H1825" s="21">
        <v>54</v>
      </c>
      <c r="I1825" s="22">
        <v>3713</v>
      </c>
      <c r="J1825" s="23">
        <v>73</v>
      </c>
    </row>
    <row r="1826" spans="1:10" ht="15.75" customHeight="1">
      <c r="A1826" s="24" t="s">
        <v>11</v>
      </c>
      <c r="B1826" s="25">
        <v>46188</v>
      </c>
      <c r="C1826" s="26" t="s">
        <v>51</v>
      </c>
      <c r="D1826" s="27" t="s">
        <v>46</v>
      </c>
      <c r="E1826" s="28" t="s">
        <v>31</v>
      </c>
      <c r="F1826" s="29">
        <v>4717</v>
      </c>
      <c r="G1826" s="30">
        <v>150</v>
      </c>
      <c r="H1826" s="31">
        <v>108</v>
      </c>
      <c r="I1826" s="32">
        <v>4759</v>
      </c>
      <c r="J1826" s="34">
        <v>72</v>
      </c>
    </row>
    <row r="1827" spans="1:10" ht="15.75" customHeight="1">
      <c r="A1827" s="14" t="s">
        <v>11</v>
      </c>
      <c r="B1827" s="15">
        <v>46188</v>
      </c>
      <c r="C1827" s="16" t="s">
        <v>51</v>
      </c>
      <c r="D1827" s="17" t="s">
        <v>46</v>
      </c>
      <c r="E1827" s="18" t="s">
        <v>33</v>
      </c>
      <c r="F1827" s="19">
        <v>1729</v>
      </c>
      <c r="G1827" s="20">
        <v>87</v>
      </c>
      <c r="H1827" s="21">
        <v>68</v>
      </c>
      <c r="I1827" s="22">
        <v>1748</v>
      </c>
      <c r="J1827" s="35">
        <v>78.2</v>
      </c>
    </row>
    <row r="1828" spans="1:10" ht="15.75" customHeight="1">
      <c r="A1828" s="24" t="s">
        <v>11</v>
      </c>
      <c r="B1828" s="25">
        <v>46188</v>
      </c>
      <c r="C1828" s="26" t="s">
        <v>51</v>
      </c>
      <c r="D1828" s="27" t="s">
        <v>46</v>
      </c>
      <c r="E1828" s="28" t="s">
        <v>36</v>
      </c>
      <c r="F1828" s="29">
        <v>5894</v>
      </c>
      <c r="G1828" s="30">
        <v>100</v>
      </c>
      <c r="H1828" s="31">
        <v>62</v>
      </c>
      <c r="I1828" s="32">
        <v>5932</v>
      </c>
      <c r="J1828" s="34">
        <v>62</v>
      </c>
    </row>
    <row r="1829" spans="1:10" ht="15.75" customHeight="1">
      <c r="A1829" s="14" t="s">
        <v>11</v>
      </c>
      <c r="B1829" s="15">
        <v>46189</v>
      </c>
      <c r="C1829" s="16" t="s">
        <v>52</v>
      </c>
      <c r="D1829" s="17" t="s">
        <v>46</v>
      </c>
      <c r="E1829" s="18" t="s">
        <v>26</v>
      </c>
      <c r="F1829" s="19">
        <v>4716</v>
      </c>
      <c r="G1829" s="20">
        <v>121</v>
      </c>
      <c r="H1829" s="21">
        <v>97</v>
      </c>
      <c r="I1829" s="22">
        <v>4740</v>
      </c>
      <c r="J1829" s="35">
        <v>80.2</v>
      </c>
    </row>
    <row r="1830" spans="1:10" ht="15.75" customHeight="1">
      <c r="A1830" s="24" t="s">
        <v>11</v>
      </c>
      <c r="B1830" s="25">
        <v>46189</v>
      </c>
      <c r="C1830" s="26" t="s">
        <v>52</v>
      </c>
      <c r="D1830" s="27" t="s">
        <v>46</v>
      </c>
      <c r="E1830" s="28" t="s">
        <v>27</v>
      </c>
      <c r="F1830" s="29">
        <v>3379</v>
      </c>
      <c r="G1830" s="30">
        <v>90</v>
      </c>
      <c r="H1830" s="31">
        <v>68</v>
      </c>
      <c r="I1830" s="32">
        <v>3401</v>
      </c>
      <c r="J1830" s="33">
        <v>75.599999999999994</v>
      </c>
    </row>
    <row r="1831" spans="1:10" ht="15.75" customHeight="1">
      <c r="A1831" s="14" t="s">
        <v>11</v>
      </c>
      <c r="B1831" s="15">
        <v>46189</v>
      </c>
      <c r="C1831" s="16" t="s">
        <v>52</v>
      </c>
      <c r="D1831" s="17" t="s">
        <v>46</v>
      </c>
      <c r="E1831" s="18" t="s">
        <v>30</v>
      </c>
      <c r="F1831" s="19">
        <v>5600</v>
      </c>
      <c r="G1831" s="20">
        <v>140</v>
      </c>
      <c r="H1831" s="21">
        <v>103</v>
      </c>
      <c r="I1831" s="22">
        <v>5637</v>
      </c>
      <c r="J1831" s="23">
        <v>73.599999999999994</v>
      </c>
    </row>
    <row r="1832" spans="1:10" ht="15.75" customHeight="1">
      <c r="A1832" s="24" t="s">
        <v>11</v>
      </c>
      <c r="B1832" s="25">
        <v>46189</v>
      </c>
      <c r="C1832" s="26" t="s">
        <v>52</v>
      </c>
      <c r="D1832" s="27" t="s">
        <v>46</v>
      </c>
      <c r="E1832" s="28" t="s">
        <v>32</v>
      </c>
      <c r="F1832" s="29">
        <v>2309</v>
      </c>
      <c r="G1832" s="30">
        <v>107</v>
      </c>
      <c r="H1832" s="31">
        <v>89</v>
      </c>
      <c r="I1832" s="32">
        <v>2327</v>
      </c>
      <c r="J1832" s="33">
        <v>83.2</v>
      </c>
    </row>
    <row r="1833" spans="1:10" ht="15.75" customHeight="1">
      <c r="A1833" s="14" t="s">
        <v>11</v>
      </c>
      <c r="B1833" s="15">
        <v>46189</v>
      </c>
      <c r="C1833" s="16" t="s">
        <v>52</v>
      </c>
      <c r="D1833" s="17" t="s">
        <v>46</v>
      </c>
      <c r="E1833" s="18" t="s">
        <v>34</v>
      </c>
      <c r="F1833" s="19">
        <v>5728</v>
      </c>
      <c r="G1833" s="20">
        <v>175</v>
      </c>
      <c r="H1833" s="21">
        <v>129</v>
      </c>
      <c r="I1833" s="22">
        <v>5774</v>
      </c>
      <c r="J1833" s="23">
        <v>73.7</v>
      </c>
    </row>
    <row r="1834" spans="1:10" ht="15.75" customHeight="1">
      <c r="A1834" s="24" t="s">
        <v>11</v>
      </c>
      <c r="B1834" s="25">
        <v>46189</v>
      </c>
      <c r="C1834" s="26" t="s">
        <v>52</v>
      </c>
      <c r="D1834" s="27" t="s">
        <v>46</v>
      </c>
      <c r="E1834" s="28" t="s">
        <v>25</v>
      </c>
      <c r="F1834" s="29">
        <v>2902</v>
      </c>
      <c r="G1834" s="30">
        <v>82</v>
      </c>
      <c r="H1834" s="31">
        <v>71</v>
      </c>
      <c r="I1834" s="32">
        <v>2913</v>
      </c>
      <c r="J1834" s="33">
        <v>86.6</v>
      </c>
    </row>
    <row r="1835" spans="1:10" ht="15.75" customHeight="1">
      <c r="A1835" s="14" t="s">
        <v>11</v>
      </c>
      <c r="B1835" s="15">
        <v>46189</v>
      </c>
      <c r="C1835" s="16" t="s">
        <v>52</v>
      </c>
      <c r="D1835" s="17" t="s">
        <v>46</v>
      </c>
      <c r="E1835" s="18" t="s">
        <v>35</v>
      </c>
      <c r="F1835" s="19">
        <v>3157</v>
      </c>
      <c r="G1835" s="20">
        <v>137</v>
      </c>
      <c r="H1835" s="21">
        <v>120</v>
      </c>
      <c r="I1835" s="22">
        <v>3174</v>
      </c>
      <c r="J1835" s="35">
        <v>87.6</v>
      </c>
    </row>
    <row r="1836" spans="1:10" ht="15.75" customHeight="1">
      <c r="A1836" s="24" t="s">
        <v>11</v>
      </c>
      <c r="B1836" s="25">
        <v>46189</v>
      </c>
      <c r="C1836" s="26" t="s">
        <v>52</v>
      </c>
      <c r="D1836" s="27" t="s">
        <v>46</v>
      </c>
      <c r="E1836" s="28" t="s">
        <v>29</v>
      </c>
      <c r="F1836" s="29">
        <v>3713</v>
      </c>
      <c r="G1836" s="30">
        <v>101</v>
      </c>
      <c r="H1836" s="31">
        <v>75</v>
      </c>
      <c r="I1836" s="32">
        <v>3739</v>
      </c>
      <c r="J1836" s="34">
        <v>74.3</v>
      </c>
    </row>
    <row r="1837" spans="1:10" ht="15.75" customHeight="1">
      <c r="A1837" s="14" t="s">
        <v>11</v>
      </c>
      <c r="B1837" s="15">
        <v>46189</v>
      </c>
      <c r="C1837" s="16" t="s">
        <v>52</v>
      </c>
      <c r="D1837" s="17" t="s">
        <v>46</v>
      </c>
      <c r="E1837" s="18" t="s">
        <v>31</v>
      </c>
      <c r="F1837" s="19">
        <v>4759</v>
      </c>
      <c r="G1837" s="20">
        <v>145</v>
      </c>
      <c r="H1837" s="21">
        <v>118</v>
      </c>
      <c r="I1837" s="22">
        <v>4786</v>
      </c>
      <c r="J1837" s="35">
        <v>81.400000000000006</v>
      </c>
    </row>
    <row r="1838" spans="1:10" ht="15.75" customHeight="1">
      <c r="A1838" s="24" t="s">
        <v>11</v>
      </c>
      <c r="B1838" s="25">
        <v>46189</v>
      </c>
      <c r="C1838" s="26" t="s">
        <v>52</v>
      </c>
      <c r="D1838" s="27" t="s">
        <v>46</v>
      </c>
      <c r="E1838" s="28" t="s">
        <v>33</v>
      </c>
      <c r="F1838" s="29">
        <v>1748</v>
      </c>
      <c r="G1838" s="30">
        <v>56</v>
      </c>
      <c r="H1838" s="31">
        <v>48</v>
      </c>
      <c r="I1838" s="32">
        <v>1756</v>
      </c>
      <c r="J1838" s="33">
        <v>85.7</v>
      </c>
    </row>
    <row r="1839" spans="1:10" ht="15.75" customHeight="1">
      <c r="A1839" s="14" t="s">
        <v>11</v>
      </c>
      <c r="B1839" s="15">
        <v>46189</v>
      </c>
      <c r="C1839" s="16" t="s">
        <v>52</v>
      </c>
      <c r="D1839" s="17" t="s">
        <v>46</v>
      </c>
      <c r="E1839" s="18" t="s">
        <v>36</v>
      </c>
      <c r="F1839" s="19">
        <v>5932</v>
      </c>
      <c r="G1839" s="20">
        <v>137</v>
      </c>
      <c r="H1839" s="21">
        <v>104</v>
      </c>
      <c r="I1839" s="22">
        <v>5965</v>
      </c>
      <c r="J1839" s="35">
        <v>75.900000000000006</v>
      </c>
    </row>
    <row r="1840" spans="1:10" ht="15.75" customHeight="1">
      <c r="A1840" s="24" t="s">
        <v>11</v>
      </c>
      <c r="B1840" s="25">
        <v>46190</v>
      </c>
      <c r="C1840" s="26" t="s">
        <v>53</v>
      </c>
      <c r="D1840" s="27" t="s">
        <v>46</v>
      </c>
      <c r="E1840" s="28" t="s">
        <v>26</v>
      </c>
      <c r="F1840" s="29">
        <v>4740</v>
      </c>
      <c r="G1840" s="30">
        <v>140</v>
      </c>
      <c r="H1840" s="31">
        <v>99</v>
      </c>
      <c r="I1840" s="32">
        <v>4781</v>
      </c>
      <c r="J1840" s="34">
        <v>70.7</v>
      </c>
    </row>
    <row r="1841" spans="1:10" ht="15.75" customHeight="1">
      <c r="A1841" s="14" t="s">
        <v>11</v>
      </c>
      <c r="B1841" s="15">
        <v>46190</v>
      </c>
      <c r="C1841" s="16" t="s">
        <v>53</v>
      </c>
      <c r="D1841" s="17" t="s">
        <v>46</v>
      </c>
      <c r="E1841" s="18" t="s">
        <v>27</v>
      </c>
      <c r="F1841" s="19">
        <v>3401</v>
      </c>
      <c r="G1841" s="20">
        <v>111</v>
      </c>
      <c r="H1841" s="21">
        <v>95</v>
      </c>
      <c r="I1841" s="22">
        <v>3417</v>
      </c>
      <c r="J1841" s="35">
        <v>85.6</v>
      </c>
    </row>
    <row r="1842" spans="1:10" ht="15.75" customHeight="1">
      <c r="A1842" s="24" t="s">
        <v>11</v>
      </c>
      <c r="B1842" s="25">
        <v>46190</v>
      </c>
      <c r="C1842" s="26" t="s">
        <v>53</v>
      </c>
      <c r="D1842" s="27" t="s">
        <v>46</v>
      </c>
      <c r="E1842" s="28" t="s">
        <v>30</v>
      </c>
      <c r="F1842" s="29">
        <v>5637</v>
      </c>
      <c r="G1842" s="30">
        <v>119</v>
      </c>
      <c r="H1842" s="31">
        <v>94</v>
      </c>
      <c r="I1842" s="32">
        <v>5662</v>
      </c>
      <c r="J1842" s="33">
        <v>79</v>
      </c>
    </row>
    <row r="1843" spans="1:10" ht="15.75" customHeight="1">
      <c r="A1843" s="14" t="s">
        <v>11</v>
      </c>
      <c r="B1843" s="15">
        <v>46190</v>
      </c>
      <c r="C1843" s="16" t="s">
        <v>53</v>
      </c>
      <c r="D1843" s="17" t="s">
        <v>46</v>
      </c>
      <c r="E1843" s="18" t="s">
        <v>32</v>
      </c>
      <c r="F1843" s="19">
        <v>2327</v>
      </c>
      <c r="G1843" s="20">
        <v>63</v>
      </c>
      <c r="H1843" s="21">
        <v>56</v>
      </c>
      <c r="I1843" s="22">
        <v>2334</v>
      </c>
      <c r="J1843" s="35">
        <v>88.9</v>
      </c>
    </row>
    <row r="1844" spans="1:10" ht="15.75" customHeight="1">
      <c r="A1844" s="24" t="s">
        <v>11</v>
      </c>
      <c r="B1844" s="25">
        <v>46190</v>
      </c>
      <c r="C1844" s="26" t="s">
        <v>53</v>
      </c>
      <c r="D1844" s="27" t="s">
        <v>46</v>
      </c>
      <c r="E1844" s="28" t="s">
        <v>34</v>
      </c>
      <c r="F1844" s="29">
        <v>5774</v>
      </c>
      <c r="G1844" s="30">
        <v>161</v>
      </c>
      <c r="H1844" s="31">
        <v>109</v>
      </c>
      <c r="I1844" s="32">
        <v>5826</v>
      </c>
      <c r="J1844" s="34">
        <v>67.7</v>
      </c>
    </row>
    <row r="1845" spans="1:10" ht="15.75" customHeight="1">
      <c r="A1845" s="14" t="s">
        <v>11</v>
      </c>
      <c r="B1845" s="15">
        <v>46190</v>
      </c>
      <c r="C1845" s="16" t="s">
        <v>53</v>
      </c>
      <c r="D1845" s="17" t="s">
        <v>46</v>
      </c>
      <c r="E1845" s="18" t="s">
        <v>25</v>
      </c>
      <c r="F1845" s="19">
        <v>2913</v>
      </c>
      <c r="G1845" s="20">
        <v>83</v>
      </c>
      <c r="H1845" s="21">
        <v>68</v>
      </c>
      <c r="I1845" s="22">
        <v>2928</v>
      </c>
      <c r="J1845" s="35">
        <v>81.900000000000006</v>
      </c>
    </row>
    <row r="1846" spans="1:10" ht="15.75" customHeight="1">
      <c r="A1846" s="24" t="s">
        <v>11</v>
      </c>
      <c r="B1846" s="25">
        <v>46190</v>
      </c>
      <c r="C1846" s="26" t="s">
        <v>53</v>
      </c>
      <c r="D1846" s="27" t="s">
        <v>46</v>
      </c>
      <c r="E1846" s="28" t="s">
        <v>35</v>
      </c>
      <c r="F1846" s="29">
        <v>3174</v>
      </c>
      <c r="G1846" s="30">
        <v>93</v>
      </c>
      <c r="H1846" s="31">
        <v>73</v>
      </c>
      <c r="I1846" s="32">
        <v>3194</v>
      </c>
      <c r="J1846" s="33">
        <v>78.5</v>
      </c>
    </row>
    <row r="1847" spans="1:10" ht="15.75" customHeight="1">
      <c r="A1847" s="14" t="s">
        <v>11</v>
      </c>
      <c r="B1847" s="15">
        <v>46190</v>
      </c>
      <c r="C1847" s="16" t="s">
        <v>53</v>
      </c>
      <c r="D1847" s="17" t="s">
        <v>46</v>
      </c>
      <c r="E1847" s="18" t="s">
        <v>29</v>
      </c>
      <c r="F1847" s="19">
        <v>3739</v>
      </c>
      <c r="G1847" s="20">
        <v>67</v>
      </c>
      <c r="H1847" s="21">
        <v>53</v>
      </c>
      <c r="I1847" s="22">
        <v>3753</v>
      </c>
      <c r="J1847" s="35">
        <v>79.099999999999994</v>
      </c>
    </row>
    <row r="1848" spans="1:10" ht="15.75" customHeight="1">
      <c r="A1848" s="24" t="s">
        <v>11</v>
      </c>
      <c r="B1848" s="25">
        <v>46190</v>
      </c>
      <c r="C1848" s="26" t="s">
        <v>53</v>
      </c>
      <c r="D1848" s="27" t="s">
        <v>46</v>
      </c>
      <c r="E1848" s="28" t="s">
        <v>31</v>
      </c>
      <c r="F1848" s="29">
        <v>4786</v>
      </c>
      <c r="G1848" s="30">
        <v>99</v>
      </c>
      <c r="H1848" s="31">
        <v>69</v>
      </c>
      <c r="I1848" s="32">
        <v>4816</v>
      </c>
      <c r="J1848" s="34">
        <v>69.7</v>
      </c>
    </row>
    <row r="1849" spans="1:10" ht="15.75" customHeight="1">
      <c r="A1849" s="14" t="s">
        <v>11</v>
      </c>
      <c r="B1849" s="15">
        <v>46190</v>
      </c>
      <c r="C1849" s="16" t="s">
        <v>53</v>
      </c>
      <c r="D1849" s="17" t="s">
        <v>46</v>
      </c>
      <c r="E1849" s="18" t="s">
        <v>33</v>
      </c>
      <c r="F1849" s="19">
        <v>1756</v>
      </c>
      <c r="G1849" s="20">
        <v>56</v>
      </c>
      <c r="H1849" s="21">
        <v>50</v>
      </c>
      <c r="I1849" s="22">
        <v>1762</v>
      </c>
      <c r="J1849" s="35">
        <v>89.3</v>
      </c>
    </row>
    <row r="1850" spans="1:10" ht="15.75" customHeight="1">
      <c r="A1850" s="24" t="s">
        <v>11</v>
      </c>
      <c r="B1850" s="25">
        <v>46190</v>
      </c>
      <c r="C1850" s="26" t="s">
        <v>53</v>
      </c>
      <c r="D1850" s="27" t="s">
        <v>46</v>
      </c>
      <c r="E1850" s="28" t="s">
        <v>36</v>
      </c>
      <c r="F1850" s="29">
        <v>5965</v>
      </c>
      <c r="G1850" s="30">
        <v>135</v>
      </c>
      <c r="H1850" s="31">
        <v>95</v>
      </c>
      <c r="I1850" s="32">
        <v>6005</v>
      </c>
      <c r="J1850" s="34">
        <v>70.400000000000006</v>
      </c>
    </row>
    <row r="1851" spans="1:10" ht="15.75" customHeight="1">
      <c r="A1851" s="14" t="s">
        <v>11</v>
      </c>
      <c r="B1851" s="15">
        <v>46191</v>
      </c>
      <c r="C1851" s="16" t="s">
        <v>45</v>
      </c>
      <c r="D1851" s="17" t="s">
        <v>46</v>
      </c>
      <c r="E1851" s="18" t="s">
        <v>26</v>
      </c>
      <c r="F1851" s="19">
        <v>4781</v>
      </c>
      <c r="G1851" s="20">
        <v>146</v>
      </c>
      <c r="H1851" s="21">
        <v>100</v>
      </c>
      <c r="I1851" s="22">
        <v>4827</v>
      </c>
      <c r="J1851" s="23">
        <v>68.5</v>
      </c>
    </row>
    <row r="1852" spans="1:10" ht="15.75" customHeight="1">
      <c r="A1852" s="24" t="s">
        <v>11</v>
      </c>
      <c r="B1852" s="25">
        <v>46191</v>
      </c>
      <c r="C1852" s="26" t="s">
        <v>45</v>
      </c>
      <c r="D1852" s="27" t="s">
        <v>46</v>
      </c>
      <c r="E1852" s="28" t="s">
        <v>27</v>
      </c>
      <c r="F1852" s="29">
        <v>3417</v>
      </c>
      <c r="G1852" s="30">
        <v>105</v>
      </c>
      <c r="H1852" s="31">
        <v>83</v>
      </c>
      <c r="I1852" s="32">
        <v>3439</v>
      </c>
      <c r="J1852" s="33">
        <v>79</v>
      </c>
    </row>
    <row r="1853" spans="1:10" ht="15.75" customHeight="1">
      <c r="A1853" s="14" t="s">
        <v>11</v>
      </c>
      <c r="B1853" s="15">
        <v>46191</v>
      </c>
      <c r="C1853" s="16" t="s">
        <v>45</v>
      </c>
      <c r="D1853" s="17" t="s">
        <v>46</v>
      </c>
      <c r="E1853" s="18" t="s">
        <v>30</v>
      </c>
      <c r="F1853" s="19">
        <v>5662</v>
      </c>
      <c r="G1853" s="20">
        <v>151</v>
      </c>
      <c r="H1853" s="21">
        <v>106</v>
      </c>
      <c r="I1853" s="22">
        <v>5707</v>
      </c>
      <c r="J1853" s="23">
        <v>70.2</v>
      </c>
    </row>
    <row r="1854" spans="1:10" ht="15.75" customHeight="1">
      <c r="A1854" s="24" t="s">
        <v>11</v>
      </c>
      <c r="B1854" s="25">
        <v>46191</v>
      </c>
      <c r="C1854" s="26" t="s">
        <v>45</v>
      </c>
      <c r="D1854" s="27" t="s">
        <v>46</v>
      </c>
      <c r="E1854" s="28" t="s">
        <v>32</v>
      </c>
      <c r="F1854" s="29">
        <v>2334</v>
      </c>
      <c r="G1854" s="30">
        <v>84</v>
      </c>
      <c r="H1854" s="31">
        <v>73</v>
      </c>
      <c r="I1854" s="32">
        <v>2345</v>
      </c>
      <c r="J1854" s="33">
        <v>86.9</v>
      </c>
    </row>
    <row r="1855" spans="1:10" ht="15.75" customHeight="1">
      <c r="A1855" s="14" t="s">
        <v>11</v>
      </c>
      <c r="B1855" s="15">
        <v>46191</v>
      </c>
      <c r="C1855" s="16" t="s">
        <v>45</v>
      </c>
      <c r="D1855" s="17" t="s">
        <v>46</v>
      </c>
      <c r="E1855" s="18" t="s">
        <v>34</v>
      </c>
      <c r="F1855" s="19">
        <v>5826</v>
      </c>
      <c r="G1855" s="20">
        <v>122</v>
      </c>
      <c r="H1855" s="21">
        <v>89</v>
      </c>
      <c r="I1855" s="22">
        <v>5859</v>
      </c>
      <c r="J1855" s="23">
        <v>73</v>
      </c>
    </row>
    <row r="1856" spans="1:10" ht="15.75" customHeight="1">
      <c r="A1856" s="24" t="s">
        <v>11</v>
      </c>
      <c r="B1856" s="25">
        <v>46191</v>
      </c>
      <c r="C1856" s="26" t="s">
        <v>45</v>
      </c>
      <c r="D1856" s="27" t="s">
        <v>46</v>
      </c>
      <c r="E1856" s="28" t="s">
        <v>25</v>
      </c>
      <c r="F1856" s="29">
        <v>2928</v>
      </c>
      <c r="G1856" s="30">
        <v>108</v>
      </c>
      <c r="H1856" s="31">
        <v>90</v>
      </c>
      <c r="I1856" s="32">
        <v>2946</v>
      </c>
      <c r="J1856" s="33">
        <v>83.3</v>
      </c>
    </row>
    <row r="1857" spans="1:10" ht="15.75" customHeight="1">
      <c r="A1857" s="14" t="s">
        <v>11</v>
      </c>
      <c r="B1857" s="15">
        <v>46191</v>
      </c>
      <c r="C1857" s="16" t="s">
        <v>45</v>
      </c>
      <c r="D1857" s="17" t="s">
        <v>46</v>
      </c>
      <c r="E1857" s="18" t="s">
        <v>35</v>
      </c>
      <c r="F1857" s="19">
        <v>3194</v>
      </c>
      <c r="G1857" s="20">
        <v>118</v>
      </c>
      <c r="H1857" s="21">
        <v>101</v>
      </c>
      <c r="I1857" s="22">
        <v>3211</v>
      </c>
      <c r="J1857" s="35">
        <v>85.6</v>
      </c>
    </row>
    <row r="1858" spans="1:10" ht="15.75" customHeight="1">
      <c r="A1858" s="24" t="s">
        <v>11</v>
      </c>
      <c r="B1858" s="25">
        <v>46191</v>
      </c>
      <c r="C1858" s="26" t="s">
        <v>45</v>
      </c>
      <c r="D1858" s="27" t="s">
        <v>46</v>
      </c>
      <c r="E1858" s="28" t="s">
        <v>29</v>
      </c>
      <c r="F1858" s="29">
        <v>3753</v>
      </c>
      <c r="G1858" s="30">
        <v>87</v>
      </c>
      <c r="H1858" s="31">
        <v>65</v>
      </c>
      <c r="I1858" s="32">
        <v>3775</v>
      </c>
      <c r="J1858" s="34">
        <v>74.7</v>
      </c>
    </row>
    <row r="1859" spans="1:10" ht="15.75" customHeight="1">
      <c r="A1859" s="14" t="s">
        <v>11</v>
      </c>
      <c r="B1859" s="15">
        <v>46191</v>
      </c>
      <c r="C1859" s="16" t="s">
        <v>45</v>
      </c>
      <c r="D1859" s="17" t="s">
        <v>46</v>
      </c>
      <c r="E1859" s="18" t="s">
        <v>31</v>
      </c>
      <c r="F1859" s="19">
        <v>4816</v>
      </c>
      <c r="G1859" s="20">
        <v>146</v>
      </c>
      <c r="H1859" s="21">
        <v>99</v>
      </c>
      <c r="I1859" s="22">
        <v>4863</v>
      </c>
      <c r="J1859" s="23">
        <v>67.8</v>
      </c>
    </row>
    <row r="1860" spans="1:10" ht="15.75" customHeight="1">
      <c r="A1860" s="24" t="s">
        <v>11</v>
      </c>
      <c r="B1860" s="25">
        <v>46191</v>
      </c>
      <c r="C1860" s="26" t="s">
        <v>45</v>
      </c>
      <c r="D1860" s="27" t="s">
        <v>46</v>
      </c>
      <c r="E1860" s="28" t="s">
        <v>33</v>
      </c>
      <c r="F1860" s="29">
        <v>1762</v>
      </c>
      <c r="G1860" s="30">
        <v>70</v>
      </c>
      <c r="H1860" s="31">
        <v>58</v>
      </c>
      <c r="I1860" s="32">
        <v>1774</v>
      </c>
      <c r="J1860" s="33">
        <v>82.9</v>
      </c>
    </row>
    <row r="1861" spans="1:10" ht="15.75" customHeight="1">
      <c r="A1861" s="14" t="s">
        <v>11</v>
      </c>
      <c r="B1861" s="15">
        <v>46191</v>
      </c>
      <c r="C1861" s="16" t="s">
        <v>45</v>
      </c>
      <c r="D1861" s="17" t="s">
        <v>46</v>
      </c>
      <c r="E1861" s="18" t="s">
        <v>36</v>
      </c>
      <c r="F1861" s="19">
        <v>6005</v>
      </c>
      <c r="G1861" s="20">
        <v>166</v>
      </c>
      <c r="H1861" s="21">
        <v>120</v>
      </c>
      <c r="I1861" s="22">
        <v>6051</v>
      </c>
      <c r="J1861" s="23">
        <v>72.3</v>
      </c>
    </row>
    <row r="1862" spans="1:10" ht="15.75" customHeight="1">
      <c r="A1862" s="24" t="s">
        <v>11</v>
      </c>
      <c r="B1862" s="25">
        <v>46192</v>
      </c>
      <c r="C1862" s="26" t="s">
        <v>47</v>
      </c>
      <c r="D1862" s="27" t="s">
        <v>46</v>
      </c>
      <c r="E1862" s="28" t="s">
        <v>26</v>
      </c>
      <c r="F1862" s="29">
        <v>4827</v>
      </c>
      <c r="G1862" s="30">
        <v>141</v>
      </c>
      <c r="H1862" s="31">
        <v>102</v>
      </c>
      <c r="I1862" s="32">
        <v>4866</v>
      </c>
      <c r="J1862" s="34">
        <v>72.3</v>
      </c>
    </row>
    <row r="1863" spans="1:10" ht="15.75" customHeight="1">
      <c r="A1863" s="14" t="s">
        <v>11</v>
      </c>
      <c r="B1863" s="15">
        <v>46192</v>
      </c>
      <c r="C1863" s="16" t="s">
        <v>47</v>
      </c>
      <c r="D1863" s="17" t="s">
        <v>46</v>
      </c>
      <c r="E1863" s="18" t="s">
        <v>27</v>
      </c>
      <c r="F1863" s="19">
        <v>3439</v>
      </c>
      <c r="G1863" s="20">
        <v>105</v>
      </c>
      <c r="H1863" s="21">
        <v>81</v>
      </c>
      <c r="I1863" s="22">
        <v>3463</v>
      </c>
      <c r="J1863" s="35">
        <v>77.099999999999994</v>
      </c>
    </row>
    <row r="1864" spans="1:10" ht="15.75" customHeight="1">
      <c r="A1864" s="24" t="s">
        <v>11</v>
      </c>
      <c r="B1864" s="25">
        <v>46192</v>
      </c>
      <c r="C1864" s="26" t="s">
        <v>47</v>
      </c>
      <c r="D1864" s="27" t="s">
        <v>46</v>
      </c>
      <c r="E1864" s="28" t="s">
        <v>30</v>
      </c>
      <c r="F1864" s="29">
        <v>5707</v>
      </c>
      <c r="G1864" s="30">
        <v>126</v>
      </c>
      <c r="H1864" s="31">
        <v>78</v>
      </c>
      <c r="I1864" s="32">
        <v>5755</v>
      </c>
      <c r="J1864" s="34">
        <v>61.9</v>
      </c>
    </row>
    <row r="1865" spans="1:10" ht="15.75" customHeight="1">
      <c r="A1865" s="14" t="s">
        <v>11</v>
      </c>
      <c r="B1865" s="15">
        <v>46192</v>
      </c>
      <c r="C1865" s="16" t="s">
        <v>47</v>
      </c>
      <c r="D1865" s="17" t="s">
        <v>46</v>
      </c>
      <c r="E1865" s="18" t="s">
        <v>32</v>
      </c>
      <c r="F1865" s="19">
        <v>2345</v>
      </c>
      <c r="G1865" s="20">
        <v>96</v>
      </c>
      <c r="H1865" s="21">
        <v>89</v>
      </c>
      <c r="I1865" s="22">
        <v>2352</v>
      </c>
      <c r="J1865" s="35">
        <v>92.7</v>
      </c>
    </row>
    <row r="1866" spans="1:10" ht="15.75" customHeight="1">
      <c r="A1866" s="24" t="s">
        <v>11</v>
      </c>
      <c r="B1866" s="25">
        <v>46192</v>
      </c>
      <c r="C1866" s="26" t="s">
        <v>47</v>
      </c>
      <c r="D1866" s="27" t="s">
        <v>46</v>
      </c>
      <c r="E1866" s="28" t="s">
        <v>34</v>
      </c>
      <c r="F1866" s="29">
        <v>5859</v>
      </c>
      <c r="G1866" s="30">
        <v>148</v>
      </c>
      <c r="H1866" s="31">
        <v>119</v>
      </c>
      <c r="I1866" s="32">
        <v>5888</v>
      </c>
      <c r="J1866" s="33">
        <v>80.400000000000006</v>
      </c>
    </row>
    <row r="1867" spans="1:10" ht="15.75" customHeight="1">
      <c r="A1867" s="14" t="s">
        <v>11</v>
      </c>
      <c r="B1867" s="15">
        <v>46192</v>
      </c>
      <c r="C1867" s="16" t="s">
        <v>47</v>
      </c>
      <c r="D1867" s="17" t="s">
        <v>46</v>
      </c>
      <c r="E1867" s="18" t="s">
        <v>25</v>
      </c>
      <c r="F1867" s="19">
        <v>2946</v>
      </c>
      <c r="G1867" s="20">
        <v>75</v>
      </c>
      <c r="H1867" s="21">
        <v>62</v>
      </c>
      <c r="I1867" s="22">
        <v>2959</v>
      </c>
      <c r="J1867" s="35">
        <v>82.7</v>
      </c>
    </row>
    <row r="1868" spans="1:10" ht="15.75" customHeight="1">
      <c r="A1868" s="24" t="s">
        <v>11</v>
      </c>
      <c r="B1868" s="25">
        <v>46192</v>
      </c>
      <c r="C1868" s="26" t="s">
        <v>47</v>
      </c>
      <c r="D1868" s="27" t="s">
        <v>46</v>
      </c>
      <c r="E1868" s="28" t="s">
        <v>35</v>
      </c>
      <c r="F1868" s="29">
        <v>3211</v>
      </c>
      <c r="G1868" s="30">
        <v>93</v>
      </c>
      <c r="H1868" s="31">
        <v>75</v>
      </c>
      <c r="I1868" s="32">
        <v>3229</v>
      </c>
      <c r="J1868" s="33">
        <v>80.599999999999994</v>
      </c>
    </row>
    <row r="1869" spans="1:10" ht="15.75" customHeight="1">
      <c r="A1869" s="14" t="s">
        <v>11</v>
      </c>
      <c r="B1869" s="15">
        <v>46192</v>
      </c>
      <c r="C1869" s="16" t="s">
        <v>47</v>
      </c>
      <c r="D1869" s="17" t="s">
        <v>46</v>
      </c>
      <c r="E1869" s="18" t="s">
        <v>29</v>
      </c>
      <c r="F1869" s="19">
        <v>3775</v>
      </c>
      <c r="G1869" s="20">
        <v>67</v>
      </c>
      <c r="H1869" s="21">
        <v>48</v>
      </c>
      <c r="I1869" s="22">
        <v>3794</v>
      </c>
      <c r="J1869" s="23">
        <v>71.599999999999994</v>
      </c>
    </row>
    <row r="1870" spans="1:10" ht="15.75" customHeight="1">
      <c r="A1870" s="24" t="s">
        <v>11</v>
      </c>
      <c r="B1870" s="25">
        <v>46192</v>
      </c>
      <c r="C1870" s="26" t="s">
        <v>47</v>
      </c>
      <c r="D1870" s="27" t="s">
        <v>46</v>
      </c>
      <c r="E1870" s="28" t="s">
        <v>31</v>
      </c>
      <c r="F1870" s="29">
        <v>4863</v>
      </c>
      <c r="G1870" s="30">
        <v>95</v>
      </c>
      <c r="H1870" s="31">
        <v>71</v>
      </c>
      <c r="I1870" s="32">
        <v>4887</v>
      </c>
      <c r="J1870" s="34">
        <v>74.7</v>
      </c>
    </row>
    <row r="1871" spans="1:10" ht="15.75" customHeight="1">
      <c r="A1871" s="14" t="s">
        <v>11</v>
      </c>
      <c r="B1871" s="15">
        <v>46192</v>
      </c>
      <c r="C1871" s="16" t="s">
        <v>47</v>
      </c>
      <c r="D1871" s="17" t="s">
        <v>46</v>
      </c>
      <c r="E1871" s="18" t="s">
        <v>33</v>
      </c>
      <c r="F1871" s="19">
        <v>1774</v>
      </c>
      <c r="G1871" s="20">
        <v>83</v>
      </c>
      <c r="H1871" s="21">
        <v>72</v>
      </c>
      <c r="I1871" s="22">
        <v>1785</v>
      </c>
      <c r="J1871" s="35">
        <v>86.7</v>
      </c>
    </row>
    <row r="1872" spans="1:10" ht="15.75" customHeight="1">
      <c r="A1872" s="24" t="s">
        <v>11</v>
      </c>
      <c r="B1872" s="25">
        <v>46192</v>
      </c>
      <c r="C1872" s="26" t="s">
        <v>47</v>
      </c>
      <c r="D1872" s="27" t="s">
        <v>46</v>
      </c>
      <c r="E1872" s="28" t="s">
        <v>36</v>
      </c>
      <c r="F1872" s="29">
        <v>6051</v>
      </c>
      <c r="G1872" s="30">
        <v>156</v>
      </c>
      <c r="H1872" s="31">
        <v>108</v>
      </c>
      <c r="I1872" s="32">
        <v>6099</v>
      </c>
      <c r="J1872" s="34">
        <v>69.2</v>
      </c>
    </row>
    <row r="1873" spans="1:10" ht="15.75" customHeight="1">
      <c r="A1873" s="36" t="s">
        <v>11</v>
      </c>
      <c r="B1873" s="37">
        <v>46193</v>
      </c>
      <c r="C1873" s="38" t="s">
        <v>48</v>
      </c>
      <c r="D1873" s="39" t="s">
        <v>49</v>
      </c>
      <c r="E1873" s="40" t="s">
        <v>26</v>
      </c>
      <c r="F1873" s="41">
        <v>4866</v>
      </c>
      <c r="G1873" s="42">
        <v>71</v>
      </c>
      <c r="H1873" s="43">
        <v>57</v>
      </c>
      <c r="I1873" s="44">
        <v>4880</v>
      </c>
      <c r="J1873" s="45">
        <v>80.3</v>
      </c>
    </row>
    <row r="1874" spans="1:10" ht="15.75" customHeight="1">
      <c r="A1874" s="36" t="s">
        <v>11</v>
      </c>
      <c r="B1874" s="37">
        <v>46193</v>
      </c>
      <c r="C1874" s="38" t="s">
        <v>48</v>
      </c>
      <c r="D1874" s="39" t="s">
        <v>49</v>
      </c>
      <c r="E1874" s="40" t="s">
        <v>27</v>
      </c>
      <c r="F1874" s="41">
        <v>3463</v>
      </c>
      <c r="G1874" s="42">
        <v>65</v>
      </c>
      <c r="H1874" s="43">
        <v>48</v>
      </c>
      <c r="I1874" s="44">
        <v>3480</v>
      </c>
      <c r="J1874" s="46">
        <v>73.8</v>
      </c>
    </row>
    <row r="1875" spans="1:10" ht="15.75" customHeight="1">
      <c r="A1875" s="36" t="s">
        <v>11</v>
      </c>
      <c r="B1875" s="37">
        <v>46193</v>
      </c>
      <c r="C1875" s="38" t="s">
        <v>48</v>
      </c>
      <c r="D1875" s="39" t="s">
        <v>49</v>
      </c>
      <c r="E1875" s="40" t="s">
        <v>30</v>
      </c>
      <c r="F1875" s="41">
        <v>5755</v>
      </c>
      <c r="G1875" s="42">
        <v>51</v>
      </c>
      <c r="H1875" s="43">
        <v>30</v>
      </c>
      <c r="I1875" s="44">
        <v>5776</v>
      </c>
      <c r="J1875" s="46">
        <v>58.8</v>
      </c>
    </row>
    <row r="1876" spans="1:10" ht="15.75" customHeight="1">
      <c r="A1876" s="36" t="s">
        <v>11</v>
      </c>
      <c r="B1876" s="37">
        <v>46193</v>
      </c>
      <c r="C1876" s="38" t="s">
        <v>48</v>
      </c>
      <c r="D1876" s="39" t="s">
        <v>49</v>
      </c>
      <c r="E1876" s="40" t="s">
        <v>32</v>
      </c>
      <c r="F1876" s="41">
        <v>2352</v>
      </c>
      <c r="G1876" s="42">
        <v>57</v>
      </c>
      <c r="H1876" s="43">
        <v>45</v>
      </c>
      <c r="I1876" s="44">
        <v>2364</v>
      </c>
      <c r="J1876" s="45">
        <v>78.900000000000006</v>
      </c>
    </row>
    <row r="1877" spans="1:10" ht="15.75" customHeight="1">
      <c r="A1877" s="36" t="s">
        <v>11</v>
      </c>
      <c r="B1877" s="37">
        <v>46193</v>
      </c>
      <c r="C1877" s="38" t="s">
        <v>48</v>
      </c>
      <c r="D1877" s="39" t="s">
        <v>49</v>
      </c>
      <c r="E1877" s="40" t="s">
        <v>34</v>
      </c>
      <c r="F1877" s="41">
        <v>5888</v>
      </c>
      <c r="G1877" s="42">
        <v>80</v>
      </c>
      <c r="H1877" s="43">
        <v>56</v>
      </c>
      <c r="I1877" s="44">
        <v>5912</v>
      </c>
      <c r="J1877" s="46">
        <v>70</v>
      </c>
    </row>
    <row r="1878" spans="1:10" ht="15.75" customHeight="1">
      <c r="A1878" s="36" t="s">
        <v>11</v>
      </c>
      <c r="B1878" s="37">
        <v>46193</v>
      </c>
      <c r="C1878" s="38" t="s">
        <v>48</v>
      </c>
      <c r="D1878" s="39" t="s">
        <v>49</v>
      </c>
      <c r="E1878" s="40" t="s">
        <v>25</v>
      </c>
      <c r="F1878" s="41">
        <v>2959</v>
      </c>
      <c r="G1878" s="42">
        <v>23</v>
      </c>
      <c r="H1878" s="43">
        <v>15</v>
      </c>
      <c r="I1878" s="44">
        <v>2967</v>
      </c>
      <c r="J1878" s="46">
        <v>65.2</v>
      </c>
    </row>
    <row r="1879" spans="1:10" ht="15.75" customHeight="1">
      <c r="A1879" s="36" t="s">
        <v>11</v>
      </c>
      <c r="B1879" s="37">
        <v>46193</v>
      </c>
      <c r="C1879" s="38" t="s">
        <v>48</v>
      </c>
      <c r="D1879" s="39" t="s">
        <v>49</v>
      </c>
      <c r="E1879" s="40" t="s">
        <v>35</v>
      </c>
      <c r="F1879" s="41">
        <v>3229</v>
      </c>
      <c r="G1879" s="42">
        <v>56</v>
      </c>
      <c r="H1879" s="43">
        <v>45</v>
      </c>
      <c r="I1879" s="44">
        <v>3240</v>
      </c>
      <c r="J1879" s="45">
        <v>80.400000000000006</v>
      </c>
    </row>
    <row r="1880" spans="1:10" ht="15.75" customHeight="1">
      <c r="A1880" s="36" t="s">
        <v>11</v>
      </c>
      <c r="B1880" s="37">
        <v>46193</v>
      </c>
      <c r="C1880" s="38" t="s">
        <v>48</v>
      </c>
      <c r="D1880" s="39" t="s">
        <v>49</v>
      </c>
      <c r="E1880" s="40" t="s">
        <v>29</v>
      </c>
      <c r="F1880" s="41">
        <v>3794</v>
      </c>
      <c r="G1880" s="42">
        <v>56</v>
      </c>
      <c r="H1880" s="43">
        <v>37</v>
      </c>
      <c r="I1880" s="44">
        <v>3813</v>
      </c>
      <c r="J1880" s="46">
        <v>66.099999999999994</v>
      </c>
    </row>
    <row r="1881" spans="1:10" ht="15.75" customHeight="1">
      <c r="A1881" s="36" t="s">
        <v>11</v>
      </c>
      <c r="B1881" s="37">
        <v>46193</v>
      </c>
      <c r="C1881" s="38" t="s">
        <v>48</v>
      </c>
      <c r="D1881" s="39" t="s">
        <v>49</v>
      </c>
      <c r="E1881" s="40" t="s">
        <v>31</v>
      </c>
      <c r="F1881" s="41">
        <v>4887</v>
      </c>
      <c r="G1881" s="42">
        <v>77</v>
      </c>
      <c r="H1881" s="43">
        <v>53</v>
      </c>
      <c r="I1881" s="44">
        <v>4911</v>
      </c>
      <c r="J1881" s="46">
        <v>68.8</v>
      </c>
    </row>
    <row r="1882" spans="1:10" ht="15.75" customHeight="1">
      <c r="A1882" s="36" t="s">
        <v>11</v>
      </c>
      <c r="B1882" s="37">
        <v>46193</v>
      </c>
      <c r="C1882" s="38" t="s">
        <v>48</v>
      </c>
      <c r="D1882" s="39" t="s">
        <v>49</v>
      </c>
      <c r="E1882" s="40" t="s">
        <v>33</v>
      </c>
      <c r="F1882" s="41">
        <v>1785</v>
      </c>
      <c r="G1882" s="42">
        <v>22</v>
      </c>
      <c r="H1882" s="43">
        <v>21</v>
      </c>
      <c r="I1882" s="44">
        <v>1786</v>
      </c>
      <c r="J1882" s="45">
        <v>95.5</v>
      </c>
    </row>
    <row r="1883" spans="1:10" ht="15.75" customHeight="1">
      <c r="A1883" s="36" t="s">
        <v>11</v>
      </c>
      <c r="B1883" s="37">
        <v>46193</v>
      </c>
      <c r="C1883" s="38" t="s">
        <v>48</v>
      </c>
      <c r="D1883" s="39" t="s">
        <v>49</v>
      </c>
      <c r="E1883" s="40" t="s">
        <v>36</v>
      </c>
      <c r="F1883" s="41">
        <v>6099</v>
      </c>
      <c r="G1883" s="42">
        <v>48</v>
      </c>
      <c r="H1883" s="43">
        <v>35</v>
      </c>
      <c r="I1883" s="44">
        <v>6112</v>
      </c>
      <c r="J1883" s="46">
        <v>72.900000000000006</v>
      </c>
    </row>
    <row r="1884" spans="1:10" ht="15.75" customHeight="1">
      <c r="A1884" s="36" t="s">
        <v>11</v>
      </c>
      <c r="B1884" s="37">
        <v>46194</v>
      </c>
      <c r="C1884" s="38" t="s">
        <v>50</v>
      </c>
      <c r="D1884" s="39" t="s">
        <v>49</v>
      </c>
      <c r="E1884" s="40" t="s">
        <v>26</v>
      </c>
      <c r="F1884" s="41">
        <v>4880</v>
      </c>
      <c r="G1884" s="42">
        <v>37</v>
      </c>
      <c r="H1884" s="43">
        <v>27</v>
      </c>
      <c r="I1884" s="44">
        <v>4890</v>
      </c>
      <c r="J1884" s="46">
        <v>73</v>
      </c>
    </row>
    <row r="1885" spans="1:10" ht="15.75" customHeight="1">
      <c r="A1885" s="36" t="s">
        <v>11</v>
      </c>
      <c r="B1885" s="37">
        <v>46194</v>
      </c>
      <c r="C1885" s="38" t="s">
        <v>50</v>
      </c>
      <c r="D1885" s="39" t="s">
        <v>49</v>
      </c>
      <c r="E1885" s="40" t="s">
        <v>27</v>
      </c>
      <c r="F1885" s="41">
        <v>3480</v>
      </c>
      <c r="G1885" s="42">
        <v>62</v>
      </c>
      <c r="H1885" s="43">
        <v>54</v>
      </c>
      <c r="I1885" s="44">
        <v>3488</v>
      </c>
      <c r="J1885" s="45">
        <v>87.1</v>
      </c>
    </row>
    <row r="1886" spans="1:10" ht="15.75" customHeight="1">
      <c r="A1886" s="36" t="s">
        <v>11</v>
      </c>
      <c r="B1886" s="37">
        <v>46194</v>
      </c>
      <c r="C1886" s="38" t="s">
        <v>50</v>
      </c>
      <c r="D1886" s="39" t="s">
        <v>49</v>
      </c>
      <c r="E1886" s="40" t="s">
        <v>30</v>
      </c>
      <c r="F1886" s="41">
        <v>5776</v>
      </c>
      <c r="G1886" s="42">
        <v>38</v>
      </c>
      <c r="H1886" s="43">
        <v>24</v>
      </c>
      <c r="I1886" s="44">
        <v>5790</v>
      </c>
      <c r="J1886" s="46">
        <v>63.2</v>
      </c>
    </row>
    <row r="1887" spans="1:10" ht="15.75" customHeight="1">
      <c r="A1887" s="36" t="s">
        <v>11</v>
      </c>
      <c r="B1887" s="37">
        <v>46194</v>
      </c>
      <c r="C1887" s="38" t="s">
        <v>50</v>
      </c>
      <c r="D1887" s="39" t="s">
        <v>49</v>
      </c>
      <c r="E1887" s="40" t="s">
        <v>32</v>
      </c>
      <c r="F1887" s="41">
        <v>2364</v>
      </c>
      <c r="G1887" s="42">
        <v>50</v>
      </c>
      <c r="H1887" s="43">
        <v>39</v>
      </c>
      <c r="I1887" s="44">
        <v>2375</v>
      </c>
      <c r="J1887" s="45">
        <v>78</v>
      </c>
    </row>
    <row r="1888" spans="1:10" ht="15.75" customHeight="1">
      <c r="A1888" s="36" t="s">
        <v>11</v>
      </c>
      <c r="B1888" s="37">
        <v>46194</v>
      </c>
      <c r="C1888" s="38" t="s">
        <v>50</v>
      </c>
      <c r="D1888" s="39" t="s">
        <v>49</v>
      </c>
      <c r="E1888" s="40" t="s">
        <v>34</v>
      </c>
      <c r="F1888" s="41">
        <v>5912</v>
      </c>
      <c r="G1888" s="42">
        <v>42</v>
      </c>
      <c r="H1888" s="43">
        <v>32</v>
      </c>
      <c r="I1888" s="44">
        <v>5922</v>
      </c>
      <c r="J1888" s="45">
        <v>76.2</v>
      </c>
    </row>
    <row r="1889" spans="1:10" ht="15.75" customHeight="1">
      <c r="A1889" s="36" t="s">
        <v>11</v>
      </c>
      <c r="B1889" s="37">
        <v>46194</v>
      </c>
      <c r="C1889" s="38" t="s">
        <v>50</v>
      </c>
      <c r="D1889" s="39" t="s">
        <v>49</v>
      </c>
      <c r="E1889" s="40" t="s">
        <v>25</v>
      </c>
      <c r="F1889" s="41">
        <v>2967</v>
      </c>
      <c r="G1889" s="42">
        <v>51</v>
      </c>
      <c r="H1889" s="43">
        <v>36</v>
      </c>
      <c r="I1889" s="44">
        <v>2982</v>
      </c>
      <c r="J1889" s="46">
        <v>70.599999999999994</v>
      </c>
    </row>
    <row r="1890" spans="1:10" ht="15.75" customHeight="1">
      <c r="A1890" s="36" t="s">
        <v>11</v>
      </c>
      <c r="B1890" s="37">
        <v>46194</v>
      </c>
      <c r="C1890" s="38" t="s">
        <v>50</v>
      </c>
      <c r="D1890" s="39" t="s">
        <v>49</v>
      </c>
      <c r="E1890" s="40" t="s">
        <v>35</v>
      </c>
      <c r="F1890" s="41">
        <v>3240</v>
      </c>
      <c r="G1890" s="42">
        <v>48</v>
      </c>
      <c r="H1890" s="43">
        <v>34</v>
      </c>
      <c r="I1890" s="44">
        <v>3254</v>
      </c>
      <c r="J1890" s="46">
        <v>70.8</v>
      </c>
    </row>
    <row r="1891" spans="1:10" ht="15.75" customHeight="1">
      <c r="A1891" s="36" t="s">
        <v>11</v>
      </c>
      <c r="B1891" s="37">
        <v>46194</v>
      </c>
      <c r="C1891" s="38" t="s">
        <v>50</v>
      </c>
      <c r="D1891" s="39" t="s">
        <v>49</v>
      </c>
      <c r="E1891" s="40" t="s">
        <v>29</v>
      </c>
      <c r="F1891" s="41">
        <v>3813</v>
      </c>
      <c r="G1891" s="42">
        <v>26</v>
      </c>
      <c r="H1891" s="43">
        <v>19</v>
      </c>
      <c r="I1891" s="44">
        <v>3820</v>
      </c>
      <c r="J1891" s="46">
        <v>73.099999999999994</v>
      </c>
    </row>
    <row r="1892" spans="1:10" ht="15.75" customHeight="1">
      <c r="A1892" s="36" t="s">
        <v>11</v>
      </c>
      <c r="B1892" s="37">
        <v>46194</v>
      </c>
      <c r="C1892" s="38" t="s">
        <v>50</v>
      </c>
      <c r="D1892" s="39" t="s">
        <v>49</v>
      </c>
      <c r="E1892" s="40" t="s">
        <v>31</v>
      </c>
      <c r="F1892" s="41">
        <v>4911</v>
      </c>
      <c r="G1892" s="42">
        <v>70</v>
      </c>
      <c r="H1892" s="43">
        <v>53</v>
      </c>
      <c r="I1892" s="44">
        <v>4928</v>
      </c>
      <c r="J1892" s="45">
        <v>75.7</v>
      </c>
    </row>
    <row r="1893" spans="1:10" ht="15.75" customHeight="1">
      <c r="A1893" s="36" t="s">
        <v>11</v>
      </c>
      <c r="B1893" s="37">
        <v>46194</v>
      </c>
      <c r="C1893" s="38" t="s">
        <v>50</v>
      </c>
      <c r="D1893" s="39" t="s">
        <v>49</v>
      </c>
      <c r="E1893" s="40" t="s">
        <v>33</v>
      </c>
      <c r="F1893" s="41">
        <v>1786</v>
      </c>
      <c r="G1893" s="42">
        <v>25</v>
      </c>
      <c r="H1893" s="43">
        <v>21</v>
      </c>
      <c r="I1893" s="44">
        <v>1790</v>
      </c>
      <c r="J1893" s="45">
        <v>84</v>
      </c>
    </row>
    <row r="1894" spans="1:10" ht="15.75" customHeight="1">
      <c r="A1894" s="36" t="s">
        <v>11</v>
      </c>
      <c r="B1894" s="37">
        <v>46194</v>
      </c>
      <c r="C1894" s="38" t="s">
        <v>50</v>
      </c>
      <c r="D1894" s="39" t="s">
        <v>49</v>
      </c>
      <c r="E1894" s="40" t="s">
        <v>36</v>
      </c>
      <c r="F1894" s="41">
        <v>6112</v>
      </c>
      <c r="G1894" s="42">
        <v>56</v>
      </c>
      <c r="H1894" s="43">
        <v>41</v>
      </c>
      <c r="I1894" s="44">
        <v>6127</v>
      </c>
      <c r="J1894" s="46">
        <v>73.2</v>
      </c>
    </row>
    <row r="1895" spans="1:10" ht="15.75" customHeight="1">
      <c r="A1895" s="14" t="s">
        <v>11</v>
      </c>
      <c r="B1895" s="15">
        <v>46195</v>
      </c>
      <c r="C1895" s="16" t="s">
        <v>51</v>
      </c>
      <c r="D1895" s="17" t="s">
        <v>46</v>
      </c>
      <c r="E1895" s="18" t="s">
        <v>26</v>
      </c>
      <c r="F1895" s="19">
        <v>4890</v>
      </c>
      <c r="G1895" s="20">
        <v>94</v>
      </c>
      <c r="H1895" s="21">
        <v>71</v>
      </c>
      <c r="I1895" s="22">
        <v>4913</v>
      </c>
      <c r="J1895" s="35">
        <v>75.5</v>
      </c>
    </row>
    <row r="1896" spans="1:10" ht="15.75" customHeight="1">
      <c r="A1896" s="24" t="s">
        <v>11</v>
      </c>
      <c r="B1896" s="25">
        <v>46195</v>
      </c>
      <c r="C1896" s="26" t="s">
        <v>51</v>
      </c>
      <c r="D1896" s="27" t="s">
        <v>46</v>
      </c>
      <c r="E1896" s="28" t="s">
        <v>27</v>
      </c>
      <c r="F1896" s="29">
        <v>3488</v>
      </c>
      <c r="G1896" s="30">
        <v>80</v>
      </c>
      <c r="H1896" s="31">
        <v>70</v>
      </c>
      <c r="I1896" s="32">
        <v>3498</v>
      </c>
      <c r="J1896" s="33">
        <v>87.5</v>
      </c>
    </row>
    <row r="1897" spans="1:10" ht="15.75" customHeight="1">
      <c r="A1897" s="14" t="s">
        <v>11</v>
      </c>
      <c r="B1897" s="15">
        <v>46195</v>
      </c>
      <c r="C1897" s="16" t="s">
        <v>51</v>
      </c>
      <c r="D1897" s="17" t="s">
        <v>46</v>
      </c>
      <c r="E1897" s="18" t="s">
        <v>30</v>
      </c>
      <c r="F1897" s="19">
        <v>5790</v>
      </c>
      <c r="G1897" s="20">
        <v>122</v>
      </c>
      <c r="H1897" s="21">
        <v>95</v>
      </c>
      <c r="I1897" s="22">
        <v>5817</v>
      </c>
      <c r="J1897" s="35">
        <v>77.900000000000006</v>
      </c>
    </row>
    <row r="1898" spans="1:10" ht="15.75" customHeight="1">
      <c r="A1898" s="24" t="s">
        <v>11</v>
      </c>
      <c r="B1898" s="25">
        <v>46195</v>
      </c>
      <c r="C1898" s="26" t="s">
        <v>51</v>
      </c>
      <c r="D1898" s="27" t="s">
        <v>46</v>
      </c>
      <c r="E1898" s="28" t="s">
        <v>32</v>
      </c>
      <c r="F1898" s="29">
        <v>2375</v>
      </c>
      <c r="G1898" s="30">
        <v>71</v>
      </c>
      <c r="H1898" s="31">
        <v>53</v>
      </c>
      <c r="I1898" s="32">
        <v>2393</v>
      </c>
      <c r="J1898" s="34">
        <v>74.599999999999994</v>
      </c>
    </row>
    <row r="1899" spans="1:10" ht="15.75" customHeight="1">
      <c r="A1899" s="14" t="s">
        <v>11</v>
      </c>
      <c r="B1899" s="15">
        <v>46195</v>
      </c>
      <c r="C1899" s="16" t="s">
        <v>51</v>
      </c>
      <c r="D1899" s="17" t="s">
        <v>46</v>
      </c>
      <c r="E1899" s="18" t="s">
        <v>34</v>
      </c>
      <c r="F1899" s="19">
        <v>5922</v>
      </c>
      <c r="G1899" s="20">
        <v>143</v>
      </c>
      <c r="H1899" s="21">
        <v>113</v>
      </c>
      <c r="I1899" s="22">
        <v>5952</v>
      </c>
      <c r="J1899" s="35">
        <v>79</v>
      </c>
    </row>
    <row r="1900" spans="1:10" ht="15.75" customHeight="1">
      <c r="A1900" s="24" t="s">
        <v>11</v>
      </c>
      <c r="B1900" s="25">
        <v>46195</v>
      </c>
      <c r="C1900" s="26" t="s">
        <v>51</v>
      </c>
      <c r="D1900" s="27" t="s">
        <v>46</v>
      </c>
      <c r="E1900" s="28" t="s">
        <v>25</v>
      </c>
      <c r="F1900" s="29">
        <v>2982</v>
      </c>
      <c r="G1900" s="30">
        <v>68</v>
      </c>
      <c r="H1900" s="31">
        <v>55</v>
      </c>
      <c r="I1900" s="32">
        <v>2995</v>
      </c>
      <c r="J1900" s="33">
        <v>80.900000000000006</v>
      </c>
    </row>
    <row r="1901" spans="1:10" ht="15.75" customHeight="1">
      <c r="A1901" s="14" t="s">
        <v>11</v>
      </c>
      <c r="B1901" s="15">
        <v>46195</v>
      </c>
      <c r="C1901" s="16" t="s">
        <v>51</v>
      </c>
      <c r="D1901" s="17" t="s">
        <v>46</v>
      </c>
      <c r="E1901" s="18" t="s">
        <v>35</v>
      </c>
      <c r="F1901" s="19">
        <v>3254</v>
      </c>
      <c r="G1901" s="20">
        <v>99</v>
      </c>
      <c r="H1901" s="21">
        <v>76</v>
      </c>
      <c r="I1901" s="22">
        <v>3277</v>
      </c>
      <c r="J1901" s="35">
        <v>76.8</v>
      </c>
    </row>
    <row r="1902" spans="1:10" ht="15.75" customHeight="1">
      <c r="A1902" s="24" t="s">
        <v>11</v>
      </c>
      <c r="B1902" s="25">
        <v>46195</v>
      </c>
      <c r="C1902" s="26" t="s">
        <v>51</v>
      </c>
      <c r="D1902" s="27" t="s">
        <v>46</v>
      </c>
      <c r="E1902" s="28" t="s">
        <v>29</v>
      </c>
      <c r="F1902" s="29">
        <v>3820</v>
      </c>
      <c r="G1902" s="30">
        <v>104</v>
      </c>
      <c r="H1902" s="31">
        <v>88</v>
      </c>
      <c r="I1902" s="32">
        <v>3836</v>
      </c>
      <c r="J1902" s="33">
        <v>84.6</v>
      </c>
    </row>
    <row r="1903" spans="1:10" ht="15.75" customHeight="1">
      <c r="A1903" s="14" t="s">
        <v>11</v>
      </c>
      <c r="B1903" s="15">
        <v>46195</v>
      </c>
      <c r="C1903" s="16" t="s">
        <v>51</v>
      </c>
      <c r="D1903" s="17" t="s">
        <v>46</v>
      </c>
      <c r="E1903" s="18" t="s">
        <v>31</v>
      </c>
      <c r="F1903" s="19">
        <v>4928</v>
      </c>
      <c r="G1903" s="20">
        <v>136</v>
      </c>
      <c r="H1903" s="21">
        <v>113</v>
      </c>
      <c r="I1903" s="22">
        <v>4951</v>
      </c>
      <c r="J1903" s="35">
        <v>83.1</v>
      </c>
    </row>
    <row r="1904" spans="1:10" ht="15.75" customHeight="1">
      <c r="A1904" s="24" t="s">
        <v>11</v>
      </c>
      <c r="B1904" s="25">
        <v>46195</v>
      </c>
      <c r="C1904" s="26" t="s">
        <v>51</v>
      </c>
      <c r="D1904" s="27" t="s">
        <v>46</v>
      </c>
      <c r="E1904" s="28" t="s">
        <v>33</v>
      </c>
      <c r="F1904" s="29">
        <v>1790</v>
      </c>
      <c r="G1904" s="30">
        <v>82</v>
      </c>
      <c r="H1904" s="31">
        <v>79</v>
      </c>
      <c r="I1904" s="32">
        <v>1793</v>
      </c>
      <c r="J1904" s="33">
        <v>96.3</v>
      </c>
    </row>
    <row r="1905" spans="1:10" ht="15.75" customHeight="1">
      <c r="A1905" s="14" t="s">
        <v>11</v>
      </c>
      <c r="B1905" s="15">
        <v>46195</v>
      </c>
      <c r="C1905" s="16" t="s">
        <v>51</v>
      </c>
      <c r="D1905" s="17" t="s">
        <v>46</v>
      </c>
      <c r="E1905" s="18" t="s">
        <v>36</v>
      </c>
      <c r="F1905" s="19">
        <v>6127</v>
      </c>
      <c r="G1905" s="20">
        <v>136</v>
      </c>
      <c r="H1905" s="21">
        <v>84</v>
      </c>
      <c r="I1905" s="22">
        <v>6179</v>
      </c>
      <c r="J1905" s="23">
        <v>61.8</v>
      </c>
    </row>
    <row r="1906" spans="1:10" ht="15.75" customHeight="1">
      <c r="A1906" s="24" t="s">
        <v>11</v>
      </c>
      <c r="B1906" s="25">
        <v>46196</v>
      </c>
      <c r="C1906" s="26" t="s">
        <v>52</v>
      </c>
      <c r="D1906" s="27" t="s">
        <v>46</v>
      </c>
      <c r="E1906" s="28" t="s">
        <v>26</v>
      </c>
      <c r="F1906" s="29">
        <v>4913</v>
      </c>
      <c r="G1906" s="30">
        <v>80</v>
      </c>
      <c r="H1906" s="31">
        <v>60</v>
      </c>
      <c r="I1906" s="32">
        <v>4933</v>
      </c>
      <c r="J1906" s="33">
        <v>75</v>
      </c>
    </row>
    <row r="1907" spans="1:10" ht="15.75" customHeight="1">
      <c r="A1907" s="14" t="s">
        <v>11</v>
      </c>
      <c r="B1907" s="15">
        <v>46196</v>
      </c>
      <c r="C1907" s="16" t="s">
        <v>52</v>
      </c>
      <c r="D1907" s="17" t="s">
        <v>46</v>
      </c>
      <c r="E1907" s="18" t="s">
        <v>27</v>
      </c>
      <c r="F1907" s="19">
        <v>3498</v>
      </c>
      <c r="G1907" s="20">
        <v>94</v>
      </c>
      <c r="H1907" s="21">
        <v>72</v>
      </c>
      <c r="I1907" s="22">
        <v>3520</v>
      </c>
      <c r="J1907" s="35">
        <v>76.599999999999994</v>
      </c>
    </row>
    <row r="1908" spans="1:10" ht="15.75" customHeight="1">
      <c r="A1908" s="24" t="s">
        <v>11</v>
      </c>
      <c r="B1908" s="25">
        <v>46196</v>
      </c>
      <c r="C1908" s="26" t="s">
        <v>52</v>
      </c>
      <c r="D1908" s="27" t="s">
        <v>46</v>
      </c>
      <c r="E1908" s="28" t="s">
        <v>30</v>
      </c>
      <c r="F1908" s="29">
        <v>5817</v>
      </c>
      <c r="G1908" s="30">
        <v>147</v>
      </c>
      <c r="H1908" s="31">
        <v>112</v>
      </c>
      <c r="I1908" s="32">
        <v>5852</v>
      </c>
      <c r="J1908" s="33">
        <v>76.2</v>
      </c>
    </row>
    <row r="1909" spans="1:10" ht="15.75" customHeight="1">
      <c r="A1909" s="14" t="s">
        <v>11</v>
      </c>
      <c r="B1909" s="15">
        <v>46196</v>
      </c>
      <c r="C1909" s="16" t="s">
        <v>52</v>
      </c>
      <c r="D1909" s="17" t="s">
        <v>46</v>
      </c>
      <c r="E1909" s="18" t="s">
        <v>32</v>
      </c>
      <c r="F1909" s="19">
        <v>2393</v>
      </c>
      <c r="G1909" s="20">
        <v>77</v>
      </c>
      <c r="H1909" s="21">
        <v>67</v>
      </c>
      <c r="I1909" s="22">
        <v>2403</v>
      </c>
      <c r="J1909" s="35">
        <v>87</v>
      </c>
    </row>
    <row r="1910" spans="1:10" ht="15.75" customHeight="1">
      <c r="A1910" s="24" t="s">
        <v>11</v>
      </c>
      <c r="B1910" s="25">
        <v>46196</v>
      </c>
      <c r="C1910" s="26" t="s">
        <v>52</v>
      </c>
      <c r="D1910" s="27" t="s">
        <v>46</v>
      </c>
      <c r="E1910" s="28" t="s">
        <v>34</v>
      </c>
      <c r="F1910" s="29">
        <v>5952</v>
      </c>
      <c r="G1910" s="30">
        <v>138</v>
      </c>
      <c r="H1910" s="31">
        <v>103</v>
      </c>
      <c r="I1910" s="32">
        <v>5987</v>
      </c>
      <c r="J1910" s="34">
        <v>74.599999999999994</v>
      </c>
    </row>
    <row r="1911" spans="1:10" ht="15.75" customHeight="1">
      <c r="A1911" s="14" t="s">
        <v>11</v>
      </c>
      <c r="B1911" s="15">
        <v>46196</v>
      </c>
      <c r="C1911" s="16" t="s">
        <v>52</v>
      </c>
      <c r="D1911" s="17" t="s">
        <v>46</v>
      </c>
      <c r="E1911" s="18" t="s">
        <v>25</v>
      </c>
      <c r="F1911" s="19">
        <v>2995</v>
      </c>
      <c r="G1911" s="20">
        <v>96</v>
      </c>
      <c r="H1911" s="21">
        <v>83</v>
      </c>
      <c r="I1911" s="22">
        <v>3008</v>
      </c>
      <c r="J1911" s="35">
        <v>86.5</v>
      </c>
    </row>
    <row r="1912" spans="1:10" ht="15.75" customHeight="1">
      <c r="A1912" s="24" t="s">
        <v>11</v>
      </c>
      <c r="B1912" s="25">
        <v>46196</v>
      </c>
      <c r="C1912" s="26" t="s">
        <v>52</v>
      </c>
      <c r="D1912" s="27" t="s">
        <v>46</v>
      </c>
      <c r="E1912" s="28" t="s">
        <v>35</v>
      </c>
      <c r="F1912" s="29">
        <v>3277</v>
      </c>
      <c r="G1912" s="30">
        <v>76</v>
      </c>
      <c r="H1912" s="31">
        <v>62</v>
      </c>
      <c r="I1912" s="32">
        <v>3291</v>
      </c>
      <c r="J1912" s="33">
        <v>81.599999999999994</v>
      </c>
    </row>
    <row r="1913" spans="1:10" ht="15.75" customHeight="1">
      <c r="A1913" s="14" t="s">
        <v>11</v>
      </c>
      <c r="B1913" s="15">
        <v>46196</v>
      </c>
      <c r="C1913" s="16" t="s">
        <v>52</v>
      </c>
      <c r="D1913" s="17" t="s">
        <v>46</v>
      </c>
      <c r="E1913" s="18" t="s">
        <v>29</v>
      </c>
      <c r="F1913" s="19">
        <v>3836</v>
      </c>
      <c r="G1913" s="20">
        <v>106</v>
      </c>
      <c r="H1913" s="21">
        <v>80</v>
      </c>
      <c r="I1913" s="22">
        <v>3862</v>
      </c>
      <c r="J1913" s="35">
        <v>75.5</v>
      </c>
    </row>
    <row r="1914" spans="1:10" ht="15.75" customHeight="1">
      <c r="A1914" s="24" t="s">
        <v>11</v>
      </c>
      <c r="B1914" s="25">
        <v>46196</v>
      </c>
      <c r="C1914" s="26" t="s">
        <v>52</v>
      </c>
      <c r="D1914" s="27" t="s">
        <v>46</v>
      </c>
      <c r="E1914" s="28" t="s">
        <v>31</v>
      </c>
      <c r="F1914" s="29">
        <v>4951</v>
      </c>
      <c r="G1914" s="30">
        <v>115</v>
      </c>
      <c r="H1914" s="31">
        <v>74</v>
      </c>
      <c r="I1914" s="32">
        <v>4992</v>
      </c>
      <c r="J1914" s="34">
        <v>64.3</v>
      </c>
    </row>
    <row r="1915" spans="1:10" ht="15.75" customHeight="1">
      <c r="A1915" s="14" t="s">
        <v>11</v>
      </c>
      <c r="B1915" s="15">
        <v>46196</v>
      </c>
      <c r="C1915" s="16" t="s">
        <v>52</v>
      </c>
      <c r="D1915" s="17" t="s">
        <v>46</v>
      </c>
      <c r="E1915" s="18" t="s">
        <v>33</v>
      </c>
      <c r="F1915" s="19">
        <v>1793</v>
      </c>
      <c r="G1915" s="20">
        <v>97</v>
      </c>
      <c r="H1915" s="21">
        <v>78</v>
      </c>
      <c r="I1915" s="22">
        <v>1812</v>
      </c>
      <c r="J1915" s="35">
        <v>80.400000000000006</v>
      </c>
    </row>
    <row r="1916" spans="1:10" ht="15.75" customHeight="1">
      <c r="A1916" s="24" t="s">
        <v>11</v>
      </c>
      <c r="B1916" s="25">
        <v>46196</v>
      </c>
      <c r="C1916" s="26" t="s">
        <v>52</v>
      </c>
      <c r="D1916" s="27" t="s">
        <v>46</v>
      </c>
      <c r="E1916" s="28" t="s">
        <v>36</v>
      </c>
      <c r="F1916" s="29">
        <v>6179</v>
      </c>
      <c r="G1916" s="30">
        <v>154</v>
      </c>
      <c r="H1916" s="31">
        <v>112</v>
      </c>
      <c r="I1916" s="32">
        <v>6221</v>
      </c>
      <c r="J1916" s="34">
        <v>72.7</v>
      </c>
    </row>
    <row r="1917" spans="1:10" ht="15.75" customHeight="1">
      <c r="A1917" s="14" t="s">
        <v>11</v>
      </c>
      <c r="B1917" s="15">
        <v>46197</v>
      </c>
      <c r="C1917" s="16" t="s">
        <v>53</v>
      </c>
      <c r="D1917" s="17" t="s">
        <v>46</v>
      </c>
      <c r="E1917" s="18" t="s">
        <v>26</v>
      </c>
      <c r="F1917" s="19">
        <v>4933</v>
      </c>
      <c r="G1917" s="20">
        <v>117</v>
      </c>
      <c r="H1917" s="21">
        <v>87</v>
      </c>
      <c r="I1917" s="22">
        <v>4963</v>
      </c>
      <c r="J1917" s="23">
        <v>74.400000000000006</v>
      </c>
    </row>
    <row r="1918" spans="1:10" ht="15.75" customHeight="1">
      <c r="A1918" s="24" t="s">
        <v>11</v>
      </c>
      <c r="B1918" s="25">
        <v>46197</v>
      </c>
      <c r="C1918" s="26" t="s">
        <v>53</v>
      </c>
      <c r="D1918" s="27" t="s">
        <v>46</v>
      </c>
      <c r="E1918" s="28" t="s">
        <v>27</v>
      </c>
      <c r="F1918" s="29">
        <v>3520</v>
      </c>
      <c r="G1918" s="30">
        <v>109</v>
      </c>
      <c r="H1918" s="31">
        <v>83</v>
      </c>
      <c r="I1918" s="32">
        <v>3546</v>
      </c>
      <c r="J1918" s="33">
        <v>76.099999999999994</v>
      </c>
    </row>
    <row r="1919" spans="1:10" ht="15.75" customHeight="1">
      <c r="A1919" s="14" t="s">
        <v>11</v>
      </c>
      <c r="B1919" s="15">
        <v>46197</v>
      </c>
      <c r="C1919" s="16" t="s">
        <v>53</v>
      </c>
      <c r="D1919" s="17" t="s">
        <v>46</v>
      </c>
      <c r="E1919" s="18" t="s">
        <v>30</v>
      </c>
      <c r="F1919" s="19">
        <v>5852</v>
      </c>
      <c r="G1919" s="20">
        <v>118</v>
      </c>
      <c r="H1919" s="21">
        <v>74</v>
      </c>
      <c r="I1919" s="22">
        <v>5896</v>
      </c>
      <c r="J1919" s="23">
        <v>62.7</v>
      </c>
    </row>
    <row r="1920" spans="1:10" ht="15.75" customHeight="1">
      <c r="A1920" s="24" t="s">
        <v>11</v>
      </c>
      <c r="B1920" s="25">
        <v>46197</v>
      </c>
      <c r="C1920" s="26" t="s">
        <v>53</v>
      </c>
      <c r="D1920" s="27" t="s">
        <v>46</v>
      </c>
      <c r="E1920" s="28" t="s">
        <v>32</v>
      </c>
      <c r="F1920" s="29">
        <v>2403</v>
      </c>
      <c r="G1920" s="30">
        <v>90</v>
      </c>
      <c r="H1920" s="31">
        <v>71</v>
      </c>
      <c r="I1920" s="32">
        <v>2422</v>
      </c>
      <c r="J1920" s="33">
        <v>78.900000000000006</v>
      </c>
    </row>
    <row r="1921" spans="1:10" ht="15.75" customHeight="1">
      <c r="A1921" s="14" t="s">
        <v>11</v>
      </c>
      <c r="B1921" s="15">
        <v>46197</v>
      </c>
      <c r="C1921" s="16" t="s">
        <v>53</v>
      </c>
      <c r="D1921" s="17" t="s">
        <v>46</v>
      </c>
      <c r="E1921" s="18" t="s">
        <v>34</v>
      </c>
      <c r="F1921" s="19">
        <v>5987</v>
      </c>
      <c r="G1921" s="20">
        <v>158</v>
      </c>
      <c r="H1921" s="21">
        <v>120</v>
      </c>
      <c r="I1921" s="22">
        <v>6025</v>
      </c>
      <c r="J1921" s="35">
        <v>75.900000000000006</v>
      </c>
    </row>
    <row r="1922" spans="1:10" ht="15.75" customHeight="1">
      <c r="A1922" s="24" t="s">
        <v>11</v>
      </c>
      <c r="B1922" s="25">
        <v>46197</v>
      </c>
      <c r="C1922" s="26" t="s">
        <v>53</v>
      </c>
      <c r="D1922" s="27" t="s">
        <v>46</v>
      </c>
      <c r="E1922" s="28" t="s">
        <v>25</v>
      </c>
      <c r="F1922" s="29">
        <v>3008</v>
      </c>
      <c r="G1922" s="30">
        <v>76</v>
      </c>
      <c r="H1922" s="31">
        <v>66</v>
      </c>
      <c r="I1922" s="32">
        <v>3018</v>
      </c>
      <c r="J1922" s="33">
        <v>86.8</v>
      </c>
    </row>
    <row r="1923" spans="1:10" ht="15.75" customHeight="1">
      <c r="A1923" s="14" t="s">
        <v>11</v>
      </c>
      <c r="B1923" s="15">
        <v>46197</v>
      </c>
      <c r="C1923" s="16" t="s">
        <v>53</v>
      </c>
      <c r="D1923" s="17" t="s">
        <v>46</v>
      </c>
      <c r="E1923" s="18" t="s">
        <v>35</v>
      </c>
      <c r="F1923" s="19">
        <v>3291</v>
      </c>
      <c r="G1923" s="20">
        <v>102</v>
      </c>
      <c r="H1923" s="21">
        <v>80</v>
      </c>
      <c r="I1923" s="22">
        <v>3313</v>
      </c>
      <c r="J1923" s="35">
        <v>78.400000000000006</v>
      </c>
    </row>
    <row r="1924" spans="1:10" ht="15.75" customHeight="1">
      <c r="A1924" s="24" t="s">
        <v>11</v>
      </c>
      <c r="B1924" s="25">
        <v>46197</v>
      </c>
      <c r="C1924" s="26" t="s">
        <v>53</v>
      </c>
      <c r="D1924" s="27" t="s">
        <v>46</v>
      </c>
      <c r="E1924" s="28" t="s">
        <v>29</v>
      </c>
      <c r="F1924" s="29">
        <v>3862</v>
      </c>
      <c r="G1924" s="30">
        <v>108</v>
      </c>
      <c r="H1924" s="31">
        <v>90</v>
      </c>
      <c r="I1924" s="32">
        <v>3880</v>
      </c>
      <c r="J1924" s="33">
        <v>83.3</v>
      </c>
    </row>
    <row r="1925" spans="1:10" ht="15.75" customHeight="1">
      <c r="A1925" s="14" t="s">
        <v>11</v>
      </c>
      <c r="B1925" s="15">
        <v>46197</v>
      </c>
      <c r="C1925" s="16" t="s">
        <v>53</v>
      </c>
      <c r="D1925" s="17" t="s">
        <v>46</v>
      </c>
      <c r="E1925" s="18" t="s">
        <v>31</v>
      </c>
      <c r="F1925" s="19">
        <v>4992</v>
      </c>
      <c r="G1925" s="20">
        <v>95</v>
      </c>
      <c r="H1925" s="21">
        <v>76</v>
      </c>
      <c r="I1925" s="22">
        <v>5011</v>
      </c>
      <c r="J1925" s="35">
        <v>80</v>
      </c>
    </row>
    <row r="1926" spans="1:10" ht="15.75" customHeight="1">
      <c r="A1926" s="24" t="s">
        <v>11</v>
      </c>
      <c r="B1926" s="25">
        <v>46197</v>
      </c>
      <c r="C1926" s="26" t="s">
        <v>53</v>
      </c>
      <c r="D1926" s="27" t="s">
        <v>46</v>
      </c>
      <c r="E1926" s="28" t="s">
        <v>33</v>
      </c>
      <c r="F1926" s="29">
        <v>1812</v>
      </c>
      <c r="G1926" s="30">
        <v>83</v>
      </c>
      <c r="H1926" s="31">
        <v>80</v>
      </c>
      <c r="I1926" s="32">
        <v>1815</v>
      </c>
      <c r="J1926" s="33">
        <v>96.4</v>
      </c>
    </row>
    <row r="1927" spans="1:10" ht="15.75" customHeight="1">
      <c r="A1927" s="14" t="s">
        <v>11</v>
      </c>
      <c r="B1927" s="15">
        <v>46197</v>
      </c>
      <c r="C1927" s="16" t="s">
        <v>53</v>
      </c>
      <c r="D1927" s="17" t="s">
        <v>46</v>
      </c>
      <c r="E1927" s="18" t="s">
        <v>36</v>
      </c>
      <c r="F1927" s="19">
        <v>6221</v>
      </c>
      <c r="G1927" s="20">
        <v>141</v>
      </c>
      <c r="H1927" s="21">
        <v>88</v>
      </c>
      <c r="I1927" s="22">
        <v>6274</v>
      </c>
      <c r="J1927" s="23">
        <v>62.4</v>
      </c>
    </row>
    <row r="1928" spans="1:10" ht="15.75" customHeight="1">
      <c r="A1928" s="24" t="s">
        <v>11</v>
      </c>
      <c r="B1928" s="25">
        <v>46198</v>
      </c>
      <c r="C1928" s="26" t="s">
        <v>45</v>
      </c>
      <c r="D1928" s="27" t="s">
        <v>46</v>
      </c>
      <c r="E1928" s="28" t="s">
        <v>26</v>
      </c>
      <c r="F1928" s="29">
        <v>4963</v>
      </c>
      <c r="G1928" s="30">
        <v>121</v>
      </c>
      <c r="H1928" s="31">
        <v>94</v>
      </c>
      <c r="I1928" s="32">
        <v>4990</v>
      </c>
      <c r="J1928" s="33">
        <v>77.7</v>
      </c>
    </row>
    <row r="1929" spans="1:10" ht="15.75" customHeight="1">
      <c r="A1929" s="14" t="s">
        <v>11</v>
      </c>
      <c r="B1929" s="15">
        <v>46198</v>
      </c>
      <c r="C1929" s="16" t="s">
        <v>45</v>
      </c>
      <c r="D1929" s="17" t="s">
        <v>46</v>
      </c>
      <c r="E1929" s="18" t="s">
        <v>27</v>
      </c>
      <c r="F1929" s="19">
        <v>3546</v>
      </c>
      <c r="G1929" s="20">
        <v>98</v>
      </c>
      <c r="H1929" s="21">
        <v>71</v>
      </c>
      <c r="I1929" s="22">
        <v>3573</v>
      </c>
      <c r="J1929" s="23">
        <v>72.400000000000006</v>
      </c>
    </row>
    <row r="1930" spans="1:10" ht="15.75" customHeight="1">
      <c r="A1930" s="24" t="s">
        <v>11</v>
      </c>
      <c r="B1930" s="25">
        <v>46198</v>
      </c>
      <c r="C1930" s="26" t="s">
        <v>45</v>
      </c>
      <c r="D1930" s="27" t="s">
        <v>46</v>
      </c>
      <c r="E1930" s="28" t="s">
        <v>30</v>
      </c>
      <c r="F1930" s="29">
        <v>5896</v>
      </c>
      <c r="G1930" s="30">
        <v>116</v>
      </c>
      <c r="H1930" s="31">
        <v>91</v>
      </c>
      <c r="I1930" s="32">
        <v>5921</v>
      </c>
      <c r="J1930" s="33">
        <v>78.400000000000006</v>
      </c>
    </row>
    <row r="1931" spans="1:10" ht="15.75" customHeight="1">
      <c r="A1931" s="14" t="s">
        <v>11</v>
      </c>
      <c r="B1931" s="15">
        <v>46198</v>
      </c>
      <c r="C1931" s="16" t="s">
        <v>45</v>
      </c>
      <c r="D1931" s="17" t="s">
        <v>46</v>
      </c>
      <c r="E1931" s="18" t="s">
        <v>32</v>
      </c>
      <c r="F1931" s="19">
        <v>2422</v>
      </c>
      <c r="G1931" s="20">
        <v>97</v>
      </c>
      <c r="H1931" s="21">
        <v>87</v>
      </c>
      <c r="I1931" s="22">
        <v>2432</v>
      </c>
      <c r="J1931" s="35">
        <v>89.7</v>
      </c>
    </row>
    <row r="1932" spans="1:10" ht="15.75" customHeight="1">
      <c r="A1932" s="24" t="s">
        <v>11</v>
      </c>
      <c r="B1932" s="25">
        <v>46198</v>
      </c>
      <c r="C1932" s="26" t="s">
        <v>45</v>
      </c>
      <c r="D1932" s="27" t="s">
        <v>46</v>
      </c>
      <c r="E1932" s="28" t="s">
        <v>34</v>
      </c>
      <c r="F1932" s="29">
        <v>6025</v>
      </c>
      <c r="G1932" s="30">
        <v>111</v>
      </c>
      <c r="H1932" s="31">
        <v>84</v>
      </c>
      <c r="I1932" s="32">
        <v>6052</v>
      </c>
      <c r="J1932" s="33">
        <v>75.7</v>
      </c>
    </row>
    <row r="1933" spans="1:10" ht="15.75" customHeight="1">
      <c r="A1933" s="14" t="s">
        <v>11</v>
      </c>
      <c r="B1933" s="15">
        <v>46198</v>
      </c>
      <c r="C1933" s="16" t="s">
        <v>45</v>
      </c>
      <c r="D1933" s="17" t="s">
        <v>46</v>
      </c>
      <c r="E1933" s="18" t="s">
        <v>25</v>
      </c>
      <c r="F1933" s="19">
        <v>3018</v>
      </c>
      <c r="G1933" s="20">
        <v>78</v>
      </c>
      <c r="H1933" s="21">
        <v>54</v>
      </c>
      <c r="I1933" s="22">
        <v>3042</v>
      </c>
      <c r="J1933" s="23">
        <v>69.2</v>
      </c>
    </row>
    <row r="1934" spans="1:10" ht="15.75" customHeight="1">
      <c r="A1934" s="24" t="s">
        <v>11</v>
      </c>
      <c r="B1934" s="25">
        <v>46198</v>
      </c>
      <c r="C1934" s="26" t="s">
        <v>45</v>
      </c>
      <c r="D1934" s="27" t="s">
        <v>46</v>
      </c>
      <c r="E1934" s="28" t="s">
        <v>35</v>
      </c>
      <c r="F1934" s="29">
        <v>3313</v>
      </c>
      <c r="G1934" s="30">
        <v>133</v>
      </c>
      <c r="H1934" s="31">
        <v>99</v>
      </c>
      <c r="I1934" s="32">
        <v>3347</v>
      </c>
      <c r="J1934" s="34">
        <v>74.400000000000006</v>
      </c>
    </row>
    <row r="1935" spans="1:10" ht="15.75" customHeight="1">
      <c r="A1935" s="14" t="s">
        <v>11</v>
      </c>
      <c r="B1935" s="15">
        <v>46198</v>
      </c>
      <c r="C1935" s="16" t="s">
        <v>45</v>
      </c>
      <c r="D1935" s="17" t="s">
        <v>46</v>
      </c>
      <c r="E1935" s="18" t="s">
        <v>29</v>
      </c>
      <c r="F1935" s="19">
        <v>3880</v>
      </c>
      <c r="G1935" s="20">
        <v>97</v>
      </c>
      <c r="H1935" s="21">
        <v>77</v>
      </c>
      <c r="I1935" s="22">
        <v>3900</v>
      </c>
      <c r="J1935" s="35">
        <v>79.400000000000006</v>
      </c>
    </row>
    <row r="1936" spans="1:10" ht="15.75" customHeight="1">
      <c r="A1936" s="24" t="s">
        <v>11</v>
      </c>
      <c r="B1936" s="25">
        <v>46198</v>
      </c>
      <c r="C1936" s="26" t="s">
        <v>45</v>
      </c>
      <c r="D1936" s="27" t="s">
        <v>46</v>
      </c>
      <c r="E1936" s="28" t="s">
        <v>31</v>
      </c>
      <c r="F1936" s="29">
        <v>5011</v>
      </c>
      <c r="G1936" s="30">
        <v>143</v>
      </c>
      <c r="H1936" s="31">
        <v>109</v>
      </c>
      <c r="I1936" s="32">
        <v>5045</v>
      </c>
      <c r="J1936" s="33">
        <v>76.2</v>
      </c>
    </row>
    <row r="1937" spans="1:10" ht="15.75" customHeight="1">
      <c r="A1937" s="14" t="s">
        <v>11</v>
      </c>
      <c r="B1937" s="15">
        <v>46198</v>
      </c>
      <c r="C1937" s="16" t="s">
        <v>45</v>
      </c>
      <c r="D1937" s="17" t="s">
        <v>46</v>
      </c>
      <c r="E1937" s="18" t="s">
        <v>33</v>
      </c>
      <c r="F1937" s="19">
        <v>1815</v>
      </c>
      <c r="G1937" s="20">
        <v>58</v>
      </c>
      <c r="H1937" s="21">
        <v>53</v>
      </c>
      <c r="I1937" s="22">
        <v>1820</v>
      </c>
      <c r="J1937" s="35">
        <v>91.4</v>
      </c>
    </row>
    <row r="1938" spans="1:10" ht="15.75" customHeight="1">
      <c r="A1938" s="24" t="s">
        <v>11</v>
      </c>
      <c r="B1938" s="25">
        <v>46198</v>
      </c>
      <c r="C1938" s="26" t="s">
        <v>45</v>
      </c>
      <c r="D1938" s="27" t="s">
        <v>46</v>
      </c>
      <c r="E1938" s="28" t="s">
        <v>36</v>
      </c>
      <c r="F1938" s="29">
        <v>6274</v>
      </c>
      <c r="G1938" s="30">
        <v>154</v>
      </c>
      <c r="H1938" s="31">
        <v>112</v>
      </c>
      <c r="I1938" s="32">
        <v>6316</v>
      </c>
      <c r="J1938" s="34">
        <v>72.7</v>
      </c>
    </row>
    <row r="1939" spans="1:10" ht="15.75" customHeight="1">
      <c r="A1939" s="14" t="s">
        <v>11</v>
      </c>
      <c r="B1939" s="15">
        <v>46199</v>
      </c>
      <c r="C1939" s="16" t="s">
        <v>47</v>
      </c>
      <c r="D1939" s="17" t="s">
        <v>46</v>
      </c>
      <c r="E1939" s="18" t="s">
        <v>26</v>
      </c>
      <c r="F1939" s="19">
        <v>4990</v>
      </c>
      <c r="G1939" s="20">
        <v>85</v>
      </c>
      <c r="H1939" s="21">
        <v>68</v>
      </c>
      <c r="I1939" s="22">
        <v>5007</v>
      </c>
      <c r="J1939" s="35">
        <v>80</v>
      </c>
    </row>
    <row r="1940" spans="1:10" ht="15.75" customHeight="1">
      <c r="A1940" s="24" t="s">
        <v>11</v>
      </c>
      <c r="B1940" s="25">
        <v>46199</v>
      </c>
      <c r="C1940" s="26" t="s">
        <v>47</v>
      </c>
      <c r="D1940" s="27" t="s">
        <v>46</v>
      </c>
      <c r="E1940" s="28" t="s">
        <v>27</v>
      </c>
      <c r="F1940" s="29">
        <v>3573</v>
      </c>
      <c r="G1940" s="30">
        <v>92</v>
      </c>
      <c r="H1940" s="31">
        <v>66</v>
      </c>
      <c r="I1940" s="32">
        <v>3599</v>
      </c>
      <c r="J1940" s="34">
        <v>71.7</v>
      </c>
    </row>
    <row r="1941" spans="1:10" ht="15.75" customHeight="1">
      <c r="A1941" s="14" t="s">
        <v>11</v>
      </c>
      <c r="B1941" s="15">
        <v>46199</v>
      </c>
      <c r="C1941" s="16" t="s">
        <v>47</v>
      </c>
      <c r="D1941" s="17" t="s">
        <v>46</v>
      </c>
      <c r="E1941" s="18" t="s">
        <v>30</v>
      </c>
      <c r="F1941" s="19">
        <v>5921</v>
      </c>
      <c r="G1941" s="20">
        <v>159</v>
      </c>
      <c r="H1941" s="21">
        <v>98</v>
      </c>
      <c r="I1941" s="22">
        <v>5982</v>
      </c>
      <c r="J1941" s="23">
        <v>61.6</v>
      </c>
    </row>
    <row r="1942" spans="1:10" ht="15.75" customHeight="1">
      <c r="A1942" s="24" t="s">
        <v>11</v>
      </c>
      <c r="B1942" s="25">
        <v>46199</v>
      </c>
      <c r="C1942" s="26" t="s">
        <v>47</v>
      </c>
      <c r="D1942" s="27" t="s">
        <v>46</v>
      </c>
      <c r="E1942" s="28" t="s">
        <v>32</v>
      </c>
      <c r="F1942" s="29">
        <v>2432</v>
      </c>
      <c r="G1942" s="30">
        <v>119</v>
      </c>
      <c r="H1942" s="31">
        <v>91</v>
      </c>
      <c r="I1942" s="32">
        <v>2460</v>
      </c>
      <c r="J1942" s="33">
        <v>76.5</v>
      </c>
    </row>
    <row r="1943" spans="1:10" ht="15.75" customHeight="1">
      <c r="A1943" s="14" t="s">
        <v>11</v>
      </c>
      <c r="B1943" s="15">
        <v>46199</v>
      </c>
      <c r="C1943" s="16" t="s">
        <v>47</v>
      </c>
      <c r="D1943" s="17" t="s">
        <v>46</v>
      </c>
      <c r="E1943" s="18" t="s">
        <v>34</v>
      </c>
      <c r="F1943" s="19">
        <v>6052</v>
      </c>
      <c r="G1943" s="20">
        <v>160</v>
      </c>
      <c r="H1943" s="21">
        <v>101</v>
      </c>
      <c r="I1943" s="22">
        <v>6111</v>
      </c>
      <c r="J1943" s="23">
        <v>63.1</v>
      </c>
    </row>
    <row r="1944" spans="1:10" ht="15.75" customHeight="1">
      <c r="A1944" s="24" t="s">
        <v>11</v>
      </c>
      <c r="B1944" s="25">
        <v>46199</v>
      </c>
      <c r="C1944" s="26" t="s">
        <v>47</v>
      </c>
      <c r="D1944" s="27" t="s">
        <v>46</v>
      </c>
      <c r="E1944" s="28" t="s">
        <v>25</v>
      </c>
      <c r="F1944" s="29">
        <v>3042</v>
      </c>
      <c r="G1944" s="30">
        <v>68</v>
      </c>
      <c r="H1944" s="31">
        <v>52</v>
      </c>
      <c r="I1944" s="32">
        <v>3058</v>
      </c>
      <c r="J1944" s="33">
        <v>76.5</v>
      </c>
    </row>
    <row r="1945" spans="1:10" ht="15.75" customHeight="1">
      <c r="A1945" s="14" t="s">
        <v>11</v>
      </c>
      <c r="B1945" s="15">
        <v>46199</v>
      </c>
      <c r="C1945" s="16" t="s">
        <v>47</v>
      </c>
      <c r="D1945" s="17" t="s">
        <v>46</v>
      </c>
      <c r="E1945" s="18" t="s">
        <v>35</v>
      </c>
      <c r="F1945" s="19">
        <v>3347</v>
      </c>
      <c r="G1945" s="20">
        <v>98</v>
      </c>
      <c r="H1945" s="21">
        <v>74</v>
      </c>
      <c r="I1945" s="22">
        <v>3371</v>
      </c>
      <c r="J1945" s="35">
        <v>75.5</v>
      </c>
    </row>
    <row r="1946" spans="1:10" ht="15.75" customHeight="1">
      <c r="A1946" s="24" t="s">
        <v>11</v>
      </c>
      <c r="B1946" s="25">
        <v>46199</v>
      </c>
      <c r="C1946" s="26" t="s">
        <v>47</v>
      </c>
      <c r="D1946" s="27" t="s">
        <v>46</v>
      </c>
      <c r="E1946" s="28" t="s">
        <v>29</v>
      </c>
      <c r="F1946" s="29">
        <v>3900</v>
      </c>
      <c r="G1946" s="30">
        <v>114</v>
      </c>
      <c r="H1946" s="31">
        <v>95</v>
      </c>
      <c r="I1946" s="32">
        <v>3919</v>
      </c>
      <c r="J1946" s="33">
        <v>83.3</v>
      </c>
    </row>
    <row r="1947" spans="1:10" ht="15.75" customHeight="1">
      <c r="A1947" s="14" t="s">
        <v>11</v>
      </c>
      <c r="B1947" s="15">
        <v>46199</v>
      </c>
      <c r="C1947" s="16" t="s">
        <v>47</v>
      </c>
      <c r="D1947" s="17" t="s">
        <v>46</v>
      </c>
      <c r="E1947" s="18" t="s">
        <v>31</v>
      </c>
      <c r="F1947" s="19">
        <v>5045</v>
      </c>
      <c r="G1947" s="20">
        <v>138</v>
      </c>
      <c r="H1947" s="21">
        <v>99</v>
      </c>
      <c r="I1947" s="22">
        <v>5084</v>
      </c>
      <c r="J1947" s="23">
        <v>71.7</v>
      </c>
    </row>
    <row r="1948" spans="1:10" ht="15.75" customHeight="1">
      <c r="A1948" s="24" t="s">
        <v>11</v>
      </c>
      <c r="B1948" s="25">
        <v>46199</v>
      </c>
      <c r="C1948" s="26" t="s">
        <v>47</v>
      </c>
      <c r="D1948" s="27" t="s">
        <v>46</v>
      </c>
      <c r="E1948" s="28" t="s">
        <v>33</v>
      </c>
      <c r="F1948" s="29">
        <v>1820</v>
      </c>
      <c r="G1948" s="30">
        <v>79</v>
      </c>
      <c r="H1948" s="31">
        <v>75</v>
      </c>
      <c r="I1948" s="32">
        <v>1824</v>
      </c>
      <c r="J1948" s="33">
        <v>94.9</v>
      </c>
    </row>
    <row r="1949" spans="1:10" ht="15.75" customHeight="1">
      <c r="A1949" s="14" t="s">
        <v>11</v>
      </c>
      <c r="B1949" s="15">
        <v>46199</v>
      </c>
      <c r="C1949" s="16" t="s">
        <v>47</v>
      </c>
      <c r="D1949" s="17" t="s">
        <v>46</v>
      </c>
      <c r="E1949" s="18" t="s">
        <v>36</v>
      </c>
      <c r="F1949" s="19">
        <v>6316</v>
      </c>
      <c r="G1949" s="20">
        <v>143</v>
      </c>
      <c r="H1949" s="21">
        <v>99</v>
      </c>
      <c r="I1949" s="22">
        <v>6360</v>
      </c>
      <c r="J1949" s="23">
        <v>69.2</v>
      </c>
    </row>
    <row r="1950" spans="1:10" ht="15.75" customHeight="1">
      <c r="A1950" s="36" t="s">
        <v>11</v>
      </c>
      <c r="B1950" s="37">
        <v>46200</v>
      </c>
      <c r="C1950" s="38" t="s">
        <v>48</v>
      </c>
      <c r="D1950" s="39" t="s">
        <v>49</v>
      </c>
      <c r="E1950" s="40" t="s">
        <v>26</v>
      </c>
      <c r="F1950" s="41">
        <v>5007</v>
      </c>
      <c r="G1950" s="42">
        <v>46</v>
      </c>
      <c r="H1950" s="43">
        <v>29</v>
      </c>
      <c r="I1950" s="44">
        <v>5024</v>
      </c>
      <c r="J1950" s="46">
        <v>63</v>
      </c>
    </row>
    <row r="1951" spans="1:10" ht="15.75" customHeight="1">
      <c r="A1951" s="36" t="s">
        <v>11</v>
      </c>
      <c r="B1951" s="37">
        <v>46200</v>
      </c>
      <c r="C1951" s="38" t="s">
        <v>48</v>
      </c>
      <c r="D1951" s="39" t="s">
        <v>49</v>
      </c>
      <c r="E1951" s="40" t="s">
        <v>27</v>
      </c>
      <c r="F1951" s="41">
        <v>3599</v>
      </c>
      <c r="G1951" s="42">
        <v>29</v>
      </c>
      <c r="H1951" s="43">
        <v>22</v>
      </c>
      <c r="I1951" s="44">
        <v>3606</v>
      </c>
      <c r="J1951" s="45">
        <v>75.900000000000006</v>
      </c>
    </row>
    <row r="1952" spans="1:10" ht="15.75" customHeight="1">
      <c r="A1952" s="36" t="s">
        <v>11</v>
      </c>
      <c r="B1952" s="37">
        <v>46200</v>
      </c>
      <c r="C1952" s="38" t="s">
        <v>48</v>
      </c>
      <c r="D1952" s="39" t="s">
        <v>49</v>
      </c>
      <c r="E1952" s="40" t="s">
        <v>30</v>
      </c>
      <c r="F1952" s="41">
        <v>5982</v>
      </c>
      <c r="G1952" s="42">
        <v>65</v>
      </c>
      <c r="H1952" s="43">
        <v>49</v>
      </c>
      <c r="I1952" s="44">
        <v>5998</v>
      </c>
      <c r="J1952" s="45">
        <v>75.400000000000006</v>
      </c>
    </row>
    <row r="1953" spans="1:10" ht="15.75" customHeight="1">
      <c r="A1953" s="36" t="s">
        <v>11</v>
      </c>
      <c r="B1953" s="37">
        <v>46200</v>
      </c>
      <c r="C1953" s="38" t="s">
        <v>48</v>
      </c>
      <c r="D1953" s="39" t="s">
        <v>49</v>
      </c>
      <c r="E1953" s="40" t="s">
        <v>32</v>
      </c>
      <c r="F1953" s="41">
        <v>2460</v>
      </c>
      <c r="G1953" s="42">
        <v>58</v>
      </c>
      <c r="H1953" s="43">
        <v>49</v>
      </c>
      <c r="I1953" s="44">
        <v>2469</v>
      </c>
      <c r="J1953" s="45">
        <v>84.5</v>
      </c>
    </row>
    <row r="1954" spans="1:10" ht="15.75" customHeight="1">
      <c r="A1954" s="36" t="s">
        <v>11</v>
      </c>
      <c r="B1954" s="37">
        <v>46200</v>
      </c>
      <c r="C1954" s="38" t="s">
        <v>48</v>
      </c>
      <c r="D1954" s="39" t="s">
        <v>49</v>
      </c>
      <c r="E1954" s="40" t="s">
        <v>34</v>
      </c>
      <c r="F1954" s="41">
        <v>6111</v>
      </c>
      <c r="G1954" s="42">
        <v>74</v>
      </c>
      <c r="H1954" s="43">
        <v>57</v>
      </c>
      <c r="I1954" s="44">
        <v>6128</v>
      </c>
      <c r="J1954" s="45">
        <v>77</v>
      </c>
    </row>
    <row r="1955" spans="1:10" ht="15.75" customHeight="1">
      <c r="A1955" s="36" t="s">
        <v>11</v>
      </c>
      <c r="B1955" s="37">
        <v>46200</v>
      </c>
      <c r="C1955" s="38" t="s">
        <v>48</v>
      </c>
      <c r="D1955" s="39" t="s">
        <v>49</v>
      </c>
      <c r="E1955" s="40" t="s">
        <v>25</v>
      </c>
      <c r="F1955" s="41">
        <v>3058</v>
      </c>
      <c r="G1955" s="42">
        <v>34</v>
      </c>
      <c r="H1955" s="43">
        <v>24</v>
      </c>
      <c r="I1955" s="44">
        <v>3068</v>
      </c>
      <c r="J1955" s="46">
        <v>70.599999999999994</v>
      </c>
    </row>
    <row r="1956" spans="1:10" ht="15.75" customHeight="1">
      <c r="A1956" s="36" t="s">
        <v>11</v>
      </c>
      <c r="B1956" s="37">
        <v>46200</v>
      </c>
      <c r="C1956" s="38" t="s">
        <v>48</v>
      </c>
      <c r="D1956" s="39" t="s">
        <v>49</v>
      </c>
      <c r="E1956" s="40" t="s">
        <v>35</v>
      </c>
      <c r="F1956" s="41">
        <v>3371</v>
      </c>
      <c r="G1956" s="42">
        <v>59</v>
      </c>
      <c r="H1956" s="43">
        <v>47</v>
      </c>
      <c r="I1956" s="44">
        <v>3383</v>
      </c>
      <c r="J1956" s="45">
        <v>79.7</v>
      </c>
    </row>
    <row r="1957" spans="1:10" ht="15.75" customHeight="1">
      <c r="A1957" s="36" t="s">
        <v>11</v>
      </c>
      <c r="B1957" s="37">
        <v>46200</v>
      </c>
      <c r="C1957" s="38" t="s">
        <v>48</v>
      </c>
      <c r="D1957" s="39" t="s">
        <v>49</v>
      </c>
      <c r="E1957" s="40" t="s">
        <v>29</v>
      </c>
      <c r="F1957" s="41">
        <v>3919</v>
      </c>
      <c r="G1957" s="42">
        <v>35</v>
      </c>
      <c r="H1957" s="43">
        <v>27</v>
      </c>
      <c r="I1957" s="44">
        <v>3927</v>
      </c>
      <c r="J1957" s="45">
        <v>77.099999999999994</v>
      </c>
    </row>
    <row r="1958" spans="1:10" ht="15.75" customHeight="1">
      <c r="A1958" s="36" t="s">
        <v>11</v>
      </c>
      <c r="B1958" s="37">
        <v>46200</v>
      </c>
      <c r="C1958" s="38" t="s">
        <v>48</v>
      </c>
      <c r="D1958" s="39" t="s">
        <v>49</v>
      </c>
      <c r="E1958" s="40" t="s">
        <v>31</v>
      </c>
      <c r="F1958" s="41">
        <v>5084</v>
      </c>
      <c r="G1958" s="42">
        <v>46</v>
      </c>
      <c r="H1958" s="43">
        <v>30</v>
      </c>
      <c r="I1958" s="44">
        <v>5100</v>
      </c>
      <c r="J1958" s="46">
        <v>65.2</v>
      </c>
    </row>
    <row r="1959" spans="1:10" ht="15.75" customHeight="1">
      <c r="A1959" s="36" t="s">
        <v>11</v>
      </c>
      <c r="B1959" s="37">
        <v>46200</v>
      </c>
      <c r="C1959" s="38" t="s">
        <v>48</v>
      </c>
      <c r="D1959" s="39" t="s">
        <v>49</v>
      </c>
      <c r="E1959" s="40" t="s">
        <v>33</v>
      </c>
      <c r="F1959" s="41">
        <v>1824</v>
      </c>
      <c r="G1959" s="42">
        <v>23</v>
      </c>
      <c r="H1959" s="43">
        <v>22</v>
      </c>
      <c r="I1959" s="44">
        <v>1825</v>
      </c>
      <c r="J1959" s="45">
        <v>95.7</v>
      </c>
    </row>
    <row r="1960" spans="1:10" ht="15.75" customHeight="1">
      <c r="A1960" s="36" t="s">
        <v>11</v>
      </c>
      <c r="B1960" s="37">
        <v>46200</v>
      </c>
      <c r="C1960" s="38" t="s">
        <v>48</v>
      </c>
      <c r="D1960" s="39" t="s">
        <v>49</v>
      </c>
      <c r="E1960" s="40" t="s">
        <v>36</v>
      </c>
      <c r="F1960" s="41">
        <v>6360</v>
      </c>
      <c r="G1960" s="42">
        <v>64</v>
      </c>
      <c r="H1960" s="43">
        <v>48</v>
      </c>
      <c r="I1960" s="44">
        <v>6376</v>
      </c>
      <c r="J1960" s="45">
        <v>75</v>
      </c>
    </row>
    <row r="1961" spans="1:10" ht="15.75" customHeight="1">
      <c r="A1961" s="36" t="s">
        <v>11</v>
      </c>
      <c r="B1961" s="37">
        <v>46201</v>
      </c>
      <c r="C1961" s="38" t="s">
        <v>50</v>
      </c>
      <c r="D1961" s="39" t="s">
        <v>49</v>
      </c>
      <c r="E1961" s="40" t="s">
        <v>26</v>
      </c>
      <c r="F1961" s="41">
        <v>5024</v>
      </c>
      <c r="G1961" s="42">
        <v>70</v>
      </c>
      <c r="H1961" s="43">
        <v>55</v>
      </c>
      <c r="I1961" s="44">
        <v>5039</v>
      </c>
      <c r="J1961" s="45">
        <v>78.599999999999994</v>
      </c>
    </row>
    <row r="1962" spans="1:10" ht="15.75" customHeight="1">
      <c r="A1962" s="36" t="s">
        <v>11</v>
      </c>
      <c r="B1962" s="37">
        <v>46201</v>
      </c>
      <c r="C1962" s="38" t="s">
        <v>50</v>
      </c>
      <c r="D1962" s="39" t="s">
        <v>49</v>
      </c>
      <c r="E1962" s="40" t="s">
        <v>27</v>
      </c>
      <c r="F1962" s="41">
        <v>3606</v>
      </c>
      <c r="G1962" s="42">
        <v>31</v>
      </c>
      <c r="H1962" s="43">
        <v>22</v>
      </c>
      <c r="I1962" s="44">
        <v>3615</v>
      </c>
      <c r="J1962" s="46">
        <v>71</v>
      </c>
    </row>
    <row r="1963" spans="1:10" ht="15.75" customHeight="1">
      <c r="A1963" s="36" t="s">
        <v>11</v>
      </c>
      <c r="B1963" s="37">
        <v>46201</v>
      </c>
      <c r="C1963" s="38" t="s">
        <v>50</v>
      </c>
      <c r="D1963" s="39" t="s">
        <v>49</v>
      </c>
      <c r="E1963" s="40" t="s">
        <v>30</v>
      </c>
      <c r="F1963" s="41">
        <v>5998</v>
      </c>
      <c r="G1963" s="42">
        <v>38</v>
      </c>
      <c r="H1963" s="43">
        <v>28</v>
      </c>
      <c r="I1963" s="44">
        <v>6008</v>
      </c>
      <c r="J1963" s="46">
        <v>73.7</v>
      </c>
    </row>
    <row r="1964" spans="1:10" ht="15.75" customHeight="1">
      <c r="A1964" s="36" t="s">
        <v>11</v>
      </c>
      <c r="B1964" s="37">
        <v>46201</v>
      </c>
      <c r="C1964" s="38" t="s">
        <v>50</v>
      </c>
      <c r="D1964" s="39" t="s">
        <v>49</v>
      </c>
      <c r="E1964" s="40" t="s">
        <v>32</v>
      </c>
      <c r="F1964" s="41">
        <v>2469</v>
      </c>
      <c r="G1964" s="42">
        <v>52</v>
      </c>
      <c r="H1964" s="43">
        <v>42</v>
      </c>
      <c r="I1964" s="44">
        <v>2479</v>
      </c>
      <c r="J1964" s="45">
        <v>80.8</v>
      </c>
    </row>
    <row r="1965" spans="1:10" ht="15.75" customHeight="1">
      <c r="A1965" s="36" t="s">
        <v>11</v>
      </c>
      <c r="B1965" s="37">
        <v>46201</v>
      </c>
      <c r="C1965" s="38" t="s">
        <v>50</v>
      </c>
      <c r="D1965" s="39" t="s">
        <v>49</v>
      </c>
      <c r="E1965" s="40" t="s">
        <v>34</v>
      </c>
      <c r="F1965" s="41">
        <v>6128</v>
      </c>
      <c r="G1965" s="42">
        <v>74</v>
      </c>
      <c r="H1965" s="43">
        <v>51</v>
      </c>
      <c r="I1965" s="44">
        <v>6151</v>
      </c>
      <c r="J1965" s="46">
        <v>68.900000000000006</v>
      </c>
    </row>
    <row r="1966" spans="1:10" ht="15.75" customHeight="1">
      <c r="A1966" s="36" t="s">
        <v>11</v>
      </c>
      <c r="B1966" s="37">
        <v>46201</v>
      </c>
      <c r="C1966" s="38" t="s">
        <v>50</v>
      </c>
      <c r="D1966" s="39" t="s">
        <v>49</v>
      </c>
      <c r="E1966" s="40" t="s">
        <v>25</v>
      </c>
      <c r="F1966" s="41">
        <v>3068</v>
      </c>
      <c r="G1966" s="42">
        <v>23</v>
      </c>
      <c r="H1966" s="43">
        <v>16</v>
      </c>
      <c r="I1966" s="44">
        <v>3075</v>
      </c>
      <c r="J1966" s="46">
        <v>69.599999999999994</v>
      </c>
    </row>
    <row r="1967" spans="1:10" ht="15.75" customHeight="1">
      <c r="A1967" s="36" t="s">
        <v>11</v>
      </c>
      <c r="B1967" s="37">
        <v>46201</v>
      </c>
      <c r="C1967" s="38" t="s">
        <v>50</v>
      </c>
      <c r="D1967" s="39" t="s">
        <v>49</v>
      </c>
      <c r="E1967" s="40" t="s">
        <v>35</v>
      </c>
      <c r="F1967" s="41">
        <v>3383</v>
      </c>
      <c r="G1967" s="42">
        <v>62</v>
      </c>
      <c r="H1967" s="43">
        <v>48</v>
      </c>
      <c r="I1967" s="44">
        <v>3397</v>
      </c>
      <c r="J1967" s="45">
        <v>77.400000000000006</v>
      </c>
    </row>
    <row r="1968" spans="1:10" ht="15.75" customHeight="1">
      <c r="A1968" s="36" t="s">
        <v>11</v>
      </c>
      <c r="B1968" s="37">
        <v>46201</v>
      </c>
      <c r="C1968" s="38" t="s">
        <v>50</v>
      </c>
      <c r="D1968" s="39" t="s">
        <v>49</v>
      </c>
      <c r="E1968" s="40" t="s">
        <v>29</v>
      </c>
      <c r="F1968" s="41">
        <v>3927</v>
      </c>
      <c r="G1968" s="42">
        <v>40</v>
      </c>
      <c r="H1968" s="43">
        <v>31</v>
      </c>
      <c r="I1968" s="44">
        <v>3936</v>
      </c>
      <c r="J1968" s="45">
        <v>77.5</v>
      </c>
    </row>
    <row r="1969" spans="1:10" ht="15.75" customHeight="1">
      <c r="A1969" s="36" t="s">
        <v>11</v>
      </c>
      <c r="B1969" s="37">
        <v>46201</v>
      </c>
      <c r="C1969" s="38" t="s">
        <v>50</v>
      </c>
      <c r="D1969" s="39" t="s">
        <v>49</v>
      </c>
      <c r="E1969" s="40" t="s">
        <v>31</v>
      </c>
      <c r="F1969" s="41">
        <v>5100</v>
      </c>
      <c r="G1969" s="42">
        <v>70</v>
      </c>
      <c r="H1969" s="43">
        <v>53</v>
      </c>
      <c r="I1969" s="44">
        <v>5117</v>
      </c>
      <c r="J1969" s="45">
        <v>75.7</v>
      </c>
    </row>
    <row r="1970" spans="1:10" ht="15.75" customHeight="1">
      <c r="A1970" s="36" t="s">
        <v>11</v>
      </c>
      <c r="B1970" s="37">
        <v>46201</v>
      </c>
      <c r="C1970" s="38" t="s">
        <v>50</v>
      </c>
      <c r="D1970" s="39" t="s">
        <v>49</v>
      </c>
      <c r="E1970" s="40" t="s">
        <v>33</v>
      </c>
      <c r="F1970" s="41">
        <v>1825</v>
      </c>
      <c r="G1970" s="42">
        <v>46</v>
      </c>
      <c r="H1970" s="43">
        <v>45</v>
      </c>
      <c r="I1970" s="44">
        <v>1826</v>
      </c>
      <c r="J1970" s="45">
        <v>97.8</v>
      </c>
    </row>
    <row r="1971" spans="1:10" ht="15.75" customHeight="1">
      <c r="A1971" s="36" t="s">
        <v>11</v>
      </c>
      <c r="B1971" s="37">
        <v>46201</v>
      </c>
      <c r="C1971" s="38" t="s">
        <v>50</v>
      </c>
      <c r="D1971" s="39" t="s">
        <v>49</v>
      </c>
      <c r="E1971" s="40" t="s">
        <v>36</v>
      </c>
      <c r="F1971" s="41">
        <v>6376</v>
      </c>
      <c r="G1971" s="42">
        <v>58</v>
      </c>
      <c r="H1971" s="43">
        <v>38</v>
      </c>
      <c r="I1971" s="44">
        <v>6396</v>
      </c>
      <c r="J1971" s="46">
        <v>65.5</v>
      </c>
    </row>
    <row r="1972" spans="1:10" ht="15.75" customHeight="1">
      <c r="A1972" s="24" t="s">
        <v>11</v>
      </c>
      <c r="B1972" s="25">
        <v>46202</v>
      </c>
      <c r="C1972" s="26" t="s">
        <v>51</v>
      </c>
      <c r="D1972" s="27" t="s">
        <v>46</v>
      </c>
      <c r="E1972" s="28" t="s">
        <v>26</v>
      </c>
      <c r="F1972" s="29">
        <v>5039</v>
      </c>
      <c r="G1972" s="30">
        <v>102</v>
      </c>
      <c r="H1972" s="31">
        <v>86</v>
      </c>
      <c r="I1972" s="32">
        <v>5055</v>
      </c>
      <c r="J1972" s="33">
        <v>84.3</v>
      </c>
    </row>
    <row r="1973" spans="1:10" ht="15.75" customHeight="1">
      <c r="A1973" s="14" t="s">
        <v>11</v>
      </c>
      <c r="B1973" s="15">
        <v>46202</v>
      </c>
      <c r="C1973" s="16" t="s">
        <v>51</v>
      </c>
      <c r="D1973" s="17" t="s">
        <v>46</v>
      </c>
      <c r="E1973" s="18" t="s">
        <v>27</v>
      </c>
      <c r="F1973" s="19">
        <v>3615</v>
      </c>
      <c r="G1973" s="20">
        <v>113</v>
      </c>
      <c r="H1973" s="21">
        <v>92</v>
      </c>
      <c r="I1973" s="22">
        <v>3636</v>
      </c>
      <c r="J1973" s="35">
        <v>81.400000000000006</v>
      </c>
    </row>
    <row r="1974" spans="1:10" ht="15.75" customHeight="1">
      <c r="A1974" s="24" t="s">
        <v>11</v>
      </c>
      <c r="B1974" s="25">
        <v>46202</v>
      </c>
      <c r="C1974" s="26" t="s">
        <v>51</v>
      </c>
      <c r="D1974" s="27" t="s">
        <v>46</v>
      </c>
      <c r="E1974" s="28" t="s">
        <v>30</v>
      </c>
      <c r="F1974" s="29">
        <v>6008</v>
      </c>
      <c r="G1974" s="30">
        <v>153</v>
      </c>
      <c r="H1974" s="31">
        <v>94</v>
      </c>
      <c r="I1974" s="32">
        <v>6067</v>
      </c>
      <c r="J1974" s="34">
        <v>61.4</v>
      </c>
    </row>
    <row r="1975" spans="1:10" ht="15.75" customHeight="1">
      <c r="A1975" s="14" t="s">
        <v>11</v>
      </c>
      <c r="B1975" s="15">
        <v>46202</v>
      </c>
      <c r="C1975" s="16" t="s">
        <v>51</v>
      </c>
      <c r="D1975" s="17" t="s">
        <v>46</v>
      </c>
      <c r="E1975" s="18" t="s">
        <v>32</v>
      </c>
      <c r="F1975" s="19">
        <v>2479</v>
      </c>
      <c r="G1975" s="20">
        <v>82</v>
      </c>
      <c r="H1975" s="21">
        <v>73</v>
      </c>
      <c r="I1975" s="22">
        <v>2488</v>
      </c>
      <c r="J1975" s="35">
        <v>89</v>
      </c>
    </row>
    <row r="1976" spans="1:10" ht="15.75" customHeight="1">
      <c r="A1976" s="24" t="s">
        <v>11</v>
      </c>
      <c r="B1976" s="25">
        <v>46202</v>
      </c>
      <c r="C1976" s="26" t="s">
        <v>51</v>
      </c>
      <c r="D1976" s="27" t="s">
        <v>46</v>
      </c>
      <c r="E1976" s="28" t="s">
        <v>34</v>
      </c>
      <c r="F1976" s="29">
        <v>6151</v>
      </c>
      <c r="G1976" s="30">
        <v>167</v>
      </c>
      <c r="H1976" s="31">
        <v>123</v>
      </c>
      <c r="I1976" s="32">
        <v>6195</v>
      </c>
      <c r="J1976" s="34">
        <v>73.7</v>
      </c>
    </row>
    <row r="1977" spans="1:10" ht="15.75" customHeight="1">
      <c r="A1977" s="14" t="s">
        <v>11</v>
      </c>
      <c r="B1977" s="15">
        <v>46202</v>
      </c>
      <c r="C1977" s="16" t="s">
        <v>51</v>
      </c>
      <c r="D1977" s="17" t="s">
        <v>46</v>
      </c>
      <c r="E1977" s="18" t="s">
        <v>25</v>
      </c>
      <c r="F1977" s="19">
        <v>3075</v>
      </c>
      <c r="G1977" s="20">
        <v>94</v>
      </c>
      <c r="H1977" s="21">
        <v>76</v>
      </c>
      <c r="I1977" s="22">
        <v>3093</v>
      </c>
      <c r="J1977" s="35">
        <v>80.900000000000006</v>
      </c>
    </row>
    <row r="1978" spans="1:10" ht="15.75" customHeight="1">
      <c r="A1978" s="24" t="s">
        <v>11</v>
      </c>
      <c r="B1978" s="25">
        <v>46202</v>
      </c>
      <c r="C1978" s="26" t="s">
        <v>51</v>
      </c>
      <c r="D1978" s="27" t="s">
        <v>46</v>
      </c>
      <c r="E1978" s="28" t="s">
        <v>35</v>
      </c>
      <c r="F1978" s="29">
        <v>3397</v>
      </c>
      <c r="G1978" s="30">
        <v>127</v>
      </c>
      <c r="H1978" s="31">
        <v>95</v>
      </c>
      <c r="I1978" s="32">
        <v>3429</v>
      </c>
      <c r="J1978" s="34">
        <v>74.8</v>
      </c>
    </row>
    <row r="1979" spans="1:10" ht="15.75" customHeight="1">
      <c r="A1979" s="14" t="s">
        <v>11</v>
      </c>
      <c r="B1979" s="15">
        <v>46202</v>
      </c>
      <c r="C1979" s="16" t="s">
        <v>51</v>
      </c>
      <c r="D1979" s="17" t="s">
        <v>46</v>
      </c>
      <c r="E1979" s="18" t="s">
        <v>29</v>
      </c>
      <c r="F1979" s="19">
        <v>3936</v>
      </c>
      <c r="G1979" s="20">
        <v>84</v>
      </c>
      <c r="H1979" s="21">
        <v>67</v>
      </c>
      <c r="I1979" s="22">
        <v>3953</v>
      </c>
      <c r="J1979" s="35">
        <v>79.8</v>
      </c>
    </row>
    <row r="1980" spans="1:10" ht="15.75" customHeight="1">
      <c r="A1980" s="24" t="s">
        <v>11</v>
      </c>
      <c r="B1980" s="25">
        <v>46202</v>
      </c>
      <c r="C1980" s="26" t="s">
        <v>51</v>
      </c>
      <c r="D1980" s="27" t="s">
        <v>46</v>
      </c>
      <c r="E1980" s="28" t="s">
        <v>31</v>
      </c>
      <c r="F1980" s="29">
        <v>5117</v>
      </c>
      <c r="G1980" s="30">
        <v>108</v>
      </c>
      <c r="H1980" s="31">
        <v>86</v>
      </c>
      <c r="I1980" s="32">
        <v>5139</v>
      </c>
      <c r="J1980" s="33">
        <v>79.599999999999994</v>
      </c>
    </row>
    <row r="1981" spans="1:10" ht="15.75" customHeight="1">
      <c r="A1981" s="14" t="s">
        <v>11</v>
      </c>
      <c r="B1981" s="15">
        <v>46202</v>
      </c>
      <c r="C1981" s="16" t="s">
        <v>51</v>
      </c>
      <c r="D1981" s="17" t="s">
        <v>46</v>
      </c>
      <c r="E1981" s="18" t="s">
        <v>33</v>
      </c>
      <c r="F1981" s="19">
        <v>1826</v>
      </c>
      <c r="G1981" s="20">
        <v>85</v>
      </c>
      <c r="H1981" s="21">
        <v>73</v>
      </c>
      <c r="I1981" s="22">
        <v>1838</v>
      </c>
      <c r="J1981" s="35">
        <v>85.9</v>
      </c>
    </row>
    <row r="1982" spans="1:10" ht="15.75" customHeight="1">
      <c r="A1982" s="24" t="s">
        <v>11</v>
      </c>
      <c r="B1982" s="25">
        <v>46202</v>
      </c>
      <c r="C1982" s="26" t="s">
        <v>51</v>
      </c>
      <c r="D1982" s="27" t="s">
        <v>46</v>
      </c>
      <c r="E1982" s="28" t="s">
        <v>36</v>
      </c>
      <c r="F1982" s="29">
        <v>6396</v>
      </c>
      <c r="G1982" s="30">
        <v>123</v>
      </c>
      <c r="H1982" s="31">
        <v>84</v>
      </c>
      <c r="I1982" s="32">
        <v>6435</v>
      </c>
      <c r="J1982" s="34">
        <v>68.3</v>
      </c>
    </row>
    <row r="1983" spans="1:10" ht="15.75" customHeight="1">
      <c r="A1983" s="14" t="s">
        <v>11</v>
      </c>
      <c r="B1983" s="15">
        <v>46203</v>
      </c>
      <c r="C1983" s="16" t="s">
        <v>52</v>
      </c>
      <c r="D1983" s="17" t="s">
        <v>46</v>
      </c>
      <c r="E1983" s="18" t="s">
        <v>26</v>
      </c>
      <c r="F1983" s="19">
        <v>5055</v>
      </c>
      <c r="G1983" s="20">
        <v>129</v>
      </c>
      <c r="H1983" s="21">
        <v>90</v>
      </c>
      <c r="I1983" s="22">
        <v>5094</v>
      </c>
      <c r="J1983" s="23">
        <v>69.8</v>
      </c>
    </row>
    <row r="1984" spans="1:10" ht="15.75" customHeight="1">
      <c r="A1984" s="24" t="s">
        <v>11</v>
      </c>
      <c r="B1984" s="25">
        <v>46203</v>
      </c>
      <c r="C1984" s="26" t="s">
        <v>52</v>
      </c>
      <c r="D1984" s="27" t="s">
        <v>46</v>
      </c>
      <c r="E1984" s="28" t="s">
        <v>27</v>
      </c>
      <c r="F1984" s="29">
        <v>3636</v>
      </c>
      <c r="G1984" s="30">
        <v>86</v>
      </c>
      <c r="H1984" s="31">
        <v>66</v>
      </c>
      <c r="I1984" s="32">
        <v>3656</v>
      </c>
      <c r="J1984" s="33">
        <v>76.7</v>
      </c>
    </row>
    <row r="1985" spans="1:10" ht="15.75" customHeight="1">
      <c r="A1985" s="14" t="s">
        <v>11</v>
      </c>
      <c r="B1985" s="15">
        <v>46203</v>
      </c>
      <c r="C1985" s="16" t="s">
        <v>52</v>
      </c>
      <c r="D1985" s="17" t="s">
        <v>46</v>
      </c>
      <c r="E1985" s="18" t="s">
        <v>30</v>
      </c>
      <c r="F1985" s="19">
        <v>6067</v>
      </c>
      <c r="G1985" s="20">
        <v>132</v>
      </c>
      <c r="H1985" s="21">
        <v>99</v>
      </c>
      <c r="I1985" s="22">
        <v>6100</v>
      </c>
      <c r="J1985" s="35">
        <v>75</v>
      </c>
    </row>
    <row r="1986" spans="1:10" ht="15.75" customHeight="1">
      <c r="A1986" s="24" t="s">
        <v>11</v>
      </c>
      <c r="B1986" s="25">
        <v>46203</v>
      </c>
      <c r="C1986" s="26" t="s">
        <v>52</v>
      </c>
      <c r="D1986" s="27" t="s">
        <v>46</v>
      </c>
      <c r="E1986" s="28" t="s">
        <v>32</v>
      </c>
      <c r="F1986" s="29">
        <v>2488</v>
      </c>
      <c r="G1986" s="30">
        <v>65</v>
      </c>
      <c r="H1986" s="31">
        <v>55</v>
      </c>
      <c r="I1986" s="32">
        <v>2498</v>
      </c>
      <c r="J1986" s="33">
        <v>84.6</v>
      </c>
    </row>
    <row r="1987" spans="1:10" ht="15.75" customHeight="1">
      <c r="A1987" s="14" t="s">
        <v>11</v>
      </c>
      <c r="B1987" s="15">
        <v>46203</v>
      </c>
      <c r="C1987" s="16" t="s">
        <v>52</v>
      </c>
      <c r="D1987" s="17" t="s">
        <v>46</v>
      </c>
      <c r="E1987" s="18" t="s">
        <v>34</v>
      </c>
      <c r="F1987" s="19">
        <v>6195</v>
      </c>
      <c r="G1987" s="20">
        <v>147</v>
      </c>
      <c r="H1987" s="21">
        <v>93</v>
      </c>
      <c r="I1987" s="22">
        <v>6249</v>
      </c>
      <c r="J1987" s="23">
        <v>63.3</v>
      </c>
    </row>
    <row r="1988" spans="1:10" ht="15.75" customHeight="1">
      <c r="A1988" s="24" t="s">
        <v>11</v>
      </c>
      <c r="B1988" s="25">
        <v>46203</v>
      </c>
      <c r="C1988" s="26" t="s">
        <v>52</v>
      </c>
      <c r="D1988" s="27" t="s">
        <v>46</v>
      </c>
      <c r="E1988" s="28" t="s">
        <v>25</v>
      </c>
      <c r="F1988" s="29">
        <v>3093</v>
      </c>
      <c r="G1988" s="30">
        <v>84</v>
      </c>
      <c r="H1988" s="31">
        <v>63</v>
      </c>
      <c r="I1988" s="32">
        <v>3114</v>
      </c>
      <c r="J1988" s="33">
        <v>75</v>
      </c>
    </row>
    <row r="1989" spans="1:10" ht="15.75" customHeight="1">
      <c r="A1989" s="14" t="s">
        <v>11</v>
      </c>
      <c r="B1989" s="15">
        <v>46203</v>
      </c>
      <c r="C1989" s="16" t="s">
        <v>52</v>
      </c>
      <c r="D1989" s="17" t="s">
        <v>46</v>
      </c>
      <c r="E1989" s="18" t="s">
        <v>35</v>
      </c>
      <c r="F1989" s="19">
        <v>3429</v>
      </c>
      <c r="G1989" s="20">
        <v>81</v>
      </c>
      <c r="H1989" s="21">
        <v>66</v>
      </c>
      <c r="I1989" s="22">
        <v>3444</v>
      </c>
      <c r="J1989" s="35">
        <v>81.5</v>
      </c>
    </row>
    <row r="1990" spans="1:10" ht="15.75" customHeight="1">
      <c r="A1990" s="24" t="s">
        <v>11</v>
      </c>
      <c r="B1990" s="25">
        <v>46203</v>
      </c>
      <c r="C1990" s="26" t="s">
        <v>52</v>
      </c>
      <c r="D1990" s="27" t="s">
        <v>46</v>
      </c>
      <c r="E1990" s="28" t="s">
        <v>29</v>
      </c>
      <c r="F1990" s="29">
        <v>3953</v>
      </c>
      <c r="G1990" s="30">
        <v>89</v>
      </c>
      <c r="H1990" s="31">
        <v>59</v>
      </c>
      <c r="I1990" s="32">
        <v>3983</v>
      </c>
      <c r="J1990" s="34">
        <v>66.3</v>
      </c>
    </row>
    <row r="1991" spans="1:10" ht="15.75" customHeight="1">
      <c r="A1991" s="14" t="s">
        <v>11</v>
      </c>
      <c r="B1991" s="15">
        <v>46203</v>
      </c>
      <c r="C1991" s="16" t="s">
        <v>52</v>
      </c>
      <c r="D1991" s="17" t="s">
        <v>46</v>
      </c>
      <c r="E1991" s="18" t="s">
        <v>31</v>
      </c>
      <c r="F1991" s="19">
        <v>5139</v>
      </c>
      <c r="G1991" s="20">
        <v>94</v>
      </c>
      <c r="H1991" s="21">
        <v>66</v>
      </c>
      <c r="I1991" s="22">
        <v>5167</v>
      </c>
      <c r="J1991" s="23">
        <v>70.2</v>
      </c>
    </row>
    <row r="1992" spans="1:10" ht="15.75" customHeight="1">
      <c r="A1992" s="24" t="s">
        <v>11</v>
      </c>
      <c r="B1992" s="25">
        <v>46203</v>
      </c>
      <c r="C1992" s="26" t="s">
        <v>52</v>
      </c>
      <c r="D1992" s="27" t="s">
        <v>46</v>
      </c>
      <c r="E1992" s="28" t="s">
        <v>33</v>
      </c>
      <c r="F1992" s="29">
        <v>1838</v>
      </c>
      <c r="G1992" s="30">
        <v>103</v>
      </c>
      <c r="H1992" s="31">
        <v>98</v>
      </c>
      <c r="I1992" s="32">
        <v>1843</v>
      </c>
      <c r="J1992" s="33">
        <v>95.1</v>
      </c>
    </row>
    <row r="1993" spans="1:10" ht="15.75" customHeight="1">
      <c r="A1993" s="14" t="s">
        <v>11</v>
      </c>
      <c r="B1993" s="15">
        <v>46203</v>
      </c>
      <c r="C1993" s="16" t="s">
        <v>52</v>
      </c>
      <c r="D1993" s="17" t="s">
        <v>46</v>
      </c>
      <c r="E1993" s="18" t="s">
        <v>36</v>
      </c>
      <c r="F1993" s="19">
        <v>6435</v>
      </c>
      <c r="G1993" s="20">
        <v>166</v>
      </c>
      <c r="H1993" s="21">
        <v>114</v>
      </c>
      <c r="I1993" s="22">
        <v>6487</v>
      </c>
      <c r="J1993" s="23">
        <v>68.7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G379"/>
  <sheetViews>
    <sheetView zoomScaleNormal="100" workbookViewId="0">
      <pane ySplit="6" topLeftCell="A18" activePane="bottomLeft" state="frozen"/>
      <selection pane="bottomLeft" activeCell="A19" sqref="A19:A29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55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1">
        <v>46023</v>
      </c>
      <c r="B7" s="72" t="s">
        <v>45</v>
      </c>
      <c r="C7" s="48" t="s">
        <v>26</v>
      </c>
      <c r="D7" s="49">
        <v>480</v>
      </c>
      <c r="E7" s="50">
        <v>86</v>
      </c>
      <c r="F7" s="51">
        <v>63</v>
      </c>
      <c r="G7" s="52">
        <f>IFERROR(D7+E7-F7,"")</f>
        <v>503</v>
      </c>
    </row>
    <row r="8" spans="1:7" ht="21.75" customHeight="1">
      <c r="A8" s="71"/>
      <c r="B8" s="71"/>
      <c r="C8" s="48" t="s">
        <v>27</v>
      </c>
      <c r="D8" s="49">
        <v>380</v>
      </c>
      <c r="E8" s="50">
        <v>75</v>
      </c>
      <c r="F8" s="51">
        <v>65</v>
      </c>
      <c r="G8" s="52">
        <f>IFERROR(D8+E8-F8,"")</f>
        <v>390</v>
      </c>
    </row>
    <row r="9" spans="1:7" ht="21.75" customHeight="1">
      <c r="A9" s="71"/>
      <c r="B9" s="71"/>
      <c r="C9" s="48" t="s">
        <v>30</v>
      </c>
      <c r="D9" s="49">
        <v>330</v>
      </c>
      <c r="E9" s="50">
        <v>124</v>
      </c>
      <c r="F9" s="51">
        <v>77</v>
      </c>
      <c r="G9" s="52">
        <f>IFERROR(D9+E9-F9,"")</f>
        <v>377</v>
      </c>
    </row>
    <row r="10" spans="1:7" ht="21.75" customHeight="1">
      <c r="A10" s="71"/>
      <c r="B10" s="71"/>
      <c r="C10" s="48" t="s">
        <v>32</v>
      </c>
      <c r="D10" s="49">
        <v>430</v>
      </c>
      <c r="E10" s="50">
        <v>113</v>
      </c>
      <c r="F10" s="51">
        <v>85</v>
      </c>
      <c r="G10" s="52">
        <f>IFERROR(D10+E10-F10,"")</f>
        <v>458</v>
      </c>
    </row>
    <row r="11" spans="1:7" ht="21.75" customHeight="1">
      <c r="A11" s="71"/>
      <c r="B11" s="71"/>
      <c r="C11" s="48" t="s">
        <v>34</v>
      </c>
      <c r="D11" s="49">
        <v>280</v>
      </c>
      <c r="E11" s="50">
        <v>148</v>
      </c>
      <c r="F11" s="51">
        <v>108</v>
      </c>
      <c r="G11" s="52">
        <f>IFERROR(D11+E11-F11,"")</f>
        <v>320</v>
      </c>
    </row>
    <row r="12" spans="1:7" ht="21.75" customHeight="1">
      <c r="A12" s="71"/>
      <c r="B12" s="71"/>
      <c r="C12" s="48" t="s">
        <v>25</v>
      </c>
      <c r="D12" s="49">
        <v>360</v>
      </c>
      <c r="E12" s="50">
        <v>85</v>
      </c>
      <c r="F12" s="51">
        <v>67</v>
      </c>
      <c r="G12" s="52">
        <f>IFERROR(D12+E12-F12,"")</f>
        <v>378</v>
      </c>
    </row>
    <row r="13" spans="1:7" ht="21.75" customHeight="1">
      <c r="A13" s="71"/>
      <c r="B13" s="71"/>
      <c r="C13" s="48" t="s">
        <v>35</v>
      </c>
      <c r="D13" s="49">
        <v>400</v>
      </c>
      <c r="E13" s="50">
        <v>118</v>
      </c>
      <c r="F13" s="51">
        <v>85</v>
      </c>
      <c r="G13" s="52">
        <f>IFERROR(D13+E13-F13,"")</f>
        <v>433</v>
      </c>
    </row>
    <row r="14" spans="1:7" ht="21.75" customHeight="1">
      <c r="A14" s="71"/>
      <c r="B14" s="71"/>
      <c r="C14" s="48" t="s">
        <v>29</v>
      </c>
      <c r="D14" s="49">
        <v>340</v>
      </c>
      <c r="E14" s="50">
        <v>75</v>
      </c>
      <c r="F14" s="51">
        <v>53</v>
      </c>
      <c r="G14" s="52">
        <f>IFERROR(D14+E14-F14,"")</f>
        <v>362</v>
      </c>
    </row>
    <row r="15" spans="1:7" ht="21.75" customHeight="1">
      <c r="A15" s="71"/>
      <c r="B15" s="71"/>
      <c r="C15" s="48" t="s">
        <v>31</v>
      </c>
      <c r="D15" s="49">
        <v>290</v>
      </c>
      <c r="E15" s="50">
        <v>128</v>
      </c>
      <c r="F15" s="51">
        <v>98</v>
      </c>
      <c r="G15" s="52">
        <f>IFERROR(D15+E15-F15,"")</f>
        <v>320</v>
      </c>
    </row>
    <row r="16" spans="1:7" ht="21.75" customHeight="1">
      <c r="A16" s="71"/>
      <c r="B16" s="71"/>
      <c r="C16" s="48" t="s">
        <v>33</v>
      </c>
      <c r="D16" s="49">
        <v>270</v>
      </c>
      <c r="E16" s="50">
        <v>76</v>
      </c>
      <c r="F16" s="51">
        <v>66</v>
      </c>
      <c r="G16" s="52">
        <f>IFERROR(D16+E16-F16,"")</f>
        <v>280</v>
      </c>
    </row>
    <row r="17" spans="1:7" ht="21.75" customHeight="1">
      <c r="A17" s="71"/>
      <c r="B17" s="71"/>
      <c r="C17" s="48" t="s">
        <v>36</v>
      </c>
      <c r="D17" s="49">
        <v>450</v>
      </c>
      <c r="E17" s="50">
        <v>115</v>
      </c>
      <c r="F17" s="51">
        <v>70</v>
      </c>
      <c r="G17" s="52">
        <f>IFERROR(D17+E17-F17,"")</f>
        <v>495</v>
      </c>
    </row>
    <row r="18" spans="1:7" ht="21.75" customHeight="1">
      <c r="A18" s="73" t="s">
        <v>60</v>
      </c>
      <c r="B18" s="73"/>
      <c r="C18" s="73"/>
      <c r="D18" s="53">
        <f>IFERROR(SUM(D7:D17),"")</f>
        <v>4010</v>
      </c>
      <c r="E18" s="53">
        <f>IFERROR(SUM(E7:E17),"")</f>
        <v>1143</v>
      </c>
      <c r="F18" s="53">
        <f>IFERROR(SUM(F7:F17),"")</f>
        <v>837</v>
      </c>
      <c r="G18" s="53">
        <f>IFERROR(SUM(G7:G17),"")</f>
        <v>4316</v>
      </c>
    </row>
    <row r="19" spans="1:7" ht="21.75" customHeight="1">
      <c r="A19" s="71">
        <v>46024</v>
      </c>
      <c r="B19" s="72" t="s">
        <v>47</v>
      </c>
      <c r="C19" s="48" t="s">
        <v>26</v>
      </c>
      <c r="D19" s="54">
        <f>G7</f>
        <v>503</v>
      </c>
      <c r="E19" s="50">
        <v>137</v>
      </c>
      <c r="F19" s="51">
        <v>92</v>
      </c>
      <c r="G19" s="52">
        <f>IFERROR(D19+E19-F19,"")</f>
        <v>548</v>
      </c>
    </row>
    <row r="20" spans="1:7" ht="21.75" customHeight="1">
      <c r="A20" s="71"/>
      <c r="B20" s="71"/>
      <c r="C20" s="48" t="s">
        <v>27</v>
      </c>
      <c r="D20" s="54">
        <f>G8</f>
        <v>390</v>
      </c>
      <c r="E20" s="50">
        <v>127</v>
      </c>
      <c r="F20" s="51">
        <v>89</v>
      </c>
      <c r="G20" s="52">
        <f>IFERROR(D20+E20-F20,"")</f>
        <v>428</v>
      </c>
    </row>
    <row r="21" spans="1:7" ht="21.75" customHeight="1">
      <c r="A21" s="71"/>
      <c r="B21" s="71"/>
      <c r="C21" s="48" t="s">
        <v>30</v>
      </c>
      <c r="D21" s="54">
        <f>G9</f>
        <v>377</v>
      </c>
      <c r="E21" s="50">
        <v>101</v>
      </c>
      <c r="F21" s="51">
        <v>64</v>
      </c>
      <c r="G21" s="52">
        <f>IFERROR(D21+E21-F21,"")</f>
        <v>414</v>
      </c>
    </row>
    <row r="22" spans="1:7" ht="21.75" customHeight="1">
      <c r="A22" s="71"/>
      <c r="B22" s="71"/>
      <c r="C22" s="48" t="s">
        <v>32</v>
      </c>
      <c r="D22" s="54">
        <f>G10</f>
        <v>458</v>
      </c>
      <c r="E22" s="50">
        <v>68</v>
      </c>
      <c r="F22" s="51">
        <v>63</v>
      </c>
      <c r="G22" s="52">
        <f>IFERROR(D22+E22-F22,"")</f>
        <v>463</v>
      </c>
    </row>
    <row r="23" spans="1:7" ht="21.75" customHeight="1">
      <c r="A23" s="71"/>
      <c r="B23" s="71"/>
      <c r="C23" s="48" t="s">
        <v>34</v>
      </c>
      <c r="D23" s="54">
        <f>G11</f>
        <v>320</v>
      </c>
      <c r="E23" s="50">
        <v>102</v>
      </c>
      <c r="F23" s="51">
        <v>72</v>
      </c>
      <c r="G23" s="52">
        <f>IFERROR(D23+E23-F23,"")</f>
        <v>350</v>
      </c>
    </row>
    <row r="24" spans="1:7" ht="21.75" customHeight="1">
      <c r="A24" s="71"/>
      <c r="B24" s="71"/>
      <c r="C24" s="48" t="s">
        <v>25</v>
      </c>
      <c r="D24" s="54">
        <f>G12</f>
        <v>378</v>
      </c>
      <c r="E24" s="50">
        <v>108</v>
      </c>
      <c r="F24" s="51">
        <v>86</v>
      </c>
      <c r="G24" s="52">
        <f>IFERROR(D24+E24-F24,"")</f>
        <v>400</v>
      </c>
    </row>
    <row r="25" spans="1:7" ht="21.75" customHeight="1">
      <c r="A25" s="71"/>
      <c r="B25" s="71"/>
      <c r="C25" s="48" t="s">
        <v>35</v>
      </c>
      <c r="D25" s="54">
        <f>G13</f>
        <v>433</v>
      </c>
      <c r="E25" s="50">
        <v>136</v>
      </c>
      <c r="F25" s="51">
        <v>105</v>
      </c>
      <c r="G25" s="52">
        <f>IFERROR(D25+E25-F25,"")</f>
        <v>464</v>
      </c>
    </row>
    <row r="26" spans="1:7" ht="21.75" customHeight="1">
      <c r="A26" s="71"/>
      <c r="B26" s="71"/>
      <c r="C26" s="48" t="s">
        <v>29</v>
      </c>
      <c r="D26" s="54">
        <f>G14</f>
        <v>362</v>
      </c>
      <c r="E26" s="50">
        <v>95</v>
      </c>
      <c r="F26" s="51">
        <v>63</v>
      </c>
      <c r="G26" s="52">
        <f>IFERROR(D26+E26-F26,"")</f>
        <v>394</v>
      </c>
    </row>
    <row r="27" spans="1:7" ht="21.75" customHeight="1">
      <c r="A27" s="71"/>
      <c r="B27" s="71"/>
      <c r="C27" s="48" t="s">
        <v>31</v>
      </c>
      <c r="D27" s="54">
        <f>G15</f>
        <v>320</v>
      </c>
      <c r="E27" s="50">
        <v>124</v>
      </c>
      <c r="F27" s="51">
        <v>89</v>
      </c>
      <c r="G27" s="52">
        <f>IFERROR(D27+E27-F27,"")</f>
        <v>355</v>
      </c>
    </row>
    <row r="28" spans="1:7" ht="21.75" customHeight="1">
      <c r="A28" s="71"/>
      <c r="B28" s="71"/>
      <c r="C28" s="48" t="s">
        <v>33</v>
      </c>
      <c r="D28" s="54">
        <f>G16</f>
        <v>280</v>
      </c>
      <c r="E28" s="50">
        <v>88</v>
      </c>
      <c r="F28" s="51">
        <v>83</v>
      </c>
      <c r="G28" s="52">
        <f>IFERROR(D28+E28-F28,"")</f>
        <v>285</v>
      </c>
    </row>
    <row r="29" spans="1:7" ht="21.75" customHeight="1">
      <c r="A29" s="71"/>
      <c r="B29" s="71"/>
      <c r="C29" s="48" t="s">
        <v>36</v>
      </c>
      <c r="D29" s="54">
        <f>G17</f>
        <v>495</v>
      </c>
      <c r="E29" s="50">
        <v>121</v>
      </c>
      <c r="F29" s="51">
        <v>92</v>
      </c>
      <c r="G29" s="52">
        <f>IFERROR(D29+E29-F29,"")</f>
        <v>524</v>
      </c>
    </row>
    <row r="30" spans="1:7" ht="21.75" customHeight="1">
      <c r="A30" s="73" t="s">
        <v>61</v>
      </c>
      <c r="B30" s="73"/>
      <c r="C30" s="73"/>
      <c r="D30" s="53">
        <f>IFERROR(SUM(D19:D29),"")</f>
        <v>4316</v>
      </c>
      <c r="E30" s="53">
        <f>IFERROR(SUM(E19:E29),"")</f>
        <v>1207</v>
      </c>
      <c r="F30" s="53">
        <f>IFERROR(SUM(F19:F29),"")</f>
        <v>898</v>
      </c>
      <c r="G30" s="53">
        <f>IFERROR(SUM(G19:G29),"")</f>
        <v>4625</v>
      </c>
    </row>
    <row r="31" spans="1:7" ht="21.75" customHeight="1">
      <c r="A31" s="74">
        <v>46025</v>
      </c>
      <c r="B31" s="75" t="s">
        <v>48</v>
      </c>
      <c r="C31" s="48" t="s">
        <v>26</v>
      </c>
      <c r="D31" s="54">
        <f>G19</f>
        <v>548</v>
      </c>
      <c r="E31" s="50">
        <v>66</v>
      </c>
      <c r="F31" s="51">
        <v>52</v>
      </c>
      <c r="G31" s="52">
        <f>IFERROR(D31+E31-F31,"")</f>
        <v>562</v>
      </c>
    </row>
    <row r="32" spans="1:7" ht="21.75" customHeight="1">
      <c r="A32" s="74"/>
      <c r="B32" s="74"/>
      <c r="C32" s="48" t="s">
        <v>27</v>
      </c>
      <c r="D32" s="54">
        <f>G20</f>
        <v>428</v>
      </c>
      <c r="E32" s="50">
        <v>59</v>
      </c>
      <c r="F32" s="51">
        <v>49</v>
      </c>
      <c r="G32" s="52">
        <f>IFERROR(D32+E32-F32,"")</f>
        <v>438</v>
      </c>
    </row>
    <row r="33" spans="1:7" ht="21.75" customHeight="1">
      <c r="A33" s="74"/>
      <c r="B33" s="74"/>
      <c r="C33" s="48" t="s">
        <v>30</v>
      </c>
      <c r="D33" s="54">
        <f>G21</f>
        <v>414</v>
      </c>
      <c r="E33" s="50">
        <v>78</v>
      </c>
      <c r="F33" s="51">
        <v>59</v>
      </c>
      <c r="G33" s="52">
        <f>IFERROR(D33+E33-F33,"")</f>
        <v>433</v>
      </c>
    </row>
    <row r="34" spans="1:7" ht="21.75" customHeight="1">
      <c r="A34" s="74"/>
      <c r="B34" s="74"/>
      <c r="C34" s="48" t="s">
        <v>32</v>
      </c>
      <c r="D34" s="54">
        <f>G22</f>
        <v>463</v>
      </c>
      <c r="E34" s="50">
        <v>47</v>
      </c>
      <c r="F34" s="51">
        <v>43</v>
      </c>
      <c r="G34" s="52">
        <f>IFERROR(D34+E34-F34,"")</f>
        <v>467</v>
      </c>
    </row>
    <row r="35" spans="1:7" ht="21.75" customHeight="1">
      <c r="A35" s="74"/>
      <c r="B35" s="74"/>
      <c r="C35" s="48" t="s">
        <v>34</v>
      </c>
      <c r="D35" s="54">
        <f>G23</f>
        <v>350</v>
      </c>
      <c r="E35" s="50">
        <v>42</v>
      </c>
      <c r="F35" s="51">
        <v>28</v>
      </c>
      <c r="G35" s="52">
        <f>IFERROR(D35+E35-F35,"")</f>
        <v>364</v>
      </c>
    </row>
    <row r="36" spans="1:7" ht="21.75" customHeight="1">
      <c r="A36" s="74"/>
      <c r="B36" s="74"/>
      <c r="C36" s="48" t="s">
        <v>25</v>
      </c>
      <c r="D36" s="54">
        <f>G24</f>
        <v>400</v>
      </c>
      <c r="E36" s="50">
        <v>25</v>
      </c>
      <c r="F36" s="51">
        <v>20</v>
      </c>
      <c r="G36" s="52">
        <f>IFERROR(D36+E36-F36,"")</f>
        <v>405</v>
      </c>
    </row>
    <row r="37" spans="1:7" ht="21.75" customHeight="1">
      <c r="A37" s="74"/>
      <c r="B37" s="74"/>
      <c r="C37" s="48" t="s">
        <v>35</v>
      </c>
      <c r="D37" s="54">
        <f>G25</f>
        <v>464</v>
      </c>
      <c r="E37" s="50">
        <v>46</v>
      </c>
      <c r="F37" s="51">
        <v>35</v>
      </c>
      <c r="G37" s="52">
        <f>IFERROR(D37+E37-F37,"")</f>
        <v>475</v>
      </c>
    </row>
    <row r="38" spans="1:7" ht="21.75" customHeight="1">
      <c r="A38" s="74"/>
      <c r="B38" s="74"/>
      <c r="C38" s="48" t="s">
        <v>29</v>
      </c>
      <c r="D38" s="54">
        <f>G26</f>
        <v>394</v>
      </c>
      <c r="E38" s="50">
        <v>47</v>
      </c>
      <c r="F38" s="51">
        <v>36</v>
      </c>
      <c r="G38" s="52">
        <f>IFERROR(D38+E38-F38,"")</f>
        <v>405</v>
      </c>
    </row>
    <row r="39" spans="1:7" ht="21.75" customHeight="1">
      <c r="A39" s="74"/>
      <c r="B39" s="74"/>
      <c r="C39" s="48" t="s">
        <v>31</v>
      </c>
      <c r="D39" s="54">
        <f>G27</f>
        <v>355</v>
      </c>
      <c r="E39" s="50">
        <v>69</v>
      </c>
      <c r="F39" s="51">
        <v>50</v>
      </c>
      <c r="G39" s="52">
        <f>IFERROR(D39+E39-F39,"")</f>
        <v>374</v>
      </c>
    </row>
    <row r="40" spans="1:7" ht="21.75" customHeight="1">
      <c r="A40" s="74"/>
      <c r="B40" s="74"/>
      <c r="C40" s="48" t="s">
        <v>33</v>
      </c>
      <c r="D40" s="54">
        <f>G28</f>
        <v>285</v>
      </c>
      <c r="E40" s="50">
        <v>50</v>
      </c>
      <c r="F40" s="51">
        <v>40</v>
      </c>
      <c r="G40" s="52">
        <f>IFERROR(D40+E40-F40,"")</f>
        <v>295</v>
      </c>
    </row>
    <row r="41" spans="1:7" ht="21.75" customHeight="1">
      <c r="A41" s="74"/>
      <c r="B41" s="74"/>
      <c r="C41" s="48" t="s">
        <v>36</v>
      </c>
      <c r="D41" s="54">
        <f>G29</f>
        <v>524</v>
      </c>
      <c r="E41" s="50">
        <v>84</v>
      </c>
      <c r="F41" s="51">
        <v>65</v>
      </c>
      <c r="G41" s="52">
        <f>IFERROR(D41+E41-F41,"")</f>
        <v>543</v>
      </c>
    </row>
    <row r="42" spans="1:7" ht="21.75" customHeight="1">
      <c r="A42" s="73" t="s">
        <v>62</v>
      </c>
      <c r="B42" s="73"/>
      <c r="C42" s="73"/>
      <c r="D42" s="53">
        <f>IFERROR(SUM(D31:D41),"")</f>
        <v>4625</v>
      </c>
      <c r="E42" s="53">
        <f>IFERROR(SUM(E31:E41),"")</f>
        <v>613</v>
      </c>
      <c r="F42" s="53">
        <f>IFERROR(SUM(F31:F41),"")</f>
        <v>477</v>
      </c>
      <c r="G42" s="53">
        <f>IFERROR(SUM(G31:G41),"")</f>
        <v>4761</v>
      </c>
    </row>
    <row r="43" spans="1:7" ht="21.75" customHeight="1">
      <c r="A43" s="74">
        <v>46026</v>
      </c>
      <c r="B43" s="75" t="s">
        <v>50</v>
      </c>
      <c r="C43" s="48" t="s">
        <v>26</v>
      </c>
      <c r="D43" s="54">
        <f>G31</f>
        <v>562</v>
      </c>
      <c r="E43" s="50">
        <v>32</v>
      </c>
      <c r="F43" s="51">
        <v>25</v>
      </c>
      <c r="G43" s="52">
        <f>IFERROR(D43+E43-F43,"")</f>
        <v>569</v>
      </c>
    </row>
    <row r="44" spans="1:7" ht="21.75" customHeight="1">
      <c r="A44" s="74"/>
      <c r="B44" s="74"/>
      <c r="C44" s="48" t="s">
        <v>27</v>
      </c>
      <c r="D44" s="54">
        <f>G32</f>
        <v>438</v>
      </c>
      <c r="E44" s="50">
        <v>42</v>
      </c>
      <c r="F44" s="51">
        <v>35</v>
      </c>
      <c r="G44" s="52">
        <f>IFERROR(D44+E44-F44,"")</f>
        <v>445</v>
      </c>
    </row>
    <row r="45" spans="1:7" ht="21.75" customHeight="1">
      <c r="A45" s="74"/>
      <c r="B45" s="74"/>
      <c r="C45" s="48" t="s">
        <v>30</v>
      </c>
      <c r="D45" s="54">
        <f>G33</f>
        <v>433</v>
      </c>
      <c r="E45" s="50">
        <v>70</v>
      </c>
      <c r="F45" s="51">
        <v>50</v>
      </c>
      <c r="G45" s="52">
        <f>IFERROR(D45+E45-F45,"")</f>
        <v>453</v>
      </c>
    </row>
    <row r="46" spans="1:7" ht="21.75" customHeight="1">
      <c r="A46" s="74"/>
      <c r="B46" s="74"/>
      <c r="C46" s="48" t="s">
        <v>32</v>
      </c>
      <c r="D46" s="54">
        <f>G34</f>
        <v>467</v>
      </c>
      <c r="E46" s="50">
        <v>27</v>
      </c>
      <c r="F46" s="51">
        <v>25</v>
      </c>
      <c r="G46" s="52">
        <f>IFERROR(D46+E46-F46,"")</f>
        <v>469</v>
      </c>
    </row>
    <row r="47" spans="1:7" ht="21.75" customHeight="1">
      <c r="A47" s="74"/>
      <c r="B47" s="74"/>
      <c r="C47" s="48" t="s">
        <v>34</v>
      </c>
      <c r="D47" s="54">
        <f>G35</f>
        <v>364</v>
      </c>
      <c r="E47" s="50">
        <v>58</v>
      </c>
      <c r="F47" s="51">
        <v>42</v>
      </c>
      <c r="G47" s="52">
        <f>IFERROR(D47+E47-F47,"")</f>
        <v>380</v>
      </c>
    </row>
    <row r="48" spans="1:7" ht="21.75" customHeight="1">
      <c r="A48" s="74"/>
      <c r="B48" s="74"/>
      <c r="C48" s="48" t="s">
        <v>25</v>
      </c>
      <c r="D48" s="54">
        <f>G36</f>
        <v>405</v>
      </c>
      <c r="E48" s="50">
        <v>34</v>
      </c>
      <c r="F48" s="51">
        <v>27</v>
      </c>
      <c r="G48" s="52">
        <f>IFERROR(D48+E48-F48,"")</f>
        <v>412</v>
      </c>
    </row>
    <row r="49" spans="1:7" ht="21.75" customHeight="1">
      <c r="A49" s="74"/>
      <c r="B49" s="74"/>
      <c r="C49" s="48" t="s">
        <v>35</v>
      </c>
      <c r="D49" s="54">
        <f>G37</f>
        <v>475</v>
      </c>
      <c r="E49" s="50">
        <v>60</v>
      </c>
      <c r="F49" s="51">
        <v>45</v>
      </c>
      <c r="G49" s="52">
        <f>IFERROR(D49+E49-F49,"")</f>
        <v>490</v>
      </c>
    </row>
    <row r="50" spans="1:7" ht="21.75" customHeight="1">
      <c r="A50" s="74"/>
      <c r="B50" s="74"/>
      <c r="C50" s="48" t="s">
        <v>29</v>
      </c>
      <c r="D50" s="54">
        <f>G38</f>
        <v>405</v>
      </c>
      <c r="E50" s="50">
        <v>35</v>
      </c>
      <c r="F50" s="51">
        <v>30</v>
      </c>
      <c r="G50" s="52">
        <f>IFERROR(D50+E50-F50,"")</f>
        <v>410</v>
      </c>
    </row>
    <row r="51" spans="1:7" ht="21.75" customHeight="1">
      <c r="A51" s="74"/>
      <c r="B51" s="74"/>
      <c r="C51" s="48" t="s">
        <v>31</v>
      </c>
      <c r="D51" s="54">
        <f>G39</f>
        <v>374</v>
      </c>
      <c r="E51" s="50">
        <v>58</v>
      </c>
      <c r="F51" s="51">
        <v>44</v>
      </c>
      <c r="G51" s="52">
        <f>IFERROR(D51+E51-F51,"")</f>
        <v>388</v>
      </c>
    </row>
    <row r="52" spans="1:7" ht="21.75" customHeight="1">
      <c r="A52" s="74"/>
      <c r="B52" s="74"/>
      <c r="C52" s="48" t="s">
        <v>33</v>
      </c>
      <c r="D52" s="54">
        <f>G40</f>
        <v>295</v>
      </c>
      <c r="E52" s="50">
        <v>23</v>
      </c>
      <c r="F52" s="51">
        <v>17</v>
      </c>
      <c r="G52" s="52">
        <f>IFERROR(D52+E52-F52,"")</f>
        <v>301</v>
      </c>
    </row>
    <row r="53" spans="1:7" ht="21.75" customHeight="1">
      <c r="A53" s="74"/>
      <c r="B53" s="74"/>
      <c r="C53" s="48" t="s">
        <v>36</v>
      </c>
      <c r="D53" s="54">
        <f>G41</f>
        <v>543</v>
      </c>
      <c r="E53" s="50">
        <v>46</v>
      </c>
      <c r="F53" s="51">
        <v>35</v>
      </c>
      <c r="G53" s="52">
        <f>IFERROR(D53+E53-F53,"")</f>
        <v>554</v>
      </c>
    </row>
    <row r="54" spans="1:7" ht="21.75" customHeight="1">
      <c r="A54" s="73" t="s">
        <v>63</v>
      </c>
      <c r="B54" s="73"/>
      <c r="C54" s="73"/>
      <c r="D54" s="53">
        <f>IFERROR(SUM(D43:D53),"")</f>
        <v>4761</v>
      </c>
      <c r="E54" s="53">
        <f>IFERROR(SUM(E43:E53),"")</f>
        <v>485</v>
      </c>
      <c r="F54" s="53">
        <f>IFERROR(SUM(F43:F53),"")</f>
        <v>375</v>
      </c>
      <c r="G54" s="53">
        <f>IFERROR(SUM(G43:G53),"")</f>
        <v>4871</v>
      </c>
    </row>
    <row r="55" spans="1:7" ht="21.75" customHeight="1">
      <c r="A55" s="71">
        <v>46027</v>
      </c>
      <c r="B55" s="72" t="s">
        <v>51</v>
      </c>
      <c r="C55" s="48" t="s">
        <v>26</v>
      </c>
      <c r="D55" s="54">
        <f>G43</f>
        <v>569</v>
      </c>
      <c r="E55" s="50">
        <v>80</v>
      </c>
      <c r="F55" s="51">
        <v>55</v>
      </c>
      <c r="G55" s="52">
        <f>IFERROR(D55+E55-F55,"")</f>
        <v>594</v>
      </c>
    </row>
    <row r="56" spans="1:7" ht="21.75" customHeight="1">
      <c r="A56" s="71"/>
      <c r="B56" s="71"/>
      <c r="C56" s="48" t="s">
        <v>27</v>
      </c>
      <c r="D56" s="54">
        <f>G44</f>
        <v>445</v>
      </c>
      <c r="E56" s="50">
        <v>109</v>
      </c>
      <c r="F56" s="51">
        <v>78</v>
      </c>
      <c r="G56" s="52">
        <f>IFERROR(D56+E56-F56,"")</f>
        <v>476</v>
      </c>
    </row>
    <row r="57" spans="1:7" ht="21.75" customHeight="1">
      <c r="A57" s="71"/>
      <c r="B57" s="71"/>
      <c r="C57" s="48" t="s">
        <v>30</v>
      </c>
      <c r="D57" s="54">
        <f>G45</f>
        <v>453</v>
      </c>
      <c r="E57" s="50">
        <v>155</v>
      </c>
      <c r="F57" s="51">
        <v>104</v>
      </c>
      <c r="G57" s="52">
        <f>IFERROR(D57+E57-F57,"")</f>
        <v>504</v>
      </c>
    </row>
    <row r="58" spans="1:7" ht="21.75" customHeight="1">
      <c r="A58" s="71"/>
      <c r="B58" s="71"/>
      <c r="C58" s="48" t="s">
        <v>32</v>
      </c>
      <c r="D58" s="54">
        <f>G46</f>
        <v>469</v>
      </c>
      <c r="E58" s="50">
        <v>105</v>
      </c>
      <c r="F58" s="51">
        <v>80</v>
      </c>
      <c r="G58" s="52">
        <f>IFERROR(D58+E58-F58,"")</f>
        <v>494</v>
      </c>
    </row>
    <row r="59" spans="1:7" ht="21.75" customHeight="1">
      <c r="A59" s="71"/>
      <c r="B59" s="71"/>
      <c r="C59" s="48" t="s">
        <v>34</v>
      </c>
      <c r="D59" s="54">
        <f>G47</f>
        <v>380</v>
      </c>
      <c r="E59" s="50">
        <v>110</v>
      </c>
      <c r="F59" s="51">
        <v>81</v>
      </c>
      <c r="G59" s="52">
        <f>IFERROR(D59+E59-F59,"")</f>
        <v>409</v>
      </c>
    </row>
    <row r="60" spans="1:7" ht="21.75" customHeight="1">
      <c r="A60" s="71"/>
      <c r="B60" s="71"/>
      <c r="C60" s="48" t="s">
        <v>25</v>
      </c>
      <c r="D60" s="54">
        <f>G48</f>
        <v>412</v>
      </c>
      <c r="E60" s="50">
        <v>107</v>
      </c>
      <c r="F60" s="51">
        <v>72</v>
      </c>
      <c r="G60" s="52">
        <f>IFERROR(D60+E60-F60,"")</f>
        <v>447</v>
      </c>
    </row>
    <row r="61" spans="1:7" ht="21.75" customHeight="1">
      <c r="A61" s="71"/>
      <c r="B61" s="71"/>
      <c r="C61" s="48" t="s">
        <v>35</v>
      </c>
      <c r="D61" s="54">
        <f>G49</f>
        <v>490</v>
      </c>
      <c r="E61" s="50">
        <v>123</v>
      </c>
      <c r="F61" s="51">
        <v>90</v>
      </c>
      <c r="G61" s="52">
        <f>IFERROR(D61+E61-F61,"")</f>
        <v>523</v>
      </c>
    </row>
    <row r="62" spans="1:7" ht="21.75" customHeight="1">
      <c r="A62" s="71"/>
      <c r="B62" s="71"/>
      <c r="C62" s="48" t="s">
        <v>29</v>
      </c>
      <c r="D62" s="54">
        <f>G50</f>
        <v>410</v>
      </c>
      <c r="E62" s="50">
        <v>99</v>
      </c>
      <c r="F62" s="51">
        <v>85</v>
      </c>
      <c r="G62" s="52">
        <f>IFERROR(D62+E62-F62,"")</f>
        <v>424</v>
      </c>
    </row>
    <row r="63" spans="1:7" ht="21.75" customHeight="1">
      <c r="A63" s="71"/>
      <c r="B63" s="71"/>
      <c r="C63" s="48" t="s">
        <v>31</v>
      </c>
      <c r="D63" s="54">
        <f>G51</f>
        <v>388</v>
      </c>
      <c r="E63" s="50">
        <v>136</v>
      </c>
      <c r="F63" s="51">
        <v>87</v>
      </c>
      <c r="G63" s="52">
        <f>IFERROR(D63+E63-F63,"")</f>
        <v>437</v>
      </c>
    </row>
    <row r="64" spans="1:7" ht="21.75" customHeight="1">
      <c r="A64" s="71"/>
      <c r="B64" s="71"/>
      <c r="C64" s="48" t="s">
        <v>33</v>
      </c>
      <c r="D64" s="54">
        <f>G52</f>
        <v>301</v>
      </c>
      <c r="E64" s="50">
        <v>75</v>
      </c>
      <c r="F64" s="51">
        <v>66</v>
      </c>
      <c r="G64" s="52">
        <f>IFERROR(D64+E64-F64,"")</f>
        <v>310</v>
      </c>
    </row>
    <row r="65" spans="1:7" ht="21.75" customHeight="1">
      <c r="A65" s="71"/>
      <c r="B65" s="71"/>
      <c r="C65" s="48" t="s">
        <v>36</v>
      </c>
      <c r="D65" s="54">
        <f>G53</f>
        <v>554</v>
      </c>
      <c r="E65" s="50">
        <v>155</v>
      </c>
      <c r="F65" s="51">
        <v>96</v>
      </c>
      <c r="G65" s="52">
        <f>IFERROR(D65+E65-F65,"")</f>
        <v>613</v>
      </c>
    </row>
    <row r="66" spans="1:7" ht="21.75" customHeight="1">
      <c r="A66" s="73" t="s">
        <v>64</v>
      </c>
      <c r="B66" s="73"/>
      <c r="C66" s="73"/>
      <c r="D66" s="53">
        <f>IFERROR(SUM(D55:D65),"")</f>
        <v>4871</v>
      </c>
      <c r="E66" s="53">
        <f>IFERROR(SUM(E55:E65),"")</f>
        <v>1254</v>
      </c>
      <c r="F66" s="53">
        <f>IFERROR(SUM(F55:F65),"")</f>
        <v>894</v>
      </c>
      <c r="G66" s="53">
        <f>IFERROR(SUM(G55:G65),"")</f>
        <v>5231</v>
      </c>
    </row>
    <row r="67" spans="1:7" ht="21.75" customHeight="1">
      <c r="A67" s="71">
        <v>46028</v>
      </c>
      <c r="B67" s="72" t="s">
        <v>52</v>
      </c>
      <c r="C67" s="48" t="s">
        <v>26</v>
      </c>
      <c r="D67" s="54">
        <f>G55</f>
        <v>594</v>
      </c>
      <c r="E67" s="50">
        <v>88</v>
      </c>
      <c r="F67" s="51">
        <v>61</v>
      </c>
      <c r="G67" s="52">
        <f>IFERROR(D67+E67-F67,"")</f>
        <v>621</v>
      </c>
    </row>
    <row r="68" spans="1:7" ht="21.75" customHeight="1">
      <c r="A68" s="71"/>
      <c r="B68" s="71"/>
      <c r="C68" s="48" t="s">
        <v>27</v>
      </c>
      <c r="D68" s="54">
        <f>G56</f>
        <v>476</v>
      </c>
      <c r="E68" s="50">
        <v>93</v>
      </c>
      <c r="F68" s="51">
        <v>72</v>
      </c>
      <c r="G68" s="52">
        <f>IFERROR(D68+E68-F68,"")</f>
        <v>497</v>
      </c>
    </row>
    <row r="69" spans="1:7" ht="21.75" customHeight="1">
      <c r="A69" s="71"/>
      <c r="B69" s="71"/>
      <c r="C69" s="48" t="s">
        <v>30</v>
      </c>
      <c r="D69" s="54">
        <f>G57</f>
        <v>504</v>
      </c>
      <c r="E69" s="50">
        <v>100</v>
      </c>
      <c r="F69" s="51">
        <v>80</v>
      </c>
      <c r="G69" s="52">
        <f>IFERROR(D69+E69-F69,"")</f>
        <v>524</v>
      </c>
    </row>
    <row r="70" spans="1:7" ht="21.75" customHeight="1">
      <c r="A70" s="71"/>
      <c r="B70" s="71"/>
      <c r="C70" s="48" t="s">
        <v>32</v>
      </c>
      <c r="D70" s="54">
        <f>G58</f>
        <v>494</v>
      </c>
      <c r="E70" s="50">
        <v>63</v>
      </c>
      <c r="F70" s="51">
        <v>59</v>
      </c>
      <c r="G70" s="52">
        <f>IFERROR(D70+E70-F70,"")</f>
        <v>498</v>
      </c>
    </row>
    <row r="71" spans="1:7" ht="21.75" customHeight="1">
      <c r="A71" s="71"/>
      <c r="B71" s="71"/>
      <c r="C71" s="48" t="s">
        <v>34</v>
      </c>
      <c r="D71" s="54">
        <f>G59</f>
        <v>409</v>
      </c>
      <c r="E71" s="50">
        <v>166</v>
      </c>
      <c r="F71" s="51">
        <v>126</v>
      </c>
      <c r="G71" s="52">
        <f>IFERROR(D71+E71-F71,"")</f>
        <v>449</v>
      </c>
    </row>
    <row r="72" spans="1:7" ht="21.75" customHeight="1">
      <c r="A72" s="71"/>
      <c r="B72" s="71"/>
      <c r="C72" s="48" t="s">
        <v>25</v>
      </c>
      <c r="D72" s="54">
        <f>G60</f>
        <v>447</v>
      </c>
      <c r="E72" s="50">
        <v>84</v>
      </c>
      <c r="F72" s="51">
        <v>66</v>
      </c>
      <c r="G72" s="52">
        <f>IFERROR(D72+E72-F72,"")</f>
        <v>465</v>
      </c>
    </row>
    <row r="73" spans="1:7" ht="21.75" customHeight="1">
      <c r="A73" s="71"/>
      <c r="B73" s="71"/>
      <c r="C73" s="48" t="s">
        <v>35</v>
      </c>
      <c r="D73" s="54">
        <f>G61</f>
        <v>523</v>
      </c>
      <c r="E73" s="50">
        <v>93</v>
      </c>
      <c r="F73" s="51">
        <v>75</v>
      </c>
      <c r="G73" s="52">
        <f>IFERROR(D73+E73-F73,"")</f>
        <v>541</v>
      </c>
    </row>
    <row r="74" spans="1:7" ht="21.75" customHeight="1">
      <c r="A74" s="71"/>
      <c r="B74" s="71"/>
      <c r="C74" s="48" t="s">
        <v>29</v>
      </c>
      <c r="D74" s="54">
        <f>G62</f>
        <v>424</v>
      </c>
      <c r="E74" s="50">
        <v>114</v>
      </c>
      <c r="F74" s="51">
        <v>87</v>
      </c>
      <c r="G74" s="52">
        <f>IFERROR(D74+E74-F74,"")</f>
        <v>451</v>
      </c>
    </row>
    <row r="75" spans="1:7" ht="21.75" customHeight="1">
      <c r="A75" s="71"/>
      <c r="B75" s="71"/>
      <c r="C75" s="48" t="s">
        <v>31</v>
      </c>
      <c r="D75" s="54">
        <f>G63</f>
        <v>437</v>
      </c>
      <c r="E75" s="50">
        <v>132</v>
      </c>
      <c r="F75" s="51">
        <v>88</v>
      </c>
      <c r="G75" s="52">
        <f>IFERROR(D75+E75-F75,"")</f>
        <v>481</v>
      </c>
    </row>
    <row r="76" spans="1:7" ht="21.75" customHeight="1">
      <c r="A76" s="71"/>
      <c r="B76" s="71"/>
      <c r="C76" s="48" t="s">
        <v>33</v>
      </c>
      <c r="D76" s="54">
        <f>G64</f>
        <v>310</v>
      </c>
      <c r="E76" s="50">
        <v>89</v>
      </c>
      <c r="F76" s="51">
        <v>79</v>
      </c>
      <c r="G76" s="52">
        <f>IFERROR(D76+E76-F76,"")</f>
        <v>320</v>
      </c>
    </row>
    <row r="77" spans="1:7" ht="21.75" customHeight="1">
      <c r="A77" s="71"/>
      <c r="B77" s="71"/>
      <c r="C77" s="48" t="s">
        <v>36</v>
      </c>
      <c r="D77" s="54">
        <f>G65</f>
        <v>613</v>
      </c>
      <c r="E77" s="50">
        <v>161</v>
      </c>
      <c r="F77" s="51">
        <v>105</v>
      </c>
      <c r="G77" s="52">
        <f>IFERROR(D77+E77-F77,"")</f>
        <v>669</v>
      </c>
    </row>
    <row r="78" spans="1:7" ht="21.75" customHeight="1">
      <c r="A78" s="73" t="s">
        <v>65</v>
      </c>
      <c r="B78" s="73"/>
      <c r="C78" s="73"/>
      <c r="D78" s="53">
        <f>IFERROR(SUM(D67:D77),"")</f>
        <v>5231</v>
      </c>
      <c r="E78" s="53">
        <f>IFERROR(SUM(E67:E77),"")</f>
        <v>1183</v>
      </c>
      <c r="F78" s="53">
        <f>IFERROR(SUM(F67:F77),"")</f>
        <v>898</v>
      </c>
      <c r="G78" s="53">
        <f>IFERROR(SUM(G67:G77),"")</f>
        <v>5516</v>
      </c>
    </row>
    <row r="79" spans="1:7" ht="21.75" customHeight="1">
      <c r="A79" s="71">
        <v>46029</v>
      </c>
      <c r="B79" s="72" t="s">
        <v>53</v>
      </c>
      <c r="C79" s="48" t="s">
        <v>26</v>
      </c>
      <c r="D79" s="54">
        <f>G67</f>
        <v>621</v>
      </c>
      <c r="E79" s="50">
        <v>82</v>
      </c>
      <c r="F79" s="51">
        <v>64</v>
      </c>
      <c r="G79" s="52">
        <f>IFERROR(D79+E79-F79,"")</f>
        <v>639</v>
      </c>
    </row>
    <row r="80" spans="1:7" ht="21.75" customHeight="1">
      <c r="A80" s="71"/>
      <c r="B80" s="71"/>
      <c r="C80" s="48" t="s">
        <v>27</v>
      </c>
      <c r="D80" s="54">
        <f>G68</f>
        <v>497</v>
      </c>
      <c r="E80" s="50">
        <v>98</v>
      </c>
      <c r="F80" s="51">
        <v>82</v>
      </c>
      <c r="G80" s="52">
        <f>IFERROR(D80+E80-F80,"")</f>
        <v>513</v>
      </c>
    </row>
    <row r="81" spans="1:7" ht="21.75" customHeight="1">
      <c r="A81" s="71"/>
      <c r="B81" s="71"/>
      <c r="C81" s="48" t="s">
        <v>30</v>
      </c>
      <c r="D81" s="54">
        <f>G69</f>
        <v>524</v>
      </c>
      <c r="E81" s="50">
        <v>128</v>
      </c>
      <c r="F81" s="51">
        <v>89</v>
      </c>
      <c r="G81" s="52">
        <f>IFERROR(D81+E81-F81,"")</f>
        <v>563</v>
      </c>
    </row>
    <row r="82" spans="1:7" ht="21.75" customHeight="1">
      <c r="A82" s="71"/>
      <c r="B82" s="71"/>
      <c r="C82" s="48" t="s">
        <v>32</v>
      </c>
      <c r="D82" s="54">
        <f>G70</f>
        <v>498</v>
      </c>
      <c r="E82" s="50">
        <v>110</v>
      </c>
      <c r="F82" s="51">
        <v>82</v>
      </c>
      <c r="G82" s="52">
        <f>IFERROR(D82+E82-F82,"")</f>
        <v>526</v>
      </c>
    </row>
    <row r="83" spans="1:7" ht="21.75" customHeight="1">
      <c r="A83" s="71"/>
      <c r="B83" s="71"/>
      <c r="C83" s="48" t="s">
        <v>34</v>
      </c>
      <c r="D83" s="54">
        <f>G71</f>
        <v>449</v>
      </c>
      <c r="E83" s="50">
        <v>120</v>
      </c>
      <c r="F83" s="51">
        <v>90</v>
      </c>
      <c r="G83" s="52">
        <f>IFERROR(D83+E83-F83,"")</f>
        <v>479</v>
      </c>
    </row>
    <row r="84" spans="1:7" ht="21.75" customHeight="1">
      <c r="A84" s="71"/>
      <c r="B84" s="71"/>
      <c r="C84" s="48" t="s">
        <v>25</v>
      </c>
      <c r="D84" s="54">
        <f>G72</f>
        <v>465</v>
      </c>
      <c r="E84" s="50">
        <v>70</v>
      </c>
      <c r="F84" s="51">
        <v>60</v>
      </c>
      <c r="G84" s="52">
        <f>IFERROR(D84+E84-F84,"")</f>
        <v>475</v>
      </c>
    </row>
    <row r="85" spans="1:7" ht="21.75" customHeight="1">
      <c r="A85" s="71"/>
      <c r="B85" s="71"/>
      <c r="C85" s="48" t="s">
        <v>35</v>
      </c>
      <c r="D85" s="54">
        <f>G73</f>
        <v>541</v>
      </c>
      <c r="E85" s="50">
        <v>140</v>
      </c>
      <c r="F85" s="51">
        <v>117</v>
      </c>
      <c r="G85" s="52">
        <f>IFERROR(D85+E85-F85,"")</f>
        <v>564</v>
      </c>
    </row>
    <row r="86" spans="1:7" ht="21.75" customHeight="1">
      <c r="A86" s="71"/>
      <c r="B86" s="71"/>
      <c r="C86" s="48" t="s">
        <v>29</v>
      </c>
      <c r="D86" s="54">
        <f>G74</f>
        <v>451</v>
      </c>
      <c r="E86" s="50">
        <v>73</v>
      </c>
      <c r="F86" s="51">
        <v>53</v>
      </c>
      <c r="G86" s="52">
        <f>IFERROR(D86+E86-F86,"")</f>
        <v>471</v>
      </c>
    </row>
    <row r="87" spans="1:7" ht="21.75" customHeight="1">
      <c r="A87" s="71"/>
      <c r="B87" s="71"/>
      <c r="C87" s="48" t="s">
        <v>31</v>
      </c>
      <c r="D87" s="54">
        <f>G75</f>
        <v>481</v>
      </c>
      <c r="E87" s="50">
        <v>149</v>
      </c>
      <c r="F87" s="51">
        <v>98</v>
      </c>
      <c r="G87" s="52">
        <f>IFERROR(D87+E87-F87,"")</f>
        <v>532</v>
      </c>
    </row>
    <row r="88" spans="1:7" ht="21.75" customHeight="1">
      <c r="A88" s="71"/>
      <c r="B88" s="71"/>
      <c r="C88" s="48" t="s">
        <v>33</v>
      </c>
      <c r="D88" s="54">
        <f>G76</f>
        <v>320</v>
      </c>
      <c r="E88" s="50">
        <v>89</v>
      </c>
      <c r="F88" s="51">
        <v>80</v>
      </c>
      <c r="G88" s="52">
        <f>IFERROR(D88+E88-F88,"")</f>
        <v>329</v>
      </c>
    </row>
    <row r="89" spans="1:7" ht="21.75" customHeight="1">
      <c r="A89" s="71"/>
      <c r="B89" s="71"/>
      <c r="C89" s="48" t="s">
        <v>36</v>
      </c>
      <c r="D89" s="54">
        <f>G77</f>
        <v>669</v>
      </c>
      <c r="E89" s="50">
        <v>123</v>
      </c>
      <c r="F89" s="51">
        <v>93</v>
      </c>
      <c r="G89" s="52">
        <f>IFERROR(D89+E89-F89,"")</f>
        <v>699</v>
      </c>
    </row>
    <row r="90" spans="1:7" ht="21.75" customHeight="1">
      <c r="A90" s="73" t="s">
        <v>66</v>
      </c>
      <c r="B90" s="73"/>
      <c r="C90" s="73"/>
      <c r="D90" s="53">
        <f>IFERROR(SUM(D79:D89),"")</f>
        <v>5516</v>
      </c>
      <c r="E90" s="53">
        <f>IFERROR(SUM(E79:E89),"")</f>
        <v>1182</v>
      </c>
      <c r="F90" s="53">
        <f>IFERROR(SUM(F79:F89),"")</f>
        <v>908</v>
      </c>
      <c r="G90" s="53">
        <f>IFERROR(SUM(G79:G89),"")</f>
        <v>5790</v>
      </c>
    </row>
    <row r="91" spans="1:7" ht="21.75" customHeight="1">
      <c r="A91" s="71">
        <v>46030</v>
      </c>
      <c r="B91" s="72" t="s">
        <v>45</v>
      </c>
      <c r="C91" s="48" t="s">
        <v>26</v>
      </c>
      <c r="D91" s="54">
        <f>G79</f>
        <v>639</v>
      </c>
      <c r="E91" s="50">
        <v>130</v>
      </c>
      <c r="F91" s="51">
        <v>85</v>
      </c>
      <c r="G91" s="52">
        <f>IFERROR(D91+E91-F91,"")</f>
        <v>684</v>
      </c>
    </row>
    <row r="92" spans="1:7" ht="21.75" customHeight="1">
      <c r="A92" s="71"/>
      <c r="B92" s="71"/>
      <c r="C92" s="48" t="s">
        <v>27</v>
      </c>
      <c r="D92" s="54">
        <f>G80</f>
        <v>513</v>
      </c>
      <c r="E92" s="50">
        <v>130</v>
      </c>
      <c r="F92" s="51">
        <v>107</v>
      </c>
      <c r="G92" s="52">
        <f>IFERROR(D92+E92-F92,"")</f>
        <v>536</v>
      </c>
    </row>
    <row r="93" spans="1:7" ht="21.75" customHeight="1">
      <c r="A93" s="71"/>
      <c r="B93" s="71"/>
      <c r="C93" s="48" t="s">
        <v>30</v>
      </c>
      <c r="D93" s="54">
        <f>G81</f>
        <v>563</v>
      </c>
      <c r="E93" s="50">
        <v>100</v>
      </c>
      <c r="F93" s="51">
        <v>66</v>
      </c>
      <c r="G93" s="52">
        <f>IFERROR(D93+E93-F93,"")</f>
        <v>597</v>
      </c>
    </row>
    <row r="94" spans="1:7" ht="21.75" customHeight="1">
      <c r="A94" s="71"/>
      <c r="B94" s="71"/>
      <c r="C94" s="48" t="s">
        <v>32</v>
      </c>
      <c r="D94" s="54">
        <f>G82</f>
        <v>526</v>
      </c>
      <c r="E94" s="50">
        <v>92</v>
      </c>
      <c r="F94" s="51">
        <v>75</v>
      </c>
      <c r="G94" s="52">
        <f>IFERROR(D94+E94-F94,"")</f>
        <v>543</v>
      </c>
    </row>
    <row r="95" spans="1:7" ht="21.75" customHeight="1">
      <c r="A95" s="71"/>
      <c r="B95" s="71"/>
      <c r="C95" s="48" t="s">
        <v>34</v>
      </c>
      <c r="D95" s="54">
        <f>G83</f>
        <v>479</v>
      </c>
      <c r="E95" s="50">
        <v>102</v>
      </c>
      <c r="F95" s="51">
        <v>69</v>
      </c>
      <c r="G95" s="52">
        <f>IFERROR(D95+E95-F95,"")</f>
        <v>512</v>
      </c>
    </row>
    <row r="96" spans="1:7" ht="21.75" customHeight="1">
      <c r="A96" s="71"/>
      <c r="B96" s="71"/>
      <c r="C96" s="48" t="s">
        <v>25</v>
      </c>
      <c r="D96" s="54">
        <f>G84</f>
        <v>475</v>
      </c>
      <c r="E96" s="50">
        <v>67</v>
      </c>
      <c r="F96" s="51">
        <v>54</v>
      </c>
      <c r="G96" s="52">
        <f>IFERROR(D96+E96-F96,"")</f>
        <v>488</v>
      </c>
    </row>
    <row r="97" spans="1:7" ht="21.75" customHeight="1">
      <c r="A97" s="71"/>
      <c r="B97" s="71"/>
      <c r="C97" s="48" t="s">
        <v>35</v>
      </c>
      <c r="D97" s="54">
        <f>G85</f>
        <v>564</v>
      </c>
      <c r="E97" s="50">
        <v>104</v>
      </c>
      <c r="F97" s="51">
        <v>76</v>
      </c>
      <c r="G97" s="52">
        <f>IFERROR(D97+E97-F97,"")</f>
        <v>592</v>
      </c>
    </row>
    <row r="98" spans="1:7" ht="21.75" customHeight="1">
      <c r="A98" s="71"/>
      <c r="B98" s="71"/>
      <c r="C98" s="48" t="s">
        <v>29</v>
      </c>
      <c r="D98" s="54">
        <f>G86</f>
        <v>471</v>
      </c>
      <c r="E98" s="50">
        <v>103</v>
      </c>
      <c r="F98" s="51">
        <v>77</v>
      </c>
      <c r="G98" s="52">
        <f>IFERROR(D98+E98-F98,"")</f>
        <v>497</v>
      </c>
    </row>
    <row r="99" spans="1:7" ht="21.75" customHeight="1">
      <c r="A99" s="71"/>
      <c r="B99" s="71"/>
      <c r="C99" s="48" t="s">
        <v>31</v>
      </c>
      <c r="D99" s="54">
        <f>G87</f>
        <v>532</v>
      </c>
      <c r="E99" s="50">
        <v>95</v>
      </c>
      <c r="F99" s="51">
        <v>70</v>
      </c>
      <c r="G99" s="52">
        <f>IFERROR(D99+E99-F99,"")</f>
        <v>557</v>
      </c>
    </row>
    <row r="100" spans="1:7" ht="21.75" customHeight="1">
      <c r="A100" s="71"/>
      <c r="B100" s="71"/>
      <c r="C100" s="48" t="s">
        <v>33</v>
      </c>
      <c r="D100" s="54">
        <f>G88</f>
        <v>329</v>
      </c>
      <c r="E100" s="50">
        <v>90</v>
      </c>
      <c r="F100" s="51">
        <v>87</v>
      </c>
      <c r="G100" s="52">
        <f>IFERROR(D100+E100-F100,"")</f>
        <v>332</v>
      </c>
    </row>
    <row r="101" spans="1:7" ht="21.75" customHeight="1">
      <c r="A101" s="71"/>
      <c r="B101" s="71"/>
      <c r="C101" s="48" t="s">
        <v>36</v>
      </c>
      <c r="D101" s="54">
        <f>G89</f>
        <v>699</v>
      </c>
      <c r="E101" s="50">
        <v>112</v>
      </c>
      <c r="F101" s="51">
        <v>85</v>
      </c>
      <c r="G101" s="52">
        <f>IFERROR(D101+E101-F101,"")</f>
        <v>726</v>
      </c>
    </row>
    <row r="102" spans="1:7" ht="21.75" customHeight="1">
      <c r="A102" s="73" t="s">
        <v>67</v>
      </c>
      <c r="B102" s="73"/>
      <c r="C102" s="73"/>
      <c r="D102" s="53">
        <f>IFERROR(SUM(D91:D101),"")</f>
        <v>5790</v>
      </c>
      <c r="E102" s="53">
        <f>IFERROR(SUM(E91:E101),"")</f>
        <v>1125</v>
      </c>
      <c r="F102" s="53">
        <f>IFERROR(SUM(F91:F101),"")</f>
        <v>851</v>
      </c>
      <c r="G102" s="53">
        <f>IFERROR(SUM(G91:G101),"")</f>
        <v>6064</v>
      </c>
    </row>
    <row r="103" spans="1:7" ht="21.75" customHeight="1">
      <c r="A103" s="71">
        <v>46031</v>
      </c>
      <c r="B103" s="72" t="s">
        <v>47</v>
      </c>
      <c r="C103" s="48" t="s">
        <v>26</v>
      </c>
      <c r="D103" s="54">
        <f>G91</f>
        <v>684</v>
      </c>
      <c r="E103" s="50">
        <v>142</v>
      </c>
      <c r="F103" s="51">
        <v>102</v>
      </c>
      <c r="G103" s="52">
        <f>IFERROR(D103+E103-F103,"")</f>
        <v>724</v>
      </c>
    </row>
    <row r="104" spans="1:7" ht="21.75" customHeight="1">
      <c r="A104" s="71"/>
      <c r="B104" s="71"/>
      <c r="C104" s="48" t="s">
        <v>27</v>
      </c>
      <c r="D104" s="54">
        <f>G92</f>
        <v>536</v>
      </c>
      <c r="E104" s="50">
        <v>95</v>
      </c>
      <c r="F104" s="51">
        <v>73</v>
      </c>
      <c r="G104" s="52">
        <f>IFERROR(D104+E104-F104,"")</f>
        <v>558</v>
      </c>
    </row>
    <row r="105" spans="1:7" ht="21.75" customHeight="1">
      <c r="A105" s="71"/>
      <c r="B105" s="71"/>
      <c r="C105" s="48" t="s">
        <v>30</v>
      </c>
      <c r="D105" s="54">
        <f>G93</f>
        <v>597</v>
      </c>
      <c r="E105" s="50">
        <v>154</v>
      </c>
      <c r="F105" s="51">
        <v>100</v>
      </c>
      <c r="G105" s="52">
        <f>IFERROR(D105+E105-F105,"")</f>
        <v>651</v>
      </c>
    </row>
    <row r="106" spans="1:7" ht="21.75" customHeight="1">
      <c r="A106" s="71"/>
      <c r="B106" s="71"/>
      <c r="C106" s="48" t="s">
        <v>32</v>
      </c>
      <c r="D106" s="54">
        <f>G94</f>
        <v>543</v>
      </c>
      <c r="E106" s="50">
        <v>99</v>
      </c>
      <c r="F106" s="51">
        <v>94</v>
      </c>
      <c r="G106" s="52">
        <f>IFERROR(D106+E106-F106,"")</f>
        <v>548</v>
      </c>
    </row>
    <row r="107" spans="1:7" ht="21.75" customHeight="1">
      <c r="A107" s="71"/>
      <c r="B107" s="71"/>
      <c r="C107" s="48" t="s">
        <v>34</v>
      </c>
      <c r="D107" s="54">
        <f>G95</f>
        <v>512</v>
      </c>
      <c r="E107" s="50">
        <v>100</v>
      </c>
      <c r="F107" s="51">
        <v>81</v>
      </c>
      <c r="G107" s="52">
        <f>IFERROR(D107+E107-F107,"")</f>
        <v>531</v>
      </c>
    </row>
    <row r="108" spans="1:7" ht="21.75" customHeight="1">
      <c r="A108" s="71"/>
      <c r="B108" s="71"/>
      <c r="C108" s="48" t="s">
        <v>25</v>
      </c>
      <c r="D108" s="54">
        <f>G96</f>
        <v>488</v>
      </c>
      <c r="E108" s="50">
        <v>88</v>
      </c>
      <c r="F108" s="51">
        <v>74</v>
      </c>
      <c r="G108" s="52">
        <f>IFERROR(D108+E108-F108,"")</f>
        <v>502</v>
      </c>
    </row>
    <row r="109" spans="1:7" ht="21.75" customHeight="1">
      <c r="A109" s="71"/>
      <c r="B109" s="71"/>
      <c r="C109" s="48" t="s">
        <v>35</v>
      </c>
      <c r="D109" s="54">
        <f>G97</f>
        <v>592</v>
      </c>
      <c r="E109" s="50">
        <v>118</v>
      </c>
      <c r="F109" s="51">
        <v>106</v>
      </c>
      <c r="G109" s="52">
        <f>IFERROR(D109+E109-F109,"")</f>
        <v>604</v>
      </c>
    </row>
    <row r="110" spans="1:7" ht="21.75" customHeight="1">
      <c r="A110" s="71"/>
      <c r="B110" s="71"/>
      <c r="C110" s="48" t="s">
        <v>29</v>
      </c>
      <c r="D110" s="54">
        <f>G98</f>
        <v>497</v>
      </c>
      <c r="E110" s="50">
        <v>102</v>
      </c>
      <c r="F110" s="51">
        <v>70</v>
      </c>
      <c r="G110" s="52">
        <f>IFERROR(D110+E110-F110,"")</f>
        <v>529</v>
      </c>
    </row>
    <row r="111" spans="1:7" ht="21.75" customHeight="1">
      <c r="A111" s="71"/>
      <c r="B111" s="71"/>
      <c r="C111" s="48" t="s">
        <v>31</v>
      </c>
      <c r="D111" s="54">
        <f>G99</f>
        <v>557</v>
      </c>
      <c r="E111" s="50">
        <v>91</v>
      </c>
      <c r="F111" s="51">
        <v>69</v>
      </c>
      <c r="G111" s="52">
        <f>IFERROR(D111+E111-F111,"")</f>
        <v>579</v>
      </c>
    </row>
    <row r="112" spans="1:7" ht="21.75" customHeight="1">
      <c r="A112" s="71"/>
      <c r="B112" s="71"/>
      <c r="C112" s="48" t="s">
        <v>33</v>
      </c>
      <c r="D112" s="54">
        <f>G100</f>
        <v>332</v>
      </c>
      <c r="E112" s="50">
        <v>84</v>
      </c>
      <c r="F112" s="51">
        <v>76</v>
      </c>
      <c r="G112" s="52">
        <f>IFERROR(D112+E112-F112,"")</f>
        <v>340</v>
      </c>
    </row>
    <row r="113" spans="1:7" ht="21.75" customHeight="1">
      <c r="A113" s="71"/>
      <c r="B113" s="71"/>
      <c r="C113" s="48" t="s">
        <v>36</v>
      </c>
      <c r="D113" s="54">
        <f>G101</f>
        <v>726</v>
      </c>
      <c r="E113" s="50">
        <v>148</v>
      </c>
      <c r="F113" s="51">
        <v>100</v>
      </c>
      <c r="G113" s="52">
        <f>IFERROR(D113+E113-F113,"")</f>
        <v>774</v>
      </c>
    </row>
    <row r="114" spans="1:7" ht="21.75" customHeight="1">
      <c r="A114" s="73" t="s">
        <v>68</v>
      </c>
      <c r="B114" s="73"/>
      <c r="C114" s="73"/>
      <c r="D114" s="53">
        <f>IFERROR(SUM(D103:D113),"")</f>
        <v>6064</v>
      </c>
      <c r="E114" s="53">
        <f>IFERROR(SUM(E103:E113),"")</f>
        <v>1221</v>
      </c>
      <c r="F114" s="53">
        <f>IFERROR(SUM(F103:F113),"")</f>
        <v>945</v>
      </c>
      <c r="G114" s="53">
        <f>IFERROR(SUM(G103:G113),"")</f>
        <v>6340</v>
      </c>
    </row>
    <row r="115" spans="1:7" ht="21.75" customHeight="1">
      <c r="A115" s="74">
        <v>46032</v>
      </c>
      <c r="B115" s="75" t="s">
        <v>48</v>
      </c>
      <c r="C115" s="48" t="s">
        <v>26</v>
      </c>
      <c r="D115" s="54">
        <f>G103</f>
        <v>724</v>
      </c>
      <c r="E115" s="50">
        <v>35</v>
      </c>
      <c r="F115" s="51">
        <v>28</v>
      </c>
      <c r="G115" s="52">
        <f>IFERROR(D115+E115-F115,"")</f>
        <v>731</v>
      </c>
    </row>
    <row r="116" spans="1:7" ht="21.75" customHeight="1">
      <c r="A116" s="74"/>
      <c r="B116" s="74"/>
      <c r="C116" s="48" t="s">
        <v>27</v>
      </c>
      <c r="D116" s="54">
        <f>G104</f>
        <v>558</v>
      </c>
      <c r="E116" s="50">
        <v>52</v>
      </c>
      <c r="F116" s="51">
        <v>44</v>
      </c>
      <c r="G116" s="52">
        <f>IFERROR(D116+E116-F116,"")</f>
        <v>566</v>
      </c>
    </row>
    <row r="117" spans="1:7" ht="21.75" customHeight="1">
      <c r="A117" s="74"/>
      <c r="B117" s="74"/>
      <c r="C117" s="48" t="s">
        <v>30</v>
      </c>
      <c r="D117" s="54">
        <f>G105</f>
        <v>651</v>
      </c>
      <c r="E117" s="50">
        <v>52</v>
      </c>
      <c r="F117" s="51">
        <v>33</v>
      </c>
      <c r="G117" s="52">
        <f>IFERROR(D117+E117-F117,"")</f>
        <v>670</v>
      </c>
    </row>
    <row r="118" spans="1:7" ht="21.75" customHeight="1">
      <c r="A118" s="74"/>
      <c r="B118" s="74"/>
      <c r="C118" s="48" t="s">
        <v>32</v>
      </c>
      <c r="D118" s="54">
        <f>G106</f>
        <v>548</v>
      </c>
      <c r="E118" s="50">
        <v>59</v>
      </c>
      <c r="F118" s="51">
        <v>50</v>
      </c>
      <c r="G118" s="52">
        <f>IFERROR(D118+E118-F118,"")</f>
        <v>557</v>
      </c>
    </row>
    <row r="119" spans="1:7" ht="21.75" customHeight="1">
      <c r="A119" s="74"/>
      <c r="B119" s="74"/>
      <c r="C119" s="48" t="s">
        <v>34</v>
      </c>
      <c r="D119" s="54">
        <f>G107</f>
        <v>531</v>
      </c>
      <c r="E119" s="50">
        <v>63</v>
      </c>
      <c r="F119" s="51">
        <v>40</v>
      </c>
      <c r="G119" s="52">
        <f>IFERROR(D119+E119-F119,"")</f>
        <v>554</v>
      </c>
    </row>
    <row r="120" spans="1:7" ht="21.75" customHeight="1">
      <c r="A120" s="74"/>
      <c r="B120" s="74"/>
      <c r="C120" s="48" t="s">
        <v>25</v>
      </c>
      <c r="D120" s="54">
        <f>G108</f>
        <v>502</v>
      </c>
      <c r="E120" s="50">
        <v>38</v>
      </c>
      <c r="F120" s="51">
        <v>26</v>
      </c>
      <c r="G120" s="52">
        <f>IFERROR(D120+E120-F120,"")</f>
        <v>514</v>
      </c>
    </row>
    <row r="121" spans="1:7" ht="21.75" customHeight="1">
      <c r="A121" s="74"/>
      <c r="B121" s="74"/>
      <c r="C121" s="48" t="s">
        <v>35</v>
      </c>
      <c r="D121" s="54">
        <f>G109</f>
        <v>604</v>
      </c>
      <c r="E121" s="50">
        <v>46</v>
      </c>
      <c r="F121" s="51">
        <v>41</v>
      </c>
      <c r="G121" s="52">
        <f>IFERROR(D121+E121-F121,"")</f>
        <v>609</v>
      </c>
    </row>
    <row r="122" spans="1:7" ht="21.75" customHeight="1">
      <c r="A122" s="74"/>
      <c r="B122" s="74"/>
      <c r="C122" s="48" t="s">
        <v>29</v>
      </c>
      <c r="D122" s="54">
        <f>G110</f>
        <v>529</v>
      </c>
      <c r="E122" s="50">
        <v>46</v>
      </c>
      <c r="F122" s="51">
        <v>30</v>
      </c>
      <c r="G122" s="52">
        <f>IFERROR(D122+E122-F122,"")</f>
        <v>545</v>
      </c>
    </row>
    <row r="123" spans="1:7" ht="21.75" customHeight="1">
      <c r="A123" s="74"/>
      <c r="B123" s="74"/>
      <c r="C123" s="48" t="s">
        <v>31</v>
      </c>
      <c r="D123" s="54">
        <f>G111</f>
        <v>579</v>
      </c>
      <c r="E123" s="50">
        <v>58</v>
      </c>
      <c r="F123" s="51">
        <v>37</v>
      </c>
      <c r="G123" s="52">
        <f>IFERROR(D123+E123-F123,"")</f>
        <v>600</v>
      </c>
    </row>
    <row r="124" spans="1:7" ht="21.75" customHeight="1">
      <c r="A124" s="74"/>
      <c r="B124" s="74"/>
      <c r="C124" s="48" t="s">
        <v>33</v>
      </c>
      <c r="D124" s="54">
        <f>G112</f>
        <v>340</v>
      </c>
      <c r="E124" s="50">
        <v>40</v>
      </c>
      <c r="F124" s="51">
        <v>37</v>
      </c>
      <c r="G124" s="52">
        <f>IFERROR(D124+E124-F124,"")</f>
        <v>343</v>
      </c>
    </row>
    <row r="125" spans="1:7" ht="21.75" customHeight="1">
      <c r="A125" s="74"/>
      <c r="B125" s="74"/>
      <c r="C125" s="48" t="s">
        <v>36</v>
      </c>
      <c r="D125" s="54">
        <f>G113</f>
        <v>774</v>
      </c>
      <c r="E125" s="50">
        <v>57</v>
      </c>
      <c r="F125" s="51">
        <v>35</v>
      </c>
      <c r="G125" s="52">
        <f>IFERROR(D125+E125-F125,"")</f>
        <v>796</v>
      </c>
    </row>
    <row r="126" spans="1:7" ht="21.75" customHeight="1">
      <c r="A126" s="73" t="s">
        <v>69</v>
      </c>
      <c r="B126" s="73"/>
      <c r="C126" s="73"/>
      <c r="D126" s="53">
        <f>IFERROR(SUM(D115:D125),"")</f>
        <v>6340</v>
      </c>
      <c r="E126" s="53">
        <f>IFERROR(SUM(E115:E125),"")</f>
        <v>546</v>
      </c>
      <c r="F126" s="53">
        <f>IFERROR(SUM(F115:F125),"")</f>
        <v>401</v>
      </c>
      <c r="G126" s="53">
        <f>IFERROR(SUM(G115:G125),"")</f>
        <v>6485</v>
      </c>
    </row>
    <row r="127" spans="1:7" ht="21.75" customHeight="1">
      <c r="A127" s="74">
        <v>46033</v>
      </c>
      <c r="B127" s="75" t="s">
        <v>50</v>
      </c>
      <c r="C127" s="48" t="s">
        <v>26</v>
      </c>
      <c r="D127" s="54">
        <f>G115</f>
        <v>731</v>
      </c>
      <c r="E127" s="50">
        <v>68</v>
      </c>
      <c r="F127" s="51">
        <v>49</v>
      </c>
      <c r="G127" s="52">
        <f>IFERROR(D127+E127-F127,"")</f>
        <v>750</v>
      </c>
    </row>
    <row r="128" spans="1:7" ht="21.75" customHeight="1">
      <c r="A128" s="74"/>
      <c r="B128" s="74"/>
      <c r="C128" s="48" t="s">
        <v>27</v>
      </c>
      <c r="D128" s="54">
        <f>G116</f>
        <v>566</v>
      </c>
      <c r="E128" s="50">
        <v>43</v>
      </c>
      <c r="F128" s="51">
        <v>37</v>
      </c>
      <c r="G128" s="52">
        <f>IFERROR(D128+E128-F128,"")</f>
        <v>572</v>
      </c>
    </row>
    <row r="129" spans="1:7" ht="21.75" customHeight="1">
      <c r="A129" s="74"/>
      <c r="B129" s="74"/>
      <c r="C129" s="48" t="s">
        <v>30</v>
      </c>
      <c r="D129" s="54">
        <f>G117</f>
        <v>670</v>
      </c>
      <c r="E129" s="50">
        <v>68</v>
      </c>
      <c r="F129" s="51">
        <v>49</v>
      </c>
      <c r="G129" s="52">
        <f>IFERROR(D129+E129-F129,"")</f>
        <v>689</v>
      </c>
    </row>
    <row r="130" spans="1:7" ht="21.75" customHeight="1">
      <c r="A130" s="74"/>
      <c r="B130" s="74"/>
      <c r="C130" s="48" t="s">
        <v>32</v>
      </c>
      <c r="D130" s="54">
        <f>G118</f>
        <v>557</v>
      </c>
      <c r="E130" s="50">
        <v>41</v>
      </c>
      <c r="F130" s="51">
        <v>35</v>
      </c>
      <c r="G130" s="52">
        <f>IFERROR(D130+E130-F130,"")</f>
        <v>563</v>
      </c>
    </row>
    <row r="131" spans="1:7" ht="21.75" customHeight="1">
      <c r="A131" s="74"/>
      <c r="B131" s="74"/>
      <c r="C131" s="48" t="s">
        <v>34</v>
      </c>
      <c r="D131" s="54">
        <f>G119</f>
        <v>554</v>
      </c>
      <c r="E131" s="50">
        <v>43</v>
      </c>
      <c r="F131" s="51">
        <v>28</v>
      </c>
      <c r="G131" s="52">
        <f>IFERROR(D131+E131-F131,"")</f>
        <v>569</v>
      </c>
    </row>
    <row r="132" spans="1:7" ht="21.75" customHeight="1">
      <c r="A132" s="74"/>
      <c r="B132" s="74"/>
      <c r="C132" s="48" t="s">
        <v>25</v>
      </c>
      <c r="D132" s="54">
        <f>G120</f>
        <v>514</v>
      </c>
      <c r="E132" s="50">
        <v>27</v>
      </c>
      <c r="F132" s="51">
        <v>18</v>
      </c>
      <c r="G132" s="52">
        <f>IFERROR(D132+E132-F132,"")</f>
        <v>523</v>
      </c>
    </row>
    <row r="133" spans="1:7" ht="21.75" customHeight="1">
      <c r="A133" s="74"/>
      <c r="B133" s="74"/>
      <c r="C133" s="48" t="s">
        <v>35</v>
      </c>
      <c r="D133" s="54">
        <f>G121</f>
        <v>609</v>
      </c>
      <c r="E133" s="50">
        <v>57</v>
      </c>
      <c r="F133" s="51">
        <v>51</v>
      </c>
      <c r="G133" s="52">
        <f>IFERROR(D133+E133-F133,"")</f>
        <v>615</v>
      </c>
    </row>
    <row r="134" spans="1:7" ht="21.75" customHeight="1">
      <c r="A134" s="74"/>
      <c r="B134" s="74"/>
      <c r="C134" s="48" t="s">
        <v>29</v>
      </c>
      <c r="D134" s="54">
        <f>G122</f>
        <v>545</v>
      </c>
      <c r="E134" s="50">
        <v>57</v>
      </c>
      <c r="F134" s="51">
        <v>48</v>
      </c>
      <c r="G134" s="52">
        <f>IFERROR(D134+E134-F134,"")</f>
        <v>554</v>
      </c>
    </row>
    <row r="135" spans="1:7" ht="21.75" customHeight="1">
      <c r="A135" s="74"/>
      <c r="B135" s="74"/>
      <c r="C135" s="48" t="s">
        <v>31</v>
      </c>
      <c r="D135" s="54">
        <f>G123</f>
        <v>600</v>
      </c>
      <c r="E135" s="50">
        <v>42</v>
      </c>
      <c r="F135" s="51">
        <v>33</v>
      </c>
      <c r="G135" s="52">
        <f>IFERROR(D135+E135-F135,"")</f>
        <v>609</v>
      </c>
    </row>
    <row r="136" spans="1:7" ht="21.75" customHeight="1">
      <c r="A136" s="74"/>
      <c r="B136" s="74"/>
      <c r="C136" s="48" t="s">
        <v>33</v>
      </c>
      <c r="D136" s="54">
        <f>G124</f>
        <v>343</v>
      </c>
      <c r="E136" s="50">
        <v>39</v>
      </c>
      <c r="F136" s="51">
        <v>30</v>
      </c>
      <c r="G136" s="52">
        <f>IFERROR(D136+E136-F136,"")</f>
        <v>352</v>
      </c>
    </row>
    <row r="137" spans="1:7" ht="21.75" customHeight="1">
      <c r="A137" s="74"/>
      <c r="B137" s="74"/>
      <c r="C137" s="48" t="s">
        <v>36</v>
      </c>
      <c r="D137" s="54">
        <f>G125</f>
        <v>796</v>
      </c>
      <c r="E137" s="50">
        <v>68</v>
      </c>
      <c r="F137" s="51">
        <v>49</v>
      </c>
      <c r="G137" s="52">
        <f>IFERROR(D137+E137-F137,"")</f>
        <v>815</v>
      </c>
    </row>
    <row r="138" spans="1:7" ht="21.75" customHeight="1">
      <c r="A138" s="73" t="s">
        <v>70</v>
      </c>
      <c r="B138" s="73"/>
      <c r="C138" s="73"/>
      <c r="D138" s="53">
        <f>IFERROR(SUM(D127:D137),"")</f>
        <v>6485</v>
      </c>
      <c r="E138" s="53">
        <f>IFERROR(SUM(E127:E137),"")</f>
        <v>553</v>
      </c>
      <c r="F138" s="53">
        <f>IFERROR(SUM(F127:F137),"")</f>
        <v>427</v>
      </c>
      <c r="G138" s="53">
        <f>IFERROR(SUM(G127:G137),"")</f>
        <v>6611</v>
      </c>
    </row>
    <row r="139" spans="1:7" ht="21.75" customHeight="1">
      <c r="A139" s="71">
        <v>46034</v>
      </c>
      <c r="B139" s="72" t="s">
        <v>51</v>
      </c>
      <c r="C139" s="48" t="s">
        <v>26</v>
      </c>
      <c r="D139" s="54">
        <f>G127</f>
        <v>750</v>
      </c>
      <c r="E139" s="50">
        <v>116</v>
      </c>
      <c r="F139" s="51">
        <v>97</v>
      </c>
      <c r="G139" s="52">
        <f>IFERROR(D139+E139-F139,"")</f>
        <v>769</v>
      </c>
    </row>
    <row r="140" spans="1:7" ht="21.75" customHeight="1">
      <c r="A140" s="71"/>
      <c r="B140" s="71"/>
      <c r="C140" s="48" t="s">
        <v>27</v>
      </c>
      <c r="D140" s="54">
        <f>G128</f>
        <v>572</v>
      </c>
      <c r="E140" s="50">
        <v>107</v>
      </c>
      <c r="F140" s="51">
        <v>74</v>
      </c>
      <c r="G140" s="52">
        <f>IFERROR(D140+E140-F140,"")</f>
        <v>605</v>
      </c>
    </row>
    <row r="141" spans="1:7" ht="21.75" customHeight="1">
      <c r="A141" s="71"/>
      <c r="B141" s="71"/>
      <c r="C141" s="48" t="s">
        <v>30</v>
      </c>
      <c r="D141" s="54">
        <f>G129</f>
        <v>689</v>
      </c>
      <c r="E141" s="50">
        <v>131</v>
      </c>
      <c r="F141" s="51">
        <v>101</v>
      </c>
      <c r="G141" s="52">
        <f>IFERROR(D141+E141-F141,"")</f>
        <v>719</v>
      </c>
    </row>
    <row r="142" spans="1:7" ht="21.75" customHeight="1">
      <c r="A142" s="71"/>
      <c r="B142" s="71"/>
      <c r="C142" s="48" t="s">
        <v>32</v>
      </c>
      <c r="D142" s="54">
        <f>G130</f>
        <v>563</v>
      </c>
      <c r="E142" s="50">
        <v>84</v>
      </c>
      <c r="F142" s="51">
        <v>70</v>
      </c>
      <c r="G142" s="52">
        <f>IFERROR(D142+E142-F142,"")</f>
        <v>577</v>
      </c>
    </row>
    <row r="143" spans="1:7" ht="21.75" customHeight="1">
      <c r="A143" s="71"/>
      <c r="B143" s="71"/>
      <c r="C143" s="48" t="s">
        <v>34</v>
      </c>
      <c r="D143" s="54">
        <f>G131</f>
        <v>569</v>
      </c>
      <c r="E143" s="50">
        <v>108</v>
      </c>
      <c r="F143" s="51">
        <v>74</v>
      </c>
      <c r="G143" s="52">
        <f>IFERROR(D143+E143-F143,"")</f>
        <v>603</v>
      </c>
    </row>
    <row r="144" spans="1:7" ht="21.75" customHeight="1">
      <c r="A144" s="71"/>
      <c r="B144" s="71"/>
      <c r="C144" s="48" t="s">
        <v>25</v>
      </c>
      <c r="D144" s="54">
        <f>G132</f>
        <v>523</v>
      </c>
      <c r="E144" s="50">
        <v>68</v>
      </c>
      <c r="F144" s="51">
        <v>48</v>
      </c>
      <c r="G144" s="52">
        <f>IFERROR(D144+E144-F144,"")</f>
        <v>543</v>
      </c>
    </row>
    <row r="145" spans="1:7" ht="21.75" customHeight="1">
      <c r="A145" s="71"/>
      <c r="B145" s="71"/>
      <c r="C145" s="48" t="s">
        <v>35</v>
      </c>
      <c r="D145" s="54">
        <f>G133</f>
        <v>615</v>
      </c>
      <c r="E145" s="50">
        <v>128</v>
      </c>
      <c r="F145" s="51">
        <v>103</v>
      </c>
      <c r="G145" s="52">
        <f>IFERROR(D145+E145-F145,"")</f>
        <v>640</v>
      </c>
    </row>
    <row r="146" spans="1:7" ht="21.75" customHeight="1">
      <c r="A146" s="71"/>
      <c r="B146" s="71"/>
      <c r="C146" s="48" t="s">
        <v>29</v>
      </c>
      <c r="D146" s="54">
        <f>G134</f>
        <v>554</v>
      </c>
      <c r="E146" s="50">
        <v>92</v>
      </c>
      <c r="F146" s="51">
        <v>61</v>
      </c>
      <c r="G146" s="52">
        <f>IFERROR(D146+E146-F146,"")</f>
        <v>585</v>
      </c>
    </row>
    <row r="147" spans="1:7" ht="21.75" customHeight="1">
      <c r="A147" s="71"/>
      <c r="B147" s="71"/>
      <c r="C147" s="48" t="s">
        <v>31</v>
      </c>
      <c r="D147" s="54">
        <f>G135</f>
        <v>609</v>
      </c>
      <c r="E147" s="50">
        <v>86</v>
      </c>
      <c r="F147" s="51">
        <v>70</v>
      </c>
      <c r="G147" s="52">
        <f>IFERROR(D147+E147-F147,"")</f>
        <v>625</v>
      </c>
    </row>
    <row r="148" spans="1:7" ht="21.75" customHeight="1">
      <c r="A148" s="71"/>
      <c r="B148" s="71"/>
      <c r="C148" s="48" t="s">
        <v>33</v>
      </c>
      <c r="D148" s="54">
        <f>G136</f>
        <v>352</v>
      </c>
      <c r="E148" s="50">
        <v>98</v>
      </c>
      <c r="F148" s="51">
        <v>81</v>
      </c>
      <c r="G148" s="52">
        <f>IFERROR(D148+E148-F148,"")</f>
        <v>369</v>
      </c>
    </row>
    <row r="149" spans="1:7" ht="21.75" customHeight="1">
      <c r="A149" s="71"/>
      <c r="B149" s="71"/>
      <c r="C149" s="48" t="s">
        <v>36</v>
      </c>
      <c r="D149" s="54">
        <f>G137</f>
        <v>815</v>
      </c>
      <c r="E149" s="50">
        <v>120</v>
      </c>
      <c r="F149" s="51">
        <v>74</v>
      </c>
      <c r="G149" s="52">
        <f>IFERROR(D149+E149-F149,"")</f>
        <v>861</v>
      </c>
    </row>
    <row r="150" spans="1:7" ht="21.75" customHeight="1">
      <c r="A150" s="73" t="s">
        <v>71</v>
      </c>
      <c r="B150" s="73"/>
      <c r="C150" s="73"/>
      <c r="D150" s="53">
        <f>IFERROR(SUM(D139:D149),"")</f>
        <v>6611</v>
      </c>
      <c r="E150" s="53">
        <f>IFERROR(SUM(E139:E149),"")</f>
        <v>1138</v>
      </c>
      <c r="F150" s="53">
        <f>IFERROR(SUM(F139:F149),"")</f>
        <v>853</v>
      </c>
      <c r="G150" s="53">
        <f>IFERROR(SUM(G139:G149),"")</f>
        <v>6896</v>
      </c>
    </row>
    <row r="151" spans="1:7" ht="21.75" customHeight="1">
      <c r="A151" s="71">
        <v>46035</v>
      </c>
      <c r="B151" s="72" t="s">
        <v>52</v>
      </c>
      <c r="C151" s="48" t="s">
        <v>26</v>
      </c>
      <c r="D151" s="54">
        <f>G139</f>
        <v>769</v>
      </c>
      <c r="E151" s="50">
        <v>139</v>
      </c>
      <c r="F151" s="51">
        <v>97</v>
      </c>
      <c r="G151" s="52">
        <f>IFERROR(D151+E151-F151,"")</f>
        <v>811</v>
      </c>
    </row>
    <row r="152" spans="1:7" ht="21.75" customHeight="1">
      <c r="A152" s="71"/>
      <c r="B152" s="71"/>
      <c r="C152" s="48" t="s">
        <v>27</v>
      </c>
      <c r="D152" s="54">
        <f>G140</f>
        <v>605</v>
      </c>
      <c r="E152" s="50">
        <v>88</v>
      </c>
      <c r="F152" s="51">
        <v>77</v>
      </c>
      <c r="G152" s="52">
        <f>IFERROR(D152+E152-F152,"")</f>
        <v>616</v>
      </c>
    </row>
    <row r="153" spans="1:7" ht="21.75" customHeight="1">
      <c r="A153" s="71"/>
      <c r="B153" s="71"/>
      <c r="C153" s="48" t="s">
        <v>30</v>
      </c>
      <c r="D153" s="54">
        <f>G141</f>
        <v>719</v>
      </c>
      <c r="E153" s="50">
        <v>101</v>
      </c>
      <c r="F153" s="51">
        <v>63</v>
      </c>
      <c r="G153" s="52">
        <f>IFERROR(D153+E153-F153,"")</f>
        <v>757</v>
      </c>
    </row>
    <row r="154" spans="1:7" ht="21.75" customHeight="1">
      <c r="A154" s="71"/>
      <c r="B154" s="71"/>
      <c r="C154" s="48" t="s">
        <v>32</v>
      </c>
      <c r="D154" s="54">
        <f>G142</f>
        <v>577</v>
      </c>
      <c r="E154" s="50">
        <v>88</v>
      </c>
      <c r="F154" s="51">
        <v>83</v>
      </c>
      <c r="G154" s="52">
        <f>IFERROR(D154+E154-F154,"")</f>
        <v>582</v>
      </c>
    </row>
    <row r="155" spans="1:7" ht="21.75" customHeight="1">
      <c r="A155" s="71"/>
      <c r="B155" s="71"/>
      <c r="C155" s="48" t="s">
        <v>34</v>
      </c>
      <c r="D155" s="54">
        <f>G143</f>
        <v>603</v>
      </c>
      <c r="E155" s="50">
        <v>171</v>
      </c>
      <c r="F155" s="51">
        <v>123</v>
      </c>
      <c r="G155" s="52">
        <f>IFERROR(D155+E155-F155,"")</f>
        <v>651</v>
      </c>
    </row>
    <row r="156" spans="1:7" ht="21.75" customHeight="1">
      <c r="A156" s="71"/>
      <c r="B156" s="71"/>
      <c r="C156" s="48" t="s">
        <v>25</v>
      </c>
      <c r="D156" s="54">
        <f>G144</f>
        <v>543</v>
      </c>
      <c r="E156" s="50">
        <v>101</v>
      </c>
      <c r="F156" s="51">
        <v>74</v>
      </c>
      <c r="G156" s="52">
        <f>IFERROR(D156+E156-F156,"")</f>
        <v>570</v>
      </c>
    </row>
    <row r="157" spans="1:7" ht="21.75" customHeight="1">
      <c r="A157" s="71"/>
      <c r="B157" s="71"/>
      <c r="C157" s="48" t="s">
        <v>35</v>
      </c>
      <c r="D157" s="54">
        <f>G145</f>
        <v>640</v>
      </c>
      <c r="E157" s="50">
        <v>83</v>
      </c>
      <c r="F157" s="51">
        <v>71</v>
      </c>
      <c r="G157" s="52">
        <f>IFERROR(D157+E157-F157,"")</f>
        <v>652</v>
      </c>
    </row>
    <row r="158" spans="1:7" ht="21.75" customHeight="1">
      <c r="A158" s="71"/>
      <c r="B158" s="71"/>
      <c r="C158" s="48" t="s">
        <v>29</v>
      </c>
      <c r="D158" s="54">
        <f>G146</f>
        <v>585</v>
      </c>
      <c r="E158" s="50">
        <v>91</v>
      </c>
      <c r="F158" s="51">
        <v>74</v>
      </c>
      <c r="G158" s="52">
        <f>IFERROR(D158+E158-F158,"")</f>
        <v>602</v>
      </c>
    </row>
    <row r="159" spans="1:7" ht="21.75" customHeight="1">
      <c r="A159" s="71"/>
      <c r="B159" s="71"/>
      <c r="C159" s="48" t="s">
        <v>31</v>
      </c>
      <c r="D159" s="54">
        <f>G147</f>
        <v>625</v>
      </c>
      <c r="E159" s="50">
        <v>99</v>
      </c>
      <c r="F159" s="51">
        <v>64</v>
      </c>
      <c r="G159" s="52">
        <f>IFERROR(D159+E159-F159,"")</f>
        <v>660</v>
      </c>
    </row>
    <row r="160" spans="1:7" ht="21.75" customHeight="1">
      <c r="A160" s="71"/>
      <c r="B160" s="71"/>
      <c r="C160" s="48" t="s">
        <v>33</v>
      </c>
      <c r="D160" s="54">
        <f>G148</f>
        <v>369</v>
      </c>
      <c r="E160" s="50">
        <v>91</v>
      </c>
      <c r="F160" s="51">
        <v>83</v>
      </c>
      <c r="G160" s="52">
        <f>IFERROR(D160+E160-F160,"")</f>
        <v>377</v>
      </c>
    </row>
    <row r="161" spans="1:7" ht="21.75" customHeight="1">
      <c r="A161" s="71"/>
      <c r="B161" s="71"/>
      <c r="C161" s="48" t="s">
        <v>36</v>
      </c>
      <c r="D161" s="54">
        <f>G149</f>
        <v>861</v>
      </c>
      <c r="E161" s="50">
        <v>150</v>
      </c>
      <c r="F161" s="51">
        <v>107</v>
      </c>
      <c r="G161" s="52">
        <f>IFERROR(D161+E161-F161,"")</f>
        <v>904</v>
      </c>
    </row>
    <row r="162" spans="1:7" ht="21.75" customHeight="1">
      <c r="A162" s="73" t="s">
        <v>72</v>
      </c>
      <c r="B162" s="73"/>
      <c r="C162" s="73"/>
      <c r="D162" s="53">
        <f>IFERROR(SUM(D151:D161),"")</f>
        <v>6896</v>
      </c>
      <c r="E162" s="53">
        <f>IFERROR(SUM(E151:E161),"")</f>
        <v>1202</v>
      </c>
      <c r="F162" s="53">
        <f>IFERROR(SUM(F151:F161),"")</f>
        <v>916</v>
      </c>
      <c r="G162" s="53">
        <f>IFERROR(SUM(G151:G161),"")</f>
        <v>7182</v>
      </c>
    </row>
    <row r="163" spans="1:7" ht="21.75" customHeight="1">
      <c r="A163" s="71">
        <v>46036</v>
      </c>
      <c r="B163" s="72" t="s">
        <v>53</v>
      </c>
      <c r="C163" s="48" t="s">
        <v>26</v>
      </c>
      <c r="D163" s="54">
        <f>G151</f>
        <v>811</v>
      </c>
      <c r="E163" s="50">
        <v>111</v>
      </c>
      <c r="F163" s="51">
        <v>78</v>
      </c>
      <c r="G163" s="52">
        <f>IFERROR(D163+E163-F163,"")</f>
        <v>844</v>
      </c>
    </row>
    <row r="164" spans="1:7" ht="21.75" customHeight="1">
      <c r="A164" s="71"/>
      <c r="B164" s="71"/>
      <c r="C164" s="48" t="s">
        <v>27</v>
      </c>
      <c r="D164" s="54">
        <f>G152</f>
        <v>616</v>
      </c>
      <c r="E164" s="50">
        <v>74</v>
      </c>
      <c r="F164" s="51">
        <v>63</v>
      </c>
      <c r="G164" s="52">
        <f>IFERROR(D164+E164-F164,"")</f>
        <v>627</v>
      </c>
    </row>
    <row r="165" spans="1:7" ht="21.75" customHeight="1">
      <c r="A165" s="71"/>
      <c r="B165" s="71"/>
      <c r="C165" s="48" t="s">
        <v>30</v>
      </c>
      <c r="D165" s="54">
        <f>G153</f>
        <v>757</v>
      </c>
      <c r="E165" s="50">
        <v>93</v>
      </c>
      <c r="F165" s="51">
        <v>55</v>
      </c>
      <c r="G165" s="52">
        <f>IFERROR(D165+E165-F165,"")</f>
        <v>795</v>
      </c>
    </row>
    <row r="166" spans="1:7" ht="21.75" customHeight="1">
      <c r="A166" s="71"/>
      <c r="B166" s="71"/>
      <c r="C166" s="48" t="s">
        <v>32</v>
      </c>
      <c r="D166" s="54">
        <f>G154</f>
        <v>582</v>
      </c>
      <c r="E166" s="50">
        <v>86</v>
      </c>
      <c r="F166" s="51">
        <v>74</v>
      </c>
      <c r="G166" s="52">
        <f>IFERROR(D166+E166-F166,"")</f>
        <v>594</v>
      </c>
    </row>
    <row r="167" spans="1:7" ht="21.75" customHeight="1">
      <c r="A167" s="71"/>
      <c r="B167" s="71"/>
      <c r="C167" s="48" t="s">
        <v>34</v>
      </c>
      <c r="D167" s="54">
        <f>G155</f>
        <v>651</v>
      </c>
      <c r="E167" s="50">
        <v>170</v>
      </c>
      <c r="F167" s="51">
        <v>106</v>
      </c>
      <c r="G167" s="52">
        <f>IFERROR(D167+E167-F167,"")</f>
        <v>715</v>
      </c>
    </row>
    <row r="168" spans="1:7" ht="21.75" customHeight="1">
      <c r="A168" s="71"/>
      <c r="B168" s="71"/>
      <c r="C168" s="48" t="s">
        <v>25</v>
      </c>
      <c r="D168" s="54">
        <f>G156</f>
        <v>570</v>
      </c>
      <c r="E168" s="50">
        <v>52</v>
      </c>
      <c r="F168" s="51">
        <v>38</v>
      </c>
      <c r="G168" s="52">
        <f>IFERROR(D168+E168-F168,"")</f>
        <v>584</v>
      </c>
    </row>
    <row r="169" spans="1:7" ht="21.75" customHeight="1">
      <c r="A169" s="71"/>
      <c r="B169" s="71"/>
      <c r="C169" s="48" t="s">
        <v>35</v>
      </c>
      <c r="D169" s="54">
        <f>G157</f>
        <v>652</v>
      </c>
      <c r="E169" s="50">
        <v>130</v>
      </c>
      <c r="F169" s="51">
        <v>115</v>
      </c>
      <c r="G169" s="52">
        <f>IFERROR(D169+E169-F169,"")</f>
        <v>667</v>
      </c>
    </row>
    <row r="170" spans="1:7" ht="21.75" customHeight="1">
      <c r="A170" s="71"/>
      <c r="B170" s="71"/>
      <c r="C170" s="48" t="s">
        <v>29</v>
      </c>
      <c r="D170" s="54">
        <f>G158</f>
        <v>602</v>
      </c>
      <c r="E170" s="50">
        <v>83</v>
      </c>
      <c r="F170" s="51">
        <v>59</v>
      </c>
      <c r="G170" s="52">
        <f>IFERROR(D170+E170-F170,"")</f>
        <v>626</v>
      </c>
    </row>
    <row r="171" spans="1:7" ht="21.75" customHeight="1">
      <c r="A171" s="71"/>
      <c r="B171" s="71"/>
      <c r="C171" s="48" t="s">
        <v>31</v>
      </c>
      <c r="D171" s="54">
        <f>G159</f>
        <v>660</v>
      </c>
      <c r="E171" s="50">
        <v>123</v>
      </c>
      <c r="F171" s="51">
        <v>81</v>
      </c>
      <c r="G171" s="52">
        <f>IFERROR(D171+E171-F171,"")</f>
        <v>702</v>
      </c>
    </row>
    <row r="172" spans="1:7" ht="21.75" customHeight="1">
      <c r="A172" s="71"/>
      <c r="B172" s="71"/>
      <c r="C172" s="48" t="s">
        <v>33</v>
      </c>
      <c r="D172" s="54">
        <f>G160</f>
        <v>377</v>
      </c>
      <c r="E172" s="50">
        <v>73</v>
      </c>
      <c r="F172" s="51">
        <v>66</v>
      </c>
      <c r="G172" s="52">
        <f>IFERROR(D172+E172-F172,"")</f>
        <v>384</v>
      </c>
    </row>
    <row r="173" spans="1:7" ht="21.75" customHeight="1">
      <c r="A173" s="71"/>
      <c r="B173" s="71"/>
      <c r="C173" s="48" t="s">
        <v>36</v>
      </c>
      <c r="D173" s="54">
        <f>G161</f>
        <v>904</v>
      </c>
      <c r="E173" s="50">
        <v>122</v>
      </c>
      <c r="F173" s="51">
        <v>90</v>
      </c>
      <c r="G173" s="52">
        <f>IFERROR(D173+E173-F173,"")</f>
        <v>936</v>
      </c>
    </row>
    <row r="174" spans="1:7" ht="21.75" customHeight="1">
      <c r="A174" s="73" t="s">
        <v>73</v>
      </c>
      <c r="B174" s="73"/>
      <c r="C174" s="73"/>
      <c r="D174" s="53">
        <f>IFERROR(SUM(D163:D173),"")</f>
        <v>7182</v>
      </c>
      <c r="E174" s="53">
        <f>IFERROR(SUM(E163:E173),"")</f>
        <v>1117</v>
      </c>
      <c r="F174" s="53">
        <f>IFERROR(SUM(F163:F173),"")</f>
        <v>825</v>
      </c>
      <c r="G174" s="53">
        <f>IFERROR(SUM(G163:G173),"")</f>
        <v>7474</v>
      </c>
    </row>
    <row r="175" spans="1:7" ht="21.75" customHeight="1">
      <c r="A175" s="71">
        <v>46037</v>
      </c>
      <c r="B175" s="72" t="s">
        <v>45</v>
      </c>
      <c r="C175" s="48" t="s">
        <v>26</v>
      </c>
      <c r="D175" s="54">
        <f>G163</f>
        <v>844</v>
      </c>
      <c r="E175" s="50">
        <v>108</v>
      </c>
      <c r="F175" s="51">
        <v>86</v>
      </c>
      <c r="G175" s="52">
        <f>IFERROR(D175+E175-F175,"")</f>
        <v>866</v>
      </c>
    </row>
    <row r="176" spans="1:7" ht="21.75" customHeight="1">
      <c r="A176" s="71"/>
      <c r="B176" s="71"/>
      <c r="C176" s="48" t="s">
        <v>27</v>
      </c>
      <c r="D176" s="54">
        <f>G164</f>
        <v>627</v>
      </c>
      <c r="E176" s="50">
        <v>112</v>
      </c>
      <c r="F176" s="51">
        <v>91</v>
      </c>
      <c r="G176" s="52">
        <f>IFERROR(D176+E176-F176,"")</f>
        <v>648</v>
      </c>
    </row>
    <row r="177" spans="1:7" ht="21.75" customHeight="1">
      <c r="A177" s="71"/>
      <c r="B177" s="71"/>
      <c r="C177" s="48" t="s">
        <v>30</v>
      </c>
      <c r="D177" s="54">
        <f>G165</f>
        <v>795</v>
      </c>
      <c r="E177" s="50">
        <v>140</v>
      </c>
      <c r="F177" s="51">
        <v>101</v>
      </c>
      <c r="G177" s="52">
        <f>IFERROR(D177+E177-F177,"")</f>
        <v>834</v>
      </c>
    </row>
    <row r="178" spans="1:7" ht="21.75" customHeight="1">
      <c r="A178" s="71"/>
      <c r="B178" s="71"/>
      <c r="C178" s="48" t="s">
        <v>32</v>
      </c>
      <c r="D178" s="54">
        <f>G166</f>
        <v>594</v>
      </c>
      <c r="E178" s="50">
        <v>72</v>
      </c>
      <c r="F178" s="51">
        <v>60</v>
      </c>
      <c r="G178" s="52">
        <f>IFERROR(D178+E178-F178,"")</f>
        <v>606</v>
      </c>
    </row>
    <row r="179" spans="1:7" ht="21.75" customHeight="1">
      <c r="A179" s="71"/>
      <c r="B179" s="71"/>
      <c r="C179" s="48" t="s">
        <v>34</v>
      </c>
      <c r="D179" s="54">
        <f>G167</f>
        <v>715</v>
      </c>
      <c r="E179" s="50">
        <v>109</v>
      </c>
      <c r="F179" s="51">
        <v>82</v>
      </c>
      <c r="G179" s="52">
        <f>IFERROR(D179+E179-F179,"")</f>
        <v>742</v>
      </c>
    </row>
    <row r="180" spans="1:7" ht="21.75" customHeight="1">
      <c r="A180" s="71"/>
      <c r="B180" s="71"/>
      <c r="C180" s="48" t="s">
        <v>25</v>
      </c>
      <c r="D180" s="54">
        <f>G168</f>
        <v>584</v>
      </c>
      <c r="E180" s="50">
        <v>105</v>
      </c>
      <c r="F180" s="51">
        <v>72</v>
      </c>
      <c r="G180" s="52">
        <f>IFERROR(D180+E180-F180,"")</f>
        <v>617</v>
      </c>
    </row>
    <row r="181" spans="1:7" ht="21.75" customHeight="1">
      <c r="A181" s="71"/>
      <c r="B181" s="71"/>
      <c r="C181" s="48" t="s">
        <v>35</v>
      </c>
      <c r="D181" s="54">
        <f>G169</f>
        <v>667</v>
      </c>
      <c r="E181" s="50">
        <v>111</v>
      </c>
      <c r="F181" s="51">
        <v>83</v>
      </c>
      <c r="G181" s="52">
        <f>IFERROR(D181+E181-F181,"")</f>
        <v>695</v>
      </c>
    </row>
    <row r="182" spans="1:7" ht="21.75" customHeight="1">
      <c r="A182" s="71"/>
      <c r="B182" s="71"/>
      <c r="C182" s="48" t="s">
        <v>29</v>
      </c>
      <c r="D182" s="54">
        <f>G170</f>
        <v>626</v>
      </c>
      <c r="E182" s="50">
        <v>95</v>
      </c>
      <c r="F182" s="51">
        <v>65</v>
      </c>
      <c r="G182" s="52">
        <f>IFERROR(D182+E182-F182,"")</f>
        <v>656</v>
      </c>
    </row>
    <row r="183" spans="1:7" ht="21.75" customHeight="1">
      <c r="A183" s="71"/>
      <c r="B183" s="71"/>
      <c r="C183" s="48" t="s">
        <v>31</v>
      </c>
      <c r="D183" s="54">
        <f>G171</f>
        <v>702</v>
      </c>
      <c r="E183" s="50">
        <v>101</v>
      </c>
      <c r="F183" s="51">
        <v>67</v>
      </c>
      <c r="G183" s="52">
        <f>IFERROR(D183+E183-F183,"")</f>
        <v>736</v>
      </c>
    </row>
    <row r="184" spans="1:7" ht="21.75" customHeight="1">
      <c r="A184" s="71"/>
      <c r="B184" s="71"/>
      <c r="C184" s="48" t="s">
        <v>33</v>
      </c>
      <c r="D184" s="54">
        <f>G172</f>
        <v>384</v>
      </c>
      <c r="E184" s="50">
        <v>84</v>
      </c>
      <c r="F184" s="51">
        <v>76</v>
      </c>
      <c r="G184" s="52">
        <f>IFERROR(D184+E184-F184,"")</f>
        <v>392</v>
      </c>
    </row>
    <row r="185" spans="1:7" ht="21.75" customHeight="1">
      <c r="A185" s="71"/>
      <c r="B185" s="71"/>
      <c r="C185" s="48" t="s">
        <v>36</v>
      </c>
      <c r="D185" s="54">
        <f>G173</f>
        <v>936</v>
      </c>
      <c r="E185" s="50">
        <v>165</v>
      </c>
      <c r="F185" s="51">
        <v>101</v>
      </c>
      <c r="G185" s="52">
        <f>IFERROR(D185+E185-F185,"")</f>
        <v>1000</v>
      </c>
    </row>
    <row r="186" spans="1:7" ht="21.75" customHeight="1">
      <c r="A186" s="73" t="s">
        <v>74</v>
      </c>
      <c r="B186" s="73"/>
      <c r="C186" s="73"/>
      <c r="D186" s="53">
        <f>IFERROR(SUM(D175:D185),"")</f>
        <v>7474</v>
      </c>
      <c r="E186" s="53">
        <f>IFERROR(SUM(E175:E185),"")</f>
        <v>1202</v>
      </c>
      <c r="F186" s="53">
        <f>IFERROR(SUM(F175:F185),"")</f>
        <v>884</v>
      </c>
      <c r="G186" s="53">
        <f>IFERROR(SUM(G175:G185),"")</f>
        <v>7792</v>
      </c>
    </row>
    <row r="187" spans="1:7" ht="21.75" customHeight="1">
      <c r="A187" s="71">
        <v>46038</v>
      </c>
      <c r="B187" s="72" t="s">
        <v>47</v>
      </c>
      <c r="C187" s="48" t="s">
        <v>26</v>
      </c>
      <c r="D187" s="54">
        <f>G175</f>
        <v>866</v>
      </c>
      <c r="E187" s="50">
        <v>93</v>
      </c>
      <c r="F187" s="51">
        <v>76</v>
      </c>
      <c r="G187" s="52">
        <f>IFERROR(D187+E187-F187,"")</f>
        <v>883</v>
      </c>
    </row>
    <row r="188" spans="1:7" ht="21.75" customHeight="1">
      <c r="A188" s="71"/>
      <c r="B188" s="71"/>
      <c r="C188" s="48" t="s">
        <v>27</v>
      </c>
      <c r="D188" s="54">
        <f>G176</f>
        <v>648</v>
      </c>
      <c r="E188" s="50">
        <v>123</v>
      </c>
      <c r="F188" s="51">
        <v>110</v>
      </c>
      <c r="G188" s="52">
        <f>IFERROR(D188+E188-F188,"")</f>
        <v>661</v>
      </c>
    </row>
    <row r="189" spans="1:7" ht="21.75" customHeight="1">
      <c r="A189" s="71"/>
      <c r="B189" s="71"/>
      <c r="C189" s="48" t="s">
        <v>30</v>
      </c>
      <c r="D189" s="54">
        <f>G177</f>
        <v>834</v>
      </c>
      <c r="E189" s="50">
        <v>102</v>
      </c>
      <c r="F189" s="51">
        <v>79</v>
      </c>
      <c r="G189" s="52">
        <f>IFERROR(D189+E189-F189,"")</f>
        <v>857</v>
      </c>
    </row>
    <row r="190" spans="1:7" ht="21.75" customHeight="1">
      <c r="A190" s="71"/>
      <c r="B190" s="71"/>
      <c r="C190" s="48" t="s">
        <v>32</v>
      </c>
      <c r="D190" s="54">
        <f>G178</f>
        <v>606</v>
      </c>
      <c r="E190" s="50">
        <v>102</v>
      </c>
      <c r="F190" s="51">
        <v>86</v>
      </c>
      <c r="G190" s="52">
        <f>IFERROR(D190+E190-F190,"")</f>
        <v>622</v>
      </c>
    </row>
    <row r="191" spans="1:7" ht="21.75" customHeight="1">
      <c r="A191" s="71"/>
      <c r="B191" s="71"/>
      <c r="C191" s="48" t="s">
        <v>34</v>
      </c>
      <c r="D191" s="54">
        <f>G179</f>
        <v>742</v>
      </c>
      <c r="E191" s="50">
        <v>110</v>
      </c>
      <c r="F191" s="51">
        <v>89</v>
      </c>
      <c r="G191" s="52">
        <f>IFERROR(D191+E191-F191,"")</f>
        <v>763</v>
      </c>
    </row>
    <row r="192" spans="1:7" ht="21.75" customHeight="1">
      <c r="A192" s="71"/>
      <c r="B192" s="71"/>
      <c r="C192" s="48" t="s">
        <v>25</v>
      </c>
      <c r="D192" s="54">
        <f>G180</f>
        <v>617</v>
      </c>
      <c r="E192" s="50">
        <v>63</v>
      </c>
      <c r="F192" s="51">
        <v>48</v>
      </c>
      <c r="G192" s="52">
        <f>IFERROR(D192+E192-F192,"")</f>
        <v>632</v>
      </c>
    </row>
    <row r="193" spans="1:7" ht="21.75" customHeight="1">
      <c r="A193" s="71"/>
      <c r="B193" s="71"/>
      <c r="C193" s="48" t="s">
        <v>35</v>
      </c>
      <c r="D193" s="54">
        <f>G181</f>
        <v>695</v>
      </c>
      <c r="E193" s="50">
        <v>98</v>
      </c>
      <c r="F193" s="51">
        <v>83</v>
      </c>
      <c r="G193" s="52">
        <f>IFERROR(D193+E193-F193,"")</f>
        <v>710</v>
      </c>
    </row>
    <row r="194" spans="1:7" ht="21.75" customHeight="1">
      <c r="A194" s="71"/>
      <c r="B194" s="71"/>
      <c r="C194" s="48" t="s">
        <v>29</v>
      </c>
      <c r="D194" s="54">
        <f>G182</f>
        <v>656</v>
      </c>
      <c r="E194" s="50">
        <v>73</v>
      </c>
      <c r="F194" s="51">
        <v>62</v>
      </c>
      <c r="G194" s="52">
        <f>IFERROR(D194+E194-F194,"")</f>
        <v>667</v>
      </c>
    </row>
    <row r="195" spans="1:7" ht="21.75" customHeight="1">
      <c r="A195" s="71"/>
      <c r="B195" s="71"/>
      <c r="C195" s="48" t="s">
        <v>31</v>
      </c>
      <c r="D195" s="54">
        <f>G183</f>
        <v>736</v>
      </c>
      <c r="E195" s="50">
        <v>145</v>
      </c>
      <c r="F195" s="51">
        <v>96</v>
      </c>
      <c r="G195" s="52">
        <f>IFERROR(D195+E195-F195,"")</f>
        <v>785</v>
      </c>
    </row>
    <row r="196" spans="1:7" ht="21.75" customHeight="1">
      <c r="A196" s="71"/>
      <c r="B196" s="71"/>
      <c r="C196" s="48" t="s">
        <v>33</v>
      </c>
      <c r="D196" s="54">
        <f>G184</f>
        <v>392</v>
      </c>
      <c r="E196" s="50">
        <v>55</v>
      </c>
      <c r="F196" s="51">
        <v>44</v>
      </c>
      <c r="G196" s="52">
        <f>IFERROR(D196+E196-F196,"")</f>
        <v>403</v>
      </c>
    </row>
    <row r="197" spans="1:7" ht="21.75" customHeight="1">
      <c r="A197" s="71"/>
      <c r="B197" s="71"/>
      <c r="C197" s="48" t="s">
        <v>36</v>
      </c>
      <c r="D197" s="54">
        <f>G185</f>
        <v>1000</v>
      </c>
      <c r="E197" s="50">
        <v>106</v>
      </c>
      <c r="F197" s="51">
        <v>74</v>
      </c>
      <c r="G197" s="52">
        <f>IFERROR(D197+E197-F197,"")</f>
        <v>1032</v>
      </c>
    </row>
    <row r="198" spans="1:7" ht="21.75" customHeight="1">
      <c r="A198" s="73" t="s">
        <v>75</v>
      </c>
      <c r="B198" s="73"/>
      <c r="C198" s="73"/>
      <c r="D198" s="53">
        <f>IFERROR(SUM(D187:D197),"")</f>
        <v>7792</v>
      </c>
      <c r="E198" s="53">
        <f>IFERROR(SUM(E187:E197),"")</f>
        <v>1070</v>
      </c>
      <c r="F198" s="53">
        <f>IFERROR(SUM(F187:F197),"")</f>
        <v>847</v>
      </c>
      <c r="G198" s="53">
        <f>IFERROR(SUM(G187:G197),"")</f>
        <v>8015</v>
      </c>
    </row>
    <row r="199" spans="1:7" ht="21.75" customHeight="1">
      <c r="A199" s="74">
        <v>46039</v>
      </c>
      <c r="B199" s="75" t="s">
        <v>48</v>
      </c>
      <c r="C199" s="48" t="s">
        <v>26</v>
      </c>
      <c r="D199" s="54">
        <f>G187</f>
        <v>883</v>
      </c>
      <c r="E199" s="50">
        <v>57</v>
      </c>
      <c r="F199" s="51">
        <v>37</v>
      </c>
      <c r="G199" s="52">
        <f>IFERROR(D199+E199-F199,"")</f>
        <v>903</v>
      </c>
    </row>
    <row r="200" spans="1:7" ht="21.75" customHeight="1">
      <c r="A200" s="74"/>
      <c r="B200" s="74"/>
      <c r="C200" s="48" t="s">
        <v>27</v>
      </c>
      <c r="D200" s="54">
        <f>G188</f>
        <v>661</v>
      </c>
      <c r="E200" s="50">
        <v>31</v>
      </c>
      <c r="F200" s="51">
        <v>22</v>
      </c>
      <c r="G200" s="52">
        <f>IFERROR(D200+E200-F200,"")</f>
        <v>670</v>
      </c>
    </row>
    <row r="201" spans="1:7" ht="21.75" customHeight="1">
      <c r="A201" s="74"/>
      <c r="B201" s="74"/>
      <c r="C201" s="48" t="s">
        <v>30</v>
      </c>
      <c r="D201" s="54">
        <f>G189</f>
        <v>857</v>
      </c>
      <c r="E201" s="50">
        <v>43</v>
      </c>
      <c r="F201" s="51">
        <v>32</v>
      </c>
      <c r="G201" s="52">
        <f>IFERROR(D201+E201-F201,"")</f>
        <v>868</v>
      </c>
    </row>
    <row r="202" spans="1:7" ht="21.75" customHeight="1">
      <c r="A202" s="74"/>
      <c r="B202" s="74"/>
      <c r="C202" s="48" t="s">
        <v>32</v>
      </c>
      <c r="D202" s="54">
        <f>G190</f>
        <v>622</v>
      </c>
      <c r="E202" s="50">
        <v>29</v>
      </c>
      <c r="F202" s="51">
        <v>22</v>
      </c>
      <c r="G202" s="52">
        <f>IFERROR(D202+E202-F202,"")</f>
        <v>629</v>
      </c>
    </row>
    <row r="203" spans="1:7" ht="21.75" customHeight="1">
      <c r="A203" s="74"/>
      <c r="B203" s="74"/>
      <c r="C203" s="48" t="s">
        <v>34</v>
      </c>
      <c r="D203" s="54">
        <f>G191</f>
        <v>763</v>
      </c>
      <c r="E203" s="50">
        <v>82</v>
      </c>
      <c r="F203" s="51">
        <v>51</v>
      </c>
      <c r="G203" s="52">
        <f>IFERROR(D203+E203-F203,"")</f>
        <v>794</v>
      </c>
    </row>
    <row r="204" spans="1:7" ht="21.75" customHeight="1">
      <c r="A204" s="74"/>
      <c r="B204" s="74"/>
      <c r="C204" s="48" t="s">
        <v>25</v>
      </c>
      <c r="D204" s="54">
        <f>G192</f>
        <v>632</v>
      </c>
      <c r="E204" s="50">
        <v>42</v>
      </c>
      <c r="F204" s="51">
        <v>35</v>
      </c>
      <c r="G204" s="52">
        <f>IFERROR(D204+E204-F204,"")</f>
        <v>639</v>
      </c>
    </row>
    <row r="205" spans="1:7" ht="21.75" customHeight="1">
      <c r="A205" s="74"/>
      <c r="B205" s="74"/>
      <c r="C205" s="48" t="s">
        <v>35</v>
      </c>
      <c r="D205" s="54">
        <f>G193</f>
        <v>710</v>
      </c>
      <c r="E205" s="50">
        <v>43</v>
      </c>
      <c r="F205" s="51">
        <v>33</v>
      </c>
      <c r="G205" s="52">
        <f>IFERROR(D205+E205-F205,"")</f>
        <v>720</v>
      </c>
    </row>
    <row r="206" spans="1:7" ht="21.75" customHeight="1">
      <c r="A206" s="74"/>
      <c r="B206" s="74"/>
      <c r="C206" s="48" t="s">
        <v>29</v>
      </c>
      <c r="D206" s="54">
        <f>G194</f>
        <v>667</v>
      </c>
      <c r="E206" s="50">
        <v>41</v>
      </c>
      <c r="F206" s="51">
        <v>33</v>
      </c>
      <c r="G206" s="52">
        <f>IFERROR(D206+E206-F206,"")</f>
        <v>675</v>
      </c>
    </row>
    <row r="207" spans="1:7" ht="21.75" customHeight="1">
      <c r="A207" s="74"/>
      <c r="B207" s="74"/>
      <c r="C207" s="48" t="s">
        <v>31</v>
      </c>
      <c r="D207" s="54">
        <f>G195</f>
        <v>785</v>
      </c>
      <c r="E207" s="50">
        <v>55</v>
      </c>
      <c r="F207" s="51">
        <v>45</v>
      </c>
      <c r="G207" s="52">
        <f>IFERROR(D207+E207-F207,"")</f>
        <v>795</v>
      </c>
    </row>
    <row r="208" spans="1:7" ht="21.75" customHeight="1">
      <c r="A208" s="74"/>
      <c r="B208" s="74"/>
      <c r="C208" s="48" t="s">
        <v>33</v>
      </c>
      <c r="D208" s="54">
        <f>G196</f>
        <v>403</v>
      </c>
      <c r="E208" s="50">
        <v>26</v>
      </c>
      <c r="F208" s="51">
        <v>20</v>
      </c>
      <c r="G208" s="52">
        <f>IFERROR(D208+E208-F208,"")</f>
        <v>409</v>
      </c>
    </row>
    <row r="209" spans="1:7" ht="21.75" customHeight="1">
      <c r="A209" s="74"/>
      <c r="B209" s="74"/>
      <c r="C209" s="48" t="s">
        <v>36</v>
      </c>
      <c r="D209" s="54">
        <f>G197</f>
        <v>1032</v>
      </c>
      <c r="E209" s="50">
        <v>81</v>
      </c>
      <c r="F209" s="51">
        <v>49</v>
      </c>
      <c r="G209" s="52">
        <f>IFERROR(D209+E209-F209,"")</f>
        <v>1064</v>
      </c>
    </row>
    <row r="210" spans="1:7" ht="21.75" customHeight="1">
      <c r="A210" s="73" t="s">
        <v>76</v>
      </c>
      <c r="B210" s="73"/>
      <c r="C210" s="73"/>
      <c r="D210" s="53">
        <f>IFERROR(SUM(D199:D209),"")</f>
        <v>8015</v>
      </c>
      <c r="E210" s="53">
        <f>IFERROR(SUM(E199:E209),"")</f>
        <v>530</v>
      </c>
      <c r="F210" s="53">
        <f>IFERROR(SUM(F199:F209),"")</f>
        <v>379</v>
      </c>
      <c r="G210" s="53">
        <f>IFERROR(SUM(G199:G209),"")</f>
        <v>8166</v>
      </c>
    </row>
    <row r="211" spans="1:7" ht="21.75" customHeight="1">
      <c r="A211" s="74">
        <v>46040</v>
      </c>
      <c r="B211" s="75" t="s">
        <v>50</v>
      </c>
      <c r="C211" s="48" t="s">
        <v>26</v>
      </c>
      <c r="D211" s="54">
        <f>G199</f>
        <v>903</v>
      </c>
      <c r="E211" s="50">
        <v>36</v>
      </c>
      <c r="F211" s="51">
        <v>24</v>
      </c>
      <c r="G211" s="52">
        <f>IFERROR(D211+E211-F211,"")</f>
        <v>915</v>
      </c>
    </row>
    <row r="212" spans="1:7" ht="21.75" customHeight="1">
      <c r="A212" s="74"/>
      <c r="B212" s="74"/>
      <c r="C212" s="48" t="s">
        <v>27</v>
      </c>
      <c r="D212" s="54">
        <f>G200</f>
        <v>670</v>
      </c>
      <c r="E212" s="50">
        <v>43</v>
      </c>
      <c r="F212" s="51">
        <v>34</v>
      </c>
      <c r="G212" s="52">
        <f>IFERROR(D212+E212-F212,"")</f>
        <v>679</v>
      </c>
    </row>
    <row r="213" spans="1:7" ht="21.75" customHeight="1">
      <c r="A213" s="74"/>
      <c r="B213" s="74"/>
      <c r="C213" s="48" t="s">
        <v>30</v>
      </c>
      <c r="D213" s="54">
        <f>G201</f>
        <v>868</v>
      </c>
      <c r="E213" s="50">
        <v>51</v>
      </c>
      <c r="F213" s="51">
        <v>32</v>
      </c>
      <c r="G213" s="52">
        <f>IFERROR(D213+E213-F213,"")</f>
        <v>887</v>
      </c>
    </row>
    <row r="214" spans="1:7" ht="21.75" customHeight="1">
      <c r="A214" s="74"/>
      <c r="B214" s="74"/>
      <c r="C214" s="48" t="s">
        <v>32</v>
      </c>
      <c r="D214" s="54">
        <f>G202</f>
        <v>629</v>
      </c>
      <c r="E214" s="50">
        <v>59</v>
      </c>
      <c r="F214" s="51">
        <v>56</v>
      </c>
      <c r="G214" s="52">
        <f>IFERROR(D214+E214-F214,"")</f>
        <v>632</v>
      </c>
    </row>
    <row r="215" spans="1:7" ht="21.75" customHeight="1">
      <c r="A215" s="74"/>
      <c r="B215" s="74"/>
      <c r="C215" s="48" t="s">
        <v>34</v>
      </c>
      <c r="D215" s="54">
        <f>G203</f>
        <v>794</v>
      </c>
      <c r="E215" s="50">
        <v>40</v>
      </c>
      <c r="F215" s="51">
        <v>32</v>
      </c>
      <c r="G215" s="52">
        <f>IFERROR(D215+E215-F215,"")</f>
        <v>802</v>
      </c>
    </row>
    <row r="216" spans="1:7" ht="21.75" customHeight="1">
      <c r="A216" s="74"/>
      <c r="B216" s="74"/>
      <c r="C216" s="48" t="s">
        <v>25</v>
      </c>
      <c r="D216" s="54">
        <f>G204</f>
        <v>639</v>
      </c>
      <c r="E216" s="50">
        <v>36</v>
      </c>
      <c r="F216" s="51">
        <v>30</v>
      </c>
      <c r="G216" s="52">
        <f>IFERROR(D216+E216-F216,"")</f>
        <v>645</v>
      </c>
    </row>
    <row r="217" spans="1:7" ht="21.75" customHeight="1">
      <c r="A217" s="74"/>
      <c r="B217" s="74"/>
      <c r="C217" s="48" t="s">
        <v>35</v>
      </c>
      <c r="D217" s="54">
        <f>G205</f>
        <v>720</v>
      </c>
      <c r="E217" s="50">
        <v>65</v>
      </c>
      <c r="F217" s="51">
        <v>51</v>
      </c>
      <c r="G217" s="52">
        <f>IFERROR(D217+E217-F217,"")</f>
        <v>734</v>
      </c>
    </row>
    <row r="218" spans="1:7" ht="21.75" customHeight="1">
      <c r="A218" s="74"/>
      <c r="B218" s="74"/>
      <c r="C218" s="48" t="s">
        <v>29</v>
      </c>
      <c r="D218" s="54">
        <f>G206</f>
        <v>675</v>
      </c>
      <c r="E218" s="50">
        <v>49</v>
      </c>
      <c r="F218" s="51">
        <v>42</v>
      </c>
      <c r="G218" s="52">
        <f>IFERROR(D218+E218-F218,"")</f>
        <v>682</v>
      </c>
    </row>
    <row r="219" spans="1:7" ht="21.75" customHeight="1">
      <c r="A219" s="74"/>
      <c r="B219" s="74"/>
      <c r="C219" s="48" t="s">
        <v>31</v>
      </c>
      <c r="D219" s="54">
        <f>G207</f>
        <v>795</v>
      </c>
      <c r="E219" s="50">
        <v>42</v>
      </c>
      <c r="F219" s="51">
        <v>32</v>
      </c>
      <c r="G219" s="52">
        <f>IFERROR(D219+E219-F219,"")</f>
        <v>805</v>
      </c>
    </row>
    <row r="220" spans="1:7" ht="21.75" customHeight="1">
      <c r="A220" s="74"/>
      <c r="B220" s="74"/>
      <c r="C220" s="48" t="s">
        <v>33</v>
      </c>
      <c r="D220" s="54">
        <f>G208</f>
        <v>409</v>
      </c>
      <c r="E220" s="50">
        <v>50</v>
      </c>
      <c r="F220" s="51">
        <v>39</v>
      </c>
      <c r="G220" s="52">
        <f>IFERROR(D220+E220-F220,"")</f>
        <v>420</v>
      </c>
    </row>
    <row r="221" spans="1:7" ht="21.75" customHeight="1">
      <c r="A221" s="74"/>
      <c r="B221" s="74"/>
      <c r="C221" s="48" t="s">
        <v>36</v>
      </c>
      <c r="D221" s="54">
        <f>G209</f>
        <v>1064</v>
      </c>
      <c r="E221" s="50">
        <v>76</v>
      </c>
      <c r="F221" s="51">
        <v>55</v>
      </c>
      <c r="G221" s="52">
        <f>IFERROR(D221+E221-F221,"")</f>
        <v>1085</v>
      </c>
    </row>
    <row r="222" spans="1:7" ht="21.75" customHeight="1">
      <c r="A222" s="73" t="s">
        <v>77</v>
      </c>
      <c r="B222" s="73"/>
      <c r="C222" s="73"/>
      <c r="D222" s="53">
        <f>IFERROR(SUM(D211:D221),"")</f>
        <v>8166</v>
      </c>
      <c r="E222" s="53">
        <f>IFERROR(SUM(E211:E221),"")</f>
        <v>547</v>
      </c>
      <c r="F222" s="53">
        <f>IFERROR(SUM(F211:F221),"")</f>
        <v>427</v>
      </c>
      <c r="G222" s="53">
        <f>IFERROR(SUM(G211:G221),"")</f>
        <v>8286</v>
      </c>
    </row>
    <row r="223" spans="1:7" ht="21.75" customHeight="1">
      <c r="A223" s="71">
        <v>46041</v>
      </c>
      <c r="B223" s="72" t="s">
        <v>51</v>
      </c>
      <c r="C223" s="48" t="s">
        <v>26</v>
      </c>
      <c r="D223" s="54">
        <f>G211</f>
        <v>915</v>
      </c>
      <c r="E223" s="50">
        <v>90</v>
      </c>
      <c r="F223" s="51">
        <v>70</v>
      </c>
      <c r="G223" s="52">
        <f>IFERROR(D223+E223-F223,"")</f>
        <v>935</v>
      </c>
    </row>
    <row r="224" spans="1:7" ht="21.75" customHeight="1">
      <c r="A224" s="71"/>
      <c r="B224" s="71"/>
      <c r="C224" s="48" t="s">
        <v>27</v>
      </c>
      <c r="D224" s="54">
        <f>G212</f>
        <v>679</v>
      </c>
      <c r="E224" s="50">
        <v>116</v>
      </c>
      <c r="F224" s="51">
        <v>86</v>
      </c>
      <c r="G224" s="52">
        <f>IFERROR(D224+E224-F224,"")</f>
        <v>709</v>
      </c>
    </row>
    <row r="225" spans="1:7" ht="21.75" customHeight="1">
      <c r="A225" s="71"/>
      <c r="B225" s="71"/>
      <c r="C225" s="48" t="s">
        <v>30</v>
      </c>
      <c r="D225" s="54">
        <f>G213</f>
        <v>887</v>
      </c>
      <c r="E225" s="50">
        <v>131</v>
      </c>
      <c r="F225" s="51">
        <v>92</v>
      </c>
      <c r="G225" s="52">
        <f>IFERROR(D225+E225-F225,"")</f>
        <v>926</v>
      </c>
    </row>
    <row r="226" spans="1:7" ht="21.75" customHeight="1">
      <c r="A226" s="71"/>
      <c r="B226" s="71"/>
      <c r="C226" s="48" t="s">
        <v>32</v>
      </c>
      <c r="D226" s="54">
        <f>G214</f>
        <v>632</v>
      </c>
      <c r="E226" s="50">
        <v>115</v>
      </c>
      <c r="F226" s="51">
        <v>89</v>
      </c>
      <c r="G226" s="52">
        <f>IFERROR(D226+E226-F226,"")</f>
        <v>658</v>
      </c>
    </row>
    <row r="227" spans="1:7" ht="21.75" customHeight="1">
      <c r="A227" s="71"/>
      <c r="B227" s="71"/>
      <c r="C227" s="48" t="s">
        <v>34</v>
      </c>
      <c r="D227" s="54">
        <f>G215</f>
        <v>802</v>
      </c>
      <c r="E227" s="50">
        <v>176</v>
      </c>
      <c r="F227" s="51">
        <v>143</v>
      </c>
      <c r="G227" s="52">
        <f>IFERROR(D227+E227-F227,"")</f>
        <v>835</v>
      </c>
    </row>
    <row r="228" spans="1:7" ht="21.75" customHeight="1">
      <c r="A228" s="71"/>
      <c r="B228" s="71"/>
      <c r="C228" s="48" t="s">
        <v>25</v>
      </c>
      <c r="D228" s="54">
        <f>G216</f>
        <v>645</v>
      </c>
      <c r="E228" s="50">
        <v>62</v>
      </c>
      <c r="F228" s="51">
        <v>48</v>
      </c>
      <c r="G228" s="52">
        <f>IFERROR(D228+E228-F228,"")</f>
        <v>659</v>
      </c>
    </row>
    <row r="229" spans="1:7" ht="21.75" customHeight="1">
      <c r="A229" s="71"/>
      <c r="B229" s="71"/>
      <c r="C229" s="48" t="s">
        <v>35</v>
      </c>
      <c r="D229" s="54">
        <f>G217</f>
        <v>734</v>
      </c>
      <c r="E229" s="50">
        <v>84</v>
      </c>
      <c r="F229" s="51">
        <v>66</v>
      </c>
      <c r="G229" s="52">
        <f>IFERROR(D229+E229-F229,"")</f>
        <v>752</v>
      </c>
    </row>
    <row r="230" spans="1:7" ht="21.75" customHeight="1">
      <c r="A230" s="71"/>
      <c r="B230" s="71"/>
      <c r="C230" s="48" t="s">
        <v>29</v>
      </c>
      <c r="D230" s="54">
        <f>G218</f>
        <v>682</v>
      </c>
      <c r="E230" s="50">
        <v>78</v>
      </c>
      <c r="F230" s="51">
        <v>62</v>
      </c>
      <c r="G230" s="52">
        <f>IFERROR(D230+E230-F230,"")</f>
        <v>698</v>
      </c>
    </row>
    <row r="231" spans="1:7" ht="21.75" customHeight="1">
      <c r="A231" s="71"/>
      <c r="B231" s="71"/>
      <c r="C231" s="48" t="s">
        <v>31</v>
      </c>
      <c r="D231" s="54">
        <f>G219</f>
        <v>805</v>
      </c>
      <c r="E231" s="50">
        <v>139</v>
      </c>
      <c r="F231" s="51">
        <v>112</v>
      </c>
      <c r="G231" s="52">
        <f>IFERROR(D231+E231-F231,"")</f>
        <v>832</v>
      </c>
    </row>
    <row r="232" spans="1:7" ht="21.75" customHeight="1">
      <c r="A232" s="71"/>
      <c r="B232" s="71"/>
      <c r="C232" s="48" t="s">
        <v>33</v>
      </c>
      <c r="D232" s="54">
        <f>G220</f>
        <v>420</v>
      </c>
      <c r="E232" s="50">
        <v>85</v>
      </c>
      <c r="F232" s="51">
        <v>75</v>
      </c>
      <c r="G232" s="52">
        <f>IFERROR(D232+E232-F232,"")</f>
        <v>430</v>
      </c>
    </row>
    <row r="233" spans="1:7" ht="21.75" customHeight="1">
      <c r="A233" s="71"/>
      <c r="B233" s="71"/>
      <c r="C233" s="48" t="s">
        <v>36</v>
      </c>
      <c r="D233" s="54">
        <f>G221</f>
        <v>1085</v>
      </c>
      <c r="E233" s="50">
        <v>165</v>
      </c>
      <c r="F233" s="51">
        <v>110</v>
      </c>
      <c r="G233" s="52">
        <f>IFERROR(D233+E233-F233,"")</f>
        <v>1140</v>
      </c>
    </row>
    <row r="234" spans="1:7" ht="21.75" customHeight="1">
      <c r="A234" s="73" t="s">
        <v>78</v>
      </c>
      <c r="B234" s="73"/>
      <c r="C234" s="73"/>
      <c r="D234" s="53">
        <f>IFERROR(SUM(D223:D233),"")</f>
        <v>8286</v>
      </c>
      <c r="E234" s="53">
        <f>IFERROR(SUM(E223:E233),"")</f>
        <v>1241</v>
      </c>
      <c r="F234" s="53">
        <f>IFERROR(SUM(F223:F233),"")</f>
        <v>953</v>
      </c>
      <c r="G234" s="53">
        <f>IFERROR(SUM(G223:G233),"")</f>
        <v>8574</v>
      </c>
    </row>
    <row r="235" spans="1:7" ht="21.75" customHeight="1">
      <c r="A235" s="71">
        <v>46042</v>
      </c>
      <c r="B235" s="72" t="s">
        <v>52</v>
      </c>
      <c r="C235" s="48" t="s">
        <v>26</v>
      </c>
      <c r="D235" s="54">
        <f>G223</f>
        <v>935</v>
      </c>
      <c r="E235" s="50">
        <v>126</v>
      </c>
      <c r="F235" s="51">
        <v>86</v>
      </c>
      <c r="G235" s="52">
        <f>IFERROR(D235+E235-F235,"")</f>
        <v>975</v>
      </c>
    </row>
    <row r="236" spans="1:7" ht="21.75" customHeight="1">
      <c r="A236" s="71"/>
      <c r="B236" s="71"/>
      <c r="C236" s="48" t="s">
        <v>27</v>
      </c>
      <c r="D236" s="54">
        <f>G224</f>
        <v>709</v>
      </c>
      <c r="E236" s="50">
        <v>76</v>
      </c>
      <c r="F236" s="51">
        <v>57</v>
      </c>
      <c r="G236" s="52">
        <f>IFERROR(D236+E236-F236,"")</f>
        <v>728</v>
      </c>
    </row>
    <row r="237" spans="1:7" ht="21.75" customHeight="1">
      <c r="A237" s="71"/>
      <c r="B237" s="71"/>
      <c r="C237" s="48" t="s">
        <v>30</v>
      </c>
      <c r="D237" s="54">
        <f>G225</f>
        <v>926</v>
      </c>
      <c r="E237" s="50">
        <v>102</v>
      </c>
      <c r="F237" s="51">
        <v>69</v>
      </c>
      <c r="G237" s="52">
        <f>IFERROR(D237+E237-F237,"")</f>
        <v>959</v>
      </c>
    </row>
    <row r="238" spans="1:7" ht="21.75" customHeight="1">
      <c r="A238" s="71"/>
      <c r="B238" s="71"/>
      <c r="C238" s="48" t="s">
        <v>32</v>
      </c>
      <c r="D238" s="54">
        <f>G226</f>
        <v>658</v>
      </c>
      <c r="E238" s="50">
        <v>67</v>
      </c>
      <c r="F238" s="51">
        <v>51</v>
      </c>
      <c r="G238" s="52">
        <f>IFERROR(D238+E238-F238,"")</f>
        <v>674</v>
      </c>
    </row>
    <row r="239" spans="1:7" ht="21.75" customHeight="1">
      <c r="A239" s="71"/>
      <c r="B239" s="71"/>
      <c r="C239" s="48" t="s">
        <v>34</v>
      </c>
      <c r="D239" s="54">
        <f>G227</f>
        <v>835</v>
      </c>
      <c r="E239" s="50">
        <v>146</v>
      </c>
      <c r="F239" s="51">
        <v>91</v>
      </c>
      <c r="G239" s="52">
        <f>IFERROR(D239+E239-F239,"")</f>
        <v>890</v>
      </c>
    </row>
    <row r="240" spans="1:7" ht="21.75" customHeight="1">
      <c r="A240" s="71"/>
      <c r="B240" s="71"/>
      <c r="C240" s="48" t="s">
        <v>25</v>
      </c>
      <c r="D240" s="54">
        <f>G228</f>
        <v>659</v>
      </c>
      <c r="E240" s="50">
        <v>108</v>
      </c>
      <c r="F240" s="51">
        <v>81</v>
      </c>
      <c r="G240" s="52">
        <f>IFERROR(D240+E240-F240,"")</f>
        <v>686</v>
      </c>
    </row>
    <row r="241" spans="1:7" ht="21.75" customHeight="1">
      <c r="A241" s="71"/>
      <c r="B241" s="71"/>
      <c r="C241" s="48" t="s">
        <v>35</v>
      </c>
      <c r="D241" s="54">
        <f>G229</f>
        <v>752</v>
      </c>
      <c r="E241" s="50">
        <v>121</v>
      </c>
      <c r="F241" s="51">
        <v>91</v>
      </c>
      <c r="G241" s="52">
        <f>IFERROR(D241+E241-F241,"")</f>
        <v>782</v>
      </c>
    </row>
    <row r="242" spans="1:7" ht="21.75" customHeight="1">
      <c r="A242" s="71"/>
      <c r="B242" s="71"/>
      <c r="C242" s="48" t="s">
        <v>29</v>
      </c>
      <c r="D242" s="54">
        <f>G230</f>
        <v>698</v>
      </c>
      <c r="E242" s="50">
        <v>81</v>
      </c>
      <c r="F242" s="51">
        <v>66</v>
      </c>
      <c r="G242" s="52">
        <f>IFERROR(D242+E242-F242,"")</f>
        <v>713</v>
      </c>
    </row>
    <row r="243" spans="1:7" ht="21.75" customHeight="1">
      <c r="A243" s="71"/>
      <c r="B243" s="71"/>
      <c r="C243" s="48" t="s">
        <v>31</v>
      </c>
      <c r="D243" s="54">
        <f>G231</f>
        <v>832</v>
      </c>
      <c r="E243" s="50">
        <v>96</v>
      </c>
      <c r="F243" s="51">
        <v>80</v>
      </c>
      <c r="G243" s="52">
        <f>IFERROR(D243+E243-F243,"")</f>
        <v>848</v>
      </c>
    </row>
    <row r="244" spans="1:7" ht="21.75" customHeight="1">
      <c r="A244" s="71"/>
      <c r="B244" s="71"/>
      <c r="C244" s="48" t="s">
        <v>33</v>
      </c>
      <c r="D244" s="54">
        <f>G232</f>
        <v>430</v>
      </c>
      <c r="E244" s="50">
        <v>71</v>
      </c>
      <c r="F244" s="51">
        <v>63</v>
      </c>
      <c r="G244" s="52">
        <f>IFERROR(D244+E244-F244,"")</f>
        <v>438</v>
      </c>
    </row>
    <row r="245" spans="1:7" ht="21.75" customHeight="1">
      <c r="A245" s="71"/>
      <c r="B245" s="71"/>
      <c r="C245" s="48" t="s">
        <v>36</v>
      </c>
      <c r="D245" s="54">
        <f>G233</f>
        <v>1140</v>
      </c>
      <c r="E245" s="50">
        <v>165</v>
      </c>
      <c r="F245" s="51">
        <v>107</v>
      </c>
      <c r="G245" s="52">
        <f>IFERROR(D245+E245-F245,"")</f>
        <v>1198</v>
      </c>
    </row>
    <row r="246" spans="1:7" ht="21.75" customHeight="1">
      <c r="A246" s="73" t="s">
        <v>79</v>
      </c>
      <c r="B246" s="73"/>
      <c r="C246" s="73"/>
      <c r="D246" s="53">
        <f>IFERROR(SUM(D235:D245),"")</f>
        <v>8574</v>
      </c>
      <c r="E246" s="53">
        <f>IFERROR(SUM(E235:E245),"")</f>
        <v>1159</v>
      </c>
      <c r="F246" s="53">
        <f>IFERROR(SUM(F235:F245),"")</f>
        <v>842</v>
      </c>
      <c r="G246" s="53">
        <f>IFERROR(SUM(G235:G245),"")</f>
        <v>8891</v>
      </c>
    </row>
    <row r="247" spans="1:7" ht="21.75" customHeight="1">
      <c r="A247" s="71">
        <v>46043</v>
      </c>
      <c r="B247" s="72" t="s">
        <v>53</v>
      </c>
      <c r="C247" s="48" t="s">
        <v>26</v>
      </c>
      <c r="D247" s="54">
        <f>G235</f>
        <v>975</v>
      </c>
      <c r="E247" s="50">
        <v>110</v>
      </c>
      <c r="F247" s="51">
        <v>71</v>
      </c>
      <c r="G247" s="52">
        <f>IFERROR(D247+E247-F247,"")</f>
        <v>1014</v>
      </c>
    </row>
    <row r="248" spans="1:7" ht="21.75" customHeight="1">
      <c r="A248" s="71"/>
      <c r="B248" s="71"/>
      <c r="C248" s="48" t="s">
        <v>27</v>
      </c>
      <c r="D248" s="54">
        <f>G236</f>
        <v>728</v>
      </c>
      <c r="E248" s="50">
        <v>75</v>
      </c>
      <c r="F248" s="51">
        <v>55</v>
      </c>
      <c r="G248" s="52">
        <f>IFERROR(D248+E248-F248,"")</f>
        <v>748</v>
      </c>
    </row>
    <row r="249" spans="1:7" ht="21.75" customHeight="1">
      <c r="A249" s="71"/>
      <c r="B249" s="71"/>
      <c r="C249" s="48" t="s">
        <v>30</v>
      </c>
      <c r="D249" s="54">
        <f>G237</f>
        <v>959</v>
      </c>
      <c r="E249" s="50">
        <v>102</v>
      </c>
      <c r="F249" s="51">
        <v>75</v>
      </c>
      <c r="G249" s="52">
        <f>IFERROR(D249+E249-F249,"")</f>
        <v>986</v>
      </c>
    </row>
    <row r="250" spans="1:7" ht="21.75" customHeight="1">
      <c r="A250" s="71"/>
      <c r="B250" s="71"/>
      <c r="C250" s="48" t="s">
        <v>32</v>
      </c>
      <c r="D250" s="54">
        <f>G238</f>
        <v>674</v>
      </c>
      <c r="E250" s="50">
        <v>113</v>
      </c>
      <c r="F250" s="51">
        <v>96</v>
      </c>
      <c r="G250" s="52">
        <f>IFERROR(D250+E250-F250,"")</f>
        <v>691</v>
      </c>
    </row>
    <row r="251" spans="1:7" ht="21.75" customHeight="1">
      <c r="A251" s="71"/>
      <c r="B251" s="71"/>
      <c r="C251" s="48" t="s">
        <v>34</v>
      </c>
      <c r="D251" s="54">
        <f>G239</f>
        <v>890</v>
      </c>
      <c r="E251" s="50">
        <v>145</v>
      </c>
      <c r="F251" s="51">
        <v>110</v>
      </c>
      <c r="G251" s="52">
        <f>IFERROR(D251+E251-F251,"")</f>
        <v>925</v>
      </c>
    </row>
    <row r="252" spans="1:7" ht="21.75" customHeight="1">
      <c r="A252" s="71"/>
      <c r="B252" s="71"/>
      <c r="C252" s="48" t="s">
        <v>25</v>
      </c>
      <c r="D252" s="54">
        <f>G240</f>
        <v>686</v>
      </c>
      <c r="E252" s="50">
        <v>61</v>
      </c>
      <c r="F252" s="51">
        <v>43</v>
      </c>
      <c r="G252" s="52">
        <f>IFERROR(D252+E252-F252,"")</f>
        <v>704</v>
      </c>
    </row>
    <row r="253" spans="1:7" ht="21.75" customHeight="1">
      <c r="A253" s="71"/>
      <c r="B253" s="71"/>
      <c r="C253" s="48" t="s">
        <v>35</v>
      </c>
      <c r="D253" s="54">
        <f>G241</f>
        <v>782</v>
      </c>
      <c r="E253" s="50">
        <v>124</v>
      </c>
      <c r="F253" s="51">
        <v>89</v>
      </c>
      <c r="G253" s="52">
        <f>IFERROR(D253+E253-F253,"")</f>
        <v>817</v>
      </c>
    </row>
    <row r="254" spans="1:7" ht="21.75" customHeight="1">
      <c r="A254" s="71"/>
      <c r="B254" s="71"/>
      <c r="C254" s="48" t="s">
        <v>29</v>
      </c>
      <c r="D254" s="54">
        <f>G242</f>
        <v>713</v>
      </c>
      <c r="E254" s="50">
        <v>91</v>
      </c>
      <c r="F254" s="51">
        <v>66</v>
      </c>
      <c r="G254" s="52">
        <f>IFERROR(D254+E254-F254,"")</f>
        <v>738</v>
      </c>
    </row>
    <row r="255" spans="1:7" ht="21.75" customHeight="1">
      <c r="A255" s="71"/>
      <c r="B255" s="71"/>
      <c r="C255" s="48" t="s">
        <v>31</v>
      </c>
      <c r="D255" s="54">
        <f>G243</f>
        <v>848</v>
      </c>
      <c r="E255" s="50">
        <v>115</v>
      </c>
      <c r="F255" s="51">
        <v>73</v>
      </c>
      <c r="G255" s="52">
        <f>IFERROR(D255+E255-F255,"")</f>
        <v>890</v>
      </c>
    </row>
    <row r="256" spans="1:7" ht="21.75" customHeight="1">
      <c r="A256" s="71"/>
      <c r="B256" s="71"/>
      <c r="C256" s="48" t="s">
        <v>33</v>
      </c>
      <c r="D256" s="54">
        <f>G244</f>
        <v>438</v>
      </c>
      <c r="E256" s="50">
        <v>81</v>
      </c>
      <c r="F256" s="51">
        <v>67</v>
      </c>
      <c r="G256" s="52">
        <f>IFERROR(D256+E256-F256,"")</f>
        <v>452</v>
      </c>
    </row>
    <row r="257" spans="1:7" ht="21.75" customHeight="1">
      <c r="A257" s="71"/>
      <c r="B257" s="71"/>
      <c r="C257" s="48" t="s">
        <v>36</v>
      </c>
      <c r="D257" s="54">
        <f>G245</f>
        <v>1198</v>
      </c>
      <c r="E257" s="50">
        <v>105</v>
      </c>
      <c r="F257" s="51">
        <v>69</v>
      </c>
      <c r="G257" s="52">
        <f>IFERROR(D257+E257-F257,"")</f>
        <v>1234</v>
      </c>
    </row>
    <row r="258" spans="1:7" ht="21.75" customHeight="1">
      <c r="A258" s="73" t="s">
        <v>80</v>
      </c>
      <c r="B258" s="73"/>
      <c r="C258" s="73"/>
      <c r="D258" s="53">
        <f>IFERROR(SUM(D247:D257),"")</f>
        <v>8891</v>
      </c>
      <c r="E258" s="53">
        <f>IFERROR(SUM(E247:E257),"")</f>
        <v>1122</v>
      </c>
      <c r="F258" s="53">
        <f>IFERROR(SUM(F247:F257),"")</f>
        <v>814</v>
      </c>
      <c r="G258" s="53">
        <f>IFERROR(SUM(G247:G257),"")</f>
        <v>9199</v>
      </c>
    </row>
    <row r="259" spans="1:7" ht="21.75" customHeight="1">
      <c r="A259" s="71">
        <v>46044</v>
      </c>
      <c r="B259" s="72" t="s">
        <v>45</v>
      </c>
      <c r="C259" s="48" t="s">
        <v>26</v>
      </c>
      <c r="D259" s="54">
        <f>G247</f>
        <v>1014</v>
      </c>
      <c r="E259" s="50">
        <v>95</v>
      </c>
      <c r="F259" s="51">
        <v>79</v>
      </c>
      <c r="G259" s="52">
        <f>IFERROR(D259+E259-F259,"")</f>
        <v>1030</v>
      </c>
    </row>
    <row r="260" spans="1:7" ht="21.75" customHeight="1">
      <c r="A260" s="71"/>
      <c r="B260" s="71"/>
      <c r="C260" s="48" t="s">
        <v>27</v>
      </c>
      <c r="D260" s="54">
        <f>G248</f>
        <v>748</v>
      </c>
      <c r="E260" s="50">
        <v>95</v>
      </c>
      <c r="F260" s="51">
        <v>74</v>
      </c>
      <c r="G260" s="52">
        <f>IFERROR(D260+E260-F260,"")</f>
        <v>769</v>
      </c>
    </row>
    <row r="261" spans="1:7" ht="21.75" customHeight="1">
      <c r="A261" s="71"/>
      <c r="B261" s="71"/>
      <c r="C261" s="48" t="s">
        <v>30</v>
      </c>
      <c r="D261" s="54">
        <f>G249</f>
        <v>986</v>
      </c>
      <c r="E261" s="50">
        <v>96</v>
      </c>
      <c r="F261" s="51">
        <v>74</v>
      </c>
      <c r="G261" s="52">
        <f>IFERROR(D261+E261-F261,"")</f>
        <v>1008</v>
      </c>
    </row>
    <row r="262" spans="1:7" ht="21.75" customHeight="1">
      <c r="A262" s="71"/>
      <c r="B262" s="71"/>
      <c r="C262" s="48" t="s">
        <v>32</v>
      </c>
      <c r="D262" s="54">
        <f>G250</f>
        <v>691</v>
      </c>
      <c r="E262" s="50">
        <v>105</v>
      </c>
      <c r="F262" s="51">
        <v>84</v>
      </c>
      <c r="G262" s="52">
        <f>IFERROR(D262+E262-F262,"")</f>
        <v>712</v>
      </c>
    </row>
    <row r="263" spans="1:7" ht="21.75" customHeight="1">
      <c r="A263" s="71"/>
      <c r="B263" s="71"/>
      <c r="C263" s="48" t="s">
        <v>34</v>
      </c>
      <c r="D263" s="54">
        <f>G251</f>
        <v>925</v>
      </c>
      <c r="E263" s="50">
        <v>139</v>
      </c>
      <c r="F263" s="51">
        <v>95</v>
      </c>
      <c r="G263" s="52">
        <f>IFERROR(D263+E263-F263,"")</f>
        <v>969</v>
      </c>
    </row>
    <row r="264" spans="1:7" ht="21.75" customHeight="1">
      <c r="A264" s="71"/>
      <c r="B264" s="71"/>
      <c r="C264" s="48" t="s">
        <v>25</v>
      </c>
      <c r="D264" s="54">
        <f>G252</f>
        <v>704</v>
      </c>
      <c r="E264" s="50">
        <v>88</v>
      </c>
      <c r="F264" s="51">
        <v>76</v>
      </c>
      <c r="G264" s="52">
        <f>IFERROR(D264+E264-F264,"")</f>
        <v>716</v>
      </c>
    </row>
    <row r="265" spans="1:7" ht="21.75" customHeight="1">
      <c r="A265" s="71"/>
      <c r="B265" s="71"/>
      <c r="C265" s="48" t="s">
        <v>35</v>
      </c>
      <c r="D265" s="54">
        <f>G253</f>
        <v>817</v>
      </c>
      <c r="E265" s="50">
        <v>118</v>
      </c>
      <c r="F265" s="51">
        <v>84</v>
      </c>
      <c r="G265" s="52">
        <f>IFERROR(D265+E265-F265,"")</f>
        <v>851</v>
      </c>
    </row>
    <row r="266" spans="1:7" ht="21.75" customHeight="1">
      <c r="A266" s="71"/>
      <c r="B266" s="71"/>
      <c r="C266" s="48" t="s">
        <v>29</v>
      </c>
      <c r="D266" s="54">
        <f>G254</f>
        <v>738</v>
      </c>
      <c r="E266" s="50">
        <v>107</v>
      </c>
      <c r="F266" s="51">
        <v>74</v>
      </c>
      <c r="G266" s="52">
        <f>IFERROR(D266+E266-F266,"")</f>
        <v>771</v>
      </c>
    </row>
    <row r="267" spans="1:7" ht="21.75" customHeight="1">
      <c r="A267" s="71"/>
      <c r="B267" s="71"/>
      <c r="C267" s="48" t="s">
        <v>31</v>
      </c>
      <c r="D267" s="54">
        <f>G255</f>
        <v>890</v>
      </c>
      <c r="E267" s="50">
        <v>124</v>
      </c>
      <c r="F267" s="51">
        <v>88</v>
      </c>
      <c r="G267" s="52">
        <f>IFERROR(D267+E267-F267,"")</f>
        <v>926</v>
      </c>
    </row>
    <row r="268" spans="1:7" ht="21.75" customHeight="1">
      <c r="A268" s="71"/>
      <c r="B268" s="71"/>
      <c r="C268" s="48" t="s">
        <v>33</v>
      </c>
      <c r="D268" s="54">
        <f>G256</f>
        <v>452</v>
      </c>
      <c r="E268" s="50">
        <v>67</v>
      </c>
      <c r="F268" s="51">
        <v>58</v>
      </c>
      <c r="G268" s="52">
        <f>IFERROR(D268+E268-F268,"")</f>
        <v>461</v>
      </c>
    </row>
    <row r="269" spans="1:7" ht="21.75" customHeight="1">
      <c r="A269" s="71"/>
      <c r="B269" s="71"/>
      <c r="C269" s="48" t="s">
        <v>36</v>
      </c>
      <c r="D269" s="54">
        <f>G257</f>
        <v>1234</v>
      </c>
      <c r="E269" s="50">
        <v>122</v>
      </c>
      <c r="F269" s="51">
        <v>89</v>
      </c>
      <c r="G269" s="52">
        <f>IFERROR(D269+E269-F269,"")</f>
        <v>1267</v>
      </c>
    </row>
    <row r="270" spans="1:7" ht="21.75" customHeight="1">
      <c r="A270" s="73" t="s">
        <v>81</v>
      </c>
      <c r="B270" s="73"/>
      <c r="C270" s="73"/>
      <c r="D270" s="53">
        <f>IFERROR(SUM(D259:D269),"")</f>
        <v>9199</v>
      </c>
      <c r="E270" s="53">
        <f>IFERROR(SUM(E259:E269),"")</f>
        <v>1156</v>
      </c>
      <c r="F270" s="53">
        <f>IFERROR(SUM(F259:F269),"")</f>
        <v>875</v>
      </c>
      <c r="G270" s="53">
        <f>IFERROR(SUM(G259:G269),"")</f>
        <v>9480</v>
      </c>
    </row>
    <row r="271" spans="1:7" ht="21.75" customHeight="1">
      <c r="A271" s="71">
        <v>46045</v>
      </c>
      <c r="B271" s="72" t="s">
        <v>47</v>
      </c>
      <c r="C271" s="48" t="s">
        <v>26</v>
      </c>
      <c r="D271" s="54">
        <f>G259</f>
        <v>1030</v>
      </c>
      <c r="E271" s="50">
        <v>108</v>
      </c>
      <c r="F271" s="51">
        <v>72</v>
      </c>
      <c r="G271" s="52">
        <f>IFERROR(D271+E271-F271,"")</f>
        <v>1066</v>
      </c>
    </row>
    <row r="272" spans="1:7" ht="21.75" customHeight="1">
      <c r="A272" s="71"/>
      <c r="B272" s="71"/>
      <c r="C272" s="48" t="s">
        <v>27</v>
      </c>
      <c r="D272" s="54">
        <f>G260</f>
        <v>769</v>
      </c>
      <c r="E272" s="50">
        <v>98</v>
      </c>
      <c r="F272" s="51">
        <v>86</v>
      </c>
      <c r="G272" s="52">
        <f>IFERROR(D272+E272-F272,"")</f>
        <v>781</v>
      </c>
    </row>
    <row r="273" spans="1:7" ht="21.75" customHeight="1">
      <c r="A273" s="71"/>
      <c r="B273" s="71"/>
      <c r="C273" s="48" t="s">
        <v>30</v>
      </c>
      <c r="D273" s="54">
        <f>G261</f>
        <v>1008</v>
      </c>
      <c r="E273" s="50">
        <v>114</v>
      </c>
      <c r="F273" s="51">
        <v>80</v>
      </c>
      <c r="G273" s="52">
        <f>IFERROR(D273+E273-F273,"")</f>
        <v>1042</v>
      </c>
    </row>
    <row r="274" spans="1:7" ht="21.75" customHeight="1">
      <c r="A274" s="71"/>
      <c r="B274" s="71"/>
      <c r="C274" s="48" t="s">
        <v>32</v>
      </c>
      <c r="D274" s="54">
        <f>G262</f>
        <v>712</v>
      </c>
      <c r="E274" s="50">
        <v>96</v>
      </c>
      <c r="F274" s="51">
        <v>85</v>
      </c>
      <c r="G274" s="52">
        <f>IFERROR(D274+E274-F274,"")</f>
        <v>723</v>
      </c>
    </row>
    <row r="275" spans="1:7" ht="21.75" customHeight="1">
      <c r="A275" s="71"/>
      <c r="B275" s="71"/>
      <c r="C275" s="48" t="s">
        <v>34</v>
      </c>
      <c r="D275" s="54">
        <f>G263</f>
        <v>969</v>
      </c>
      <c r="E275" s="50">
        <v>168</v>
      </c>
      <c r="F275" s="51">
        <v>127</v>
      </c>
      <c r="G275" s="52">
        <f>IFERROR(D275+E275-F275,"")</f>
        <v>1010</v>
      </c>
    </row>
    <row r="276" spans="1:7" ht="21.75" customHeight="1">
      <c r="A276" s="71"/>
      <c r="B276" s="71"/>
      <c r="C276" s="48" t="s">
        <v>25</v>
      </c>
      <c r="D276" s="54">
        <f>G264</f>
        <v>716</v>
      </c>
      <c r="E276" s="50">
        <v>54</v>
      </c>
      <c r="F276" s="51">
        <v>39</v>
      </c>
      <c r="G276" s="52">
        <f>IFERROR(D276+E276-F276,"")</f>
        <v>731</v>
      </c>
    </row>
    <row r="277" spans="1:7" ht="21.75" customHeight="1">
      <c r="A277" s="71"/>
      <c r="B277" s="71"/>
      <c r="C277" s="48" t="s">
        <v>35</v>
      </c>
      <c r="D277" s="54">
        <f>G265</f>
        <v>851</v>
      </c>
      <c r="E277" s="50">
        <v>86</v>
      </c>
      <c r="F277" s="51">
        <v>75</v>
      </c>
      <c r="G277" s="52">
        <f>IFERROR(D277+E277-F277,"")</f>
        <v>862</v>
      </c>
    </row>
    <row r="278" spans="1:7" ht="21.75" customHeight="1">
      <c r="A278" s="71"/>
      <c r="B278" s="71"/>
      <c r="C278" s="48" t="s">
        <v>29</v>
      </c>
      <c r="D278" s="54">
        <f>G266</f>
        <v>771</v>
      </c>
      <c r="E278" s="50">
        <v>67</v>
      </c>
      <c r="F278" s="51">
        <v>52</v>
      </c>
      <c r="G278" s="52">
        <f>IFERROR(D278+E278-F278,"")</f>
        <v>786</v>
      </c>
    </row>
    <row r="279" spans="1:7" ht="21.75" customHeight="1">
      <c r="A279" s="71"/>
      <c r="B279" s="71"/>
      <c r="C279" s="48" t="s">
        <v>31</v>
      </c>
      <c r="D279" s="54">
        <f>G267</f>
        <v>926</v>
      </c>
      <c r="E279" s="50">
        <v>124</v>
      </c>
      <c r="F279" s="51">
        <v>101</v>
      </c>
      <c r="G279" s="52">
        <f>IFERROR(D279+E279-F279,"")</f>
        <v>949</v>
      </c>
    </row>
    <row r="280" spans="1:7" ht="21.75" customHeight="1">
      <c r="A280" s="71"/>
      <c r="B280" s="71"/>
      <c r="C280" s="48" t="s">
        <v>33</v>
      </c>
      <c r="D280" s="54">
        <f>G268</f>
        <v>461</v>
      </c>
      <c r="E280" s="50">
        <v>56</v>
      </c>
      <c r="F280" s="51">
        <v>46</v>
      </c>
      <c r="G280" s="52">
        <f>IFERROR(D280+E280-F280,"")</f>
        <v>471</v>
      </c>
    </row>
    <row r="281" spans="1:7" ht="21.75" customHeight="1">
      <c r="A281" s="71"/>
      <c r="B281" s="71"/>
      <c r="C281" s="48" t="s">
        <v>36</v>
      </c>
      <c r="D281" s="54">
        <f>G269</f>
        <v>1267</v>
      </c>
      <c r="E281" s="50">
        <v>99</v>
      </c>
      <c r="F281" s="51">
        <v>64</v>
      </c>
      <c r="G281" s="52">
        <f>IFERROR(D281+E281-F281,"")</f>
        <v>1302</v>
      </c>
    </row>
    <row r="282" spans="1:7" ht="21.75" customHeight="1">
      <c r="A282" s="73" t="s">
        <v>82</v>
      </c>
      <c r="B282" s="73"/>
      <c r="C282" s="73"/>
      <c r="D282" s="53">
        <f>IFERROR(SUM(D271:D281),"")</f>
        <v>9480</v>
      </c>
      <c r="E282" s="53">
        <f>IFERROR(SUM(E271:E281),"")</f>
        <v>1070</v>
      </c>
      <c r="F282" s="53">
        <f>IFERROR(SUM(F271:F281),"")</f>
        <v>827</v>
      </c>
      <c r="G282" s="53">
        <f>IFERROR(SUM(G271:G281),"")</f>
        <v>9723</v>
      </c>
    </row>
    <row r="283" spans="1:7" ht="21.75" customHeight="1">
      <c r="A283" s="74">
        <v>46046</v>
      </c>
      <c r="B283" s="75" t="s">
        <v>48</v>
      </c>
      <c r="C283" s="48" t="s">
        <v>26</v>
      </c>
      <c r="D283" s="54">
        <f>G271</f>
        <v>1066</v>
      </c>
      <c r="E283" s="50">
        <v>74</v>
      </c>
      <c r="F283" s="51">
        <v>50</v>
      </c>
      <c r="G283" s="52">
        <f>IFERROR(D283+E283-F283,"")</f>
        <v>1090</v>
      </c>
    </row>
    <row r="284" spans="1:7" ht="21.75" customHeight="1">
      <c r="A284" s="74"/>
      <c r="B284" s="74"/>
      <c r="C284" s="48" t="s">
        <v>27</v>
      </c>
      <c r="D284" s="54">
        <f>G272</f>
        <v>781</v>
      </c>
      <c r="E284" s="50">
        <v>53</v>
      </c>
      <c r="F284" s="51">
        <v>43</v>
      </c>
      <c r="G284" s="52">
        <f>IFERROR(D284+E284-F284,"")</f>
        <v>791</v>
      </c>
    </row>
    <row r="285" spans="1:7" ht="21.75" customHeight="1">
      <c r="A285" s="74"/>
      <c r="B285" s="74"/>
      <c r="C285" s="48" t="s">
        <v>30</v>
      </c>
      <c r="D285" s="54">
        <f>G273</f>
        <v>1042</v>
      </c>
      <c r="E285" s="50">
        <v>78</v>
      </c>
      <c r="F285" s="51">
        <v>49</v>
      </c>
      <c r="G285" s="52">
        <f>IFERROR(D285+E285-F285,"")</f>
        <v>1071</v>
      </c>
    </row>
    <row r="286" spans="1:7" ht="21.75" customHeight="1">
      <c r="A286" s="74"/>
      <c r="B286" s="74"/>
      <c r="C286" s="48" t="s">
        <v>32</v>
      </c>
      <c r="D286" s="54">
        <f>G274</f>
        <v>723</v>
      </c>
      <c r="E286" s="50">
        <v>29</v>
      </c>
      <c r="F286" s="51">
        <v>21</v>
      </c>
      <c r="G286" s="52">
        <f>IFERROR(D286+E286-F286,"")</f>
        <v>731</v>
      </c>
    </row>
    <row r="287" spans="1:7" ht="21.75" customHeight="1">
      <c r="A287" s="74"/>
      <c r="B287" s="74"/>
      <c r="C287" s="48" t="s">
        <v>34</v>
      </c>
      <c r="D287" s="54">
        <f>G275</f>
        <v>1010</v>
      </c>
      <c r="E287" s="50">
        <v>53</v>
      </c>
      <c r="F287" s="51">
        <v>34</v>
      </c>
      <c r="G287" s="52">
        <f>IFERROR(D287+E287-F287,"")</f>
        <v>1029</v>
      </c>
    </row>
    <row r="288" spans="1:7" ht="21.75" customHeight="1">
      <c r="A288" s="74"/>
      <c r="B288" s="74"/>
      <c r="C288" s="48" t="s">
        <v>25</v>
      </c>
      <c r="D288" s="54">
        <f>G276</f>
        <v>731</v>
      </c>
      <c r="E288" s="50">
        <v>28</v>
      </c>
      <c r="F288" s="51">
        <v>24</v>
      </c>
      <c r="G288" s="52">
        <f>IFERROR(D288+E288-F288,"")</f>
        <v>735</v>
      </c>
    </row>
    <row r="289" spans="1:7" ht="21.75" customHeight="1">
      <c r="A289" s="74"/>
      <c r="B289" s="74"/>
      <c r="C289" s="48" t="s">
        <v>35</v>
      </c>
      <c r="D289" s="54">
        <f>G277</f>
        <v>862</v>
      </c>
      <c r="E289" s="50">
        <v>67</v>
      </c>
      <c r="F289" s="51">
        <v>52</v>
      </c>
      <c r="G289" s="52">
        <f>IFERROR(D289+E289-F289,"")</f>
        <v>877</v>
      </c>
    </row>
    <row r="290" spans="1:7" ht="21.75" customHeight="1">
      <c r="A290" s="74"/>
      <c r="B290" s="74"/>
      <c r="C290" s="48" t="s">
        <v>29</v>
      </c>
      <c r="D290" s="54">
        <f>G278</f>
        <v>786</v>
      </c>
      <c r="E290" s="50">
        <v>49</v>
      </c>
      <c r="F290" s="51">
        <v>40</v>
      </c>
      <c r="G290" s="52">
        <f>IFERROR(D290+E290-F290,"")</f>
        <v>795</v>
      </c>
    </row>
    <row r="291" spans="1:7" ht="21.75" customHeight="1">
      <c r="A291" s="74"/>
      <c r="B291" s="74"/>
      <c r="C291" s="48" t="s">
        <v>31</v>
      </c>
      <c r="D291" s="54">
        <f>G279</f>
        <v>949</v>
      </c>
      <c r="E291" s="50">
        <v>60</v>
      </c>
      <c r="F291" s="51">
        <v>49</v>
      </c>
      <c r="G291" s="52">
        <f>IFERROR(D291+E291-F291,"")</f>
        <v>960</v>
      </c>
    </row>
    <row r="292" spans="1:7" ht="21.75" customHeight="1">
      <c r="A292" s="74"/>
      <c r="B292" s="74"/>
      <c r="C292" s="48" t="s">
        <v>33</v>
      </c>
      <c r="D292" s="54">
        <f>G280</f>
        <v>471</v>
      </c>
      <c r="E292" s="50">
        <v>30</v>
      </c>
      <c r="F292" s="51">
        <v>25</v>
      </c>
      <c r="G292" s="52">
        <f>IFERROR(D292+E292-F292,"")</f>
        <v>476</v>
      </c>
    </row>
    <row r="293" spans="1:7" ht="21.75" customHeight="1">
      <c r="A293" s="74"/>
      <c r="B293" s="74"/>
      <c r="C293" s="48" t="s">
        <v>36</v>
      </c>
      <c r="D293" s="54">
        <f>G281</f>
        <v>1302</v>
      </c>
      <c r="E293" s="50">
        <v>64</v>
      </c>
      <c r="F293" s="51">
        <v>41</v>
      </c>
      <c r="G293" s="52">
        <f>IFERROR(D293+E293-F293,"")</f>
        <v>1325</v>
      </c>
    </row>
    <row r="294" spans="1:7" ht="21.75" customHeight="1">
      <c r="A294" s="73" t="s">
        <v>83</v>
      </c>
      <c r="B294" s="73"/>
      <c r="C294" s="73"/>
      <c r="D294" s="53">
        <f>IFERROR(SUM(D283:D293),"")</f>
        <v>9723</v>
      </c>
      <c r="E294" s="53">
        <f>IFERROR(SUM(E283:E293),"")</f>
        <v>585</v>
      </c>
      <c r="F294" s="53">
        <f>IFERROR(SUM(F283:F293),"")</f>
        <v>428</v>
      </c>
      <c r="G294" s="53">
        <f>IFERROR(SUM(G283:G293),"")</f>
        <v>9880</v>
      </c>
    </row>
    <row r="295" spans="1:7" ht="21.75" customHeight="1">
      <c r="A295" s="74">
        <v>46047</v>
      </c>
      <c r="B295" s="75" t="s">
        <v>50</v>
      </c>
      <c r="C295" s="48" t="s">
        <v>26</v>
      </c>
      <c r="D295" s="54">
        <f>G283</f>
        <v>1090</v>
      </c>
      <c r="E295" s="50">
        <v>65</v>
      </c>
      <c r="F295" s="51">
        <v>54</v>
      </c>
      <c r="G295" s="52">
        <f>IFERROR(D295+E295-F295,"")</f>
        <v>1101</v>
      </c>
    </row>
    <row r="296" spans="1:7" ht="21.75" customHeight="1">
      <c r="A296" s="74"/>
      <c r="B296" s="74"/>
      <c r="C296" s="48" t="s">
        <v>27</v>
      </c>
      <c r="D296" s="54">
        <f>G284</f>
        <v>791</v>
      </c>
      <c r="E296" s="50">
        <v>34</v>
      </c>
      <c r="F296" s="51">
        <v>30</v>
      </c>
      <c r="G296" s="52">
        <f>IFERROR(D296+E296-F296,"")</f>
        <v>795</v>
      </c>
    </row>
    <row r="297" spans="1:7" ht="21.75" customHeight="1">
      <c r="A297" s="74"/>
      <c r="B297" s="74"/>
      <c r="C297" s="48" t="s">
        <v>30</v>
      </c>
      <c r="D297" s="54">
        <f>G285</f>
        <v>1071</v>
      </c>
      <c r="E297" s="50">
        <v>77</v>
      </c>
      <c r="F297" s="51">
        <v>53</v>
      </c>
      <c r="G297" s="52">
        <f>IFERROR(D297+E297-F297,"")</f>
        <v>1095</v>
      </c>
    </row>
    <row r="298" spans="1:7" ht="21.75" customHeight="1">
      <c r="A298" s="74"/>
      <c r="B298" s="74"/>
      <c r="C298" s="48" t="s">
        <v>32</v>
      </c>
      <c r="D298" s="54">
        <f>G286</f>
        <v>731</v>
      </c>
      <c r="E298" s="50">
        <v>59</v>
      </c>
      <c r="F298" s="51">
        <v>51</v>
      </c>
      <c r="G298" s="52">
        <f>IFERROR(D298+E298-F298,"")</f>
        <v>739</v>
      </c>
    </row>
    <row r="299" spans="1:7" ht="21.75" customHeight="1">
      <c r="A299" s="74"/>
      <c r="B299" s="74"/>
      <c r="C299" s="48" t="s">
        <v>34</v>
      </c>
      <c r="D299" s="54">
        <f>G287</f>
        <v>1029</v>
      </c>
      <c r="E299" s="50">
        <v>41</v>
      </c>
      <c r="F299" s="51">
        <v>30</v>
      </c>
      <c r="G299" s="52">
        <f>IFERROR(D299+E299-F299,"")</f>
        <v>1040</v>
      </c>
    </row>
    <row r="300" spans="1:7" ht="21.75" customHeight="1">
      <c r="A300" s="74"/>
      <c r="B300" s="74"/>
      <c r="C300" s="48" t="s">
        <v>25</v>
      </c>
      <c r="D300" s="54">
        <f>G288</f>
        <v>735</v>
      </c>
      <c r="E300" s="50">
        <v>38</v>
      </c>
      <c r="F300" s="51">
        <v>32</v>
      </c>
      <c r="G300" s="52">
        <f>IFERROR(D300+E300-F300,"")</f>
        <v>741</v>
      </c>
    </row>
    <row r="301" spans="1:7" ht="21.75" customHeight="1">
      <c r="A301" s="74"/>
      <c r="B301" s="74"/>
      <c r="C301" s="48" t="s">
        <v>35</v>
      </c>
      <c r="D301" s="54">
        <f>G289</f>
        <v>877</v>
      </c>
      <c r="E301" s="50">
        <v>53</v>
      </c>
      <c r="F301" s="51">
        <v>48</v>
      </c>
      <c r="G301" s="52">
        <f>IFERROR(D301+E301-F301,"")</f>
        <v>882</v>
      </c>
    </row>
    <row r="302" spans="1:7" ht="21.75" customHeight="1">
      <c r="A302" s="74"/>
      <c r="B302" s="74"/>
      <c r="C302" s="48" t="s">
        <v>29</v>
      </c>
      <c r="D302" s="54">
        <f>G290</f>
        <v>795</v>
      </c>
      <c r="E302" s="50">
        <v>44</v>
      </c>
      <c r="F302" s="51">
        <v>37</v>
      </c>
      <c r="G302" s="52">
        <f>IFERROR(D302+E302-F302,"")</f>
        <v>802</v>
      </c>
    </row>
    <row r="303" spans="1:7" ht="21.75" customHeight="1">
      <c r="A303" s="74"/>
      <c r="B303" s="74"/>
      <c r="C303" s="48" t="s">
        <v>31</v>
      </c>
      <c r="D303" s="54">
        <f>G291</f>
        <v>960</v>
      </c>
      <c r="E303" s="50">
        <v>70</v>
      </c>
      <c r="F303" s="51">
        <v>53</v>
      </c>
      <c r="G303" s="52">
        <f>IFERROR(D303+E303-F303,"")</f>
        <v>977</v>
      </c>
    </row>
    <row r="304" spans="1:7" ht="21.75" customHeight="1">
      <c r="A304" s="74"/>
      <c r="B304" s="74"/>
      <c r="C304" s="48" t="s">
        <v>33</v>
      </c>
      <c r="D304" s="54">
        <f>G292</f>
        <v>476</v>
      </c>
      <c r="E304" s="50">
        <v>42</v>
      </c>
      <c r="F304" s="51">
        <v>37</v>
      </c>
      <c r="G304" s="52">
        <f>IFERROR(D304+E304-F304,"")</f>
        <v>481</v>
      </c>
    </row>
    <row r="305" spans="1:7" ht="21.75" customHeight="1">
      <c r="A305" s="74"/>
      <c r="B305" s="74"/>
      <c r="C305" s="48" t="s">
        <v>36</v>
      </c>
      <c r="D305" s="54">
        <f>G293</f>
        <v>1325</v>
      </c>
      <c r="E305" s="50">
        <v>50</v>
      </c>
      <c r="F305" s="51">
        <v>32</v>
      </c>
      <c r="G305" s="52">
        <f>IFERROR(D305+E305-F305,"")</f>
        <v>1343</v>
      </c>
    </row>
    <row r="306" spans="1:7" ht="21.75" customHeight="1">
      <c r="A306" s="73" t="s">
        <v>84</v>
      </c>
      <c r="B306" s="73"/>
      <c r="C306" s="73"/>
      <c r="D306" s="53">
        <f>IFERROR(SUM(D295:D305),"")</f>
        <v>9880</v>
      </c>
      <c r="E306" s="53">
        <f>IFERROR(SUM(E295:E305),"")</f>
        <v>573</v>
      </c>
      <c r="F306" s="53">
        <f>IFERROR(SUM(F295:F305),"")</f>
        <v>457</v>
      </c>
      <c r="G306" s="53">
        <f>IFERROR(SUM(G295:G305),"")</f>
        <v>9996</v>
      </c>
    </row>
    <row r="307" spans="1:7" ht="21.75" customHeight="1">
      <c r="A307" s="71">
        <v>46048</v>
      </c>
      <c r="B307" s="72" t="s">
        <v>51</v>
      </c>
      <c r="C307" s="48" t="s">
        <v>26</v>
      </c>
      <c r="D307" s="54">
        <f>G295</f>
        <v>1101</v>
      </c>
      <c r="E307" s="50">
        <v>102</v>
      </c>
      <c r="F307" s="51">
        <v>69</v>
      </c>
      <c r="G307" s="52">
        <f>IFERROR(D307+E307-F307,"")</f>
        <v>1134</v>
      </c>
    </row>
    <row r="308" spans="1:7" ht="21.75" customHeight="1">
      <c r="A308" s="71"/>
      <c r="B308" s="71"/>
      <c r="C308" s="48" t="s">
        <v>27</v>
      </c>
      <c r="D308" s="54">
        <f>G296</f>
        <v>795</v>
      </c>
      <c r="E308" s="50">
        <v>112</v>
      </c>
      <c r="F308" s="51">
        <v>97</v>
      </c>
      <c r="G308" s="52">
        <f>IFERROR(D308+E308-F308,"")</f>
        <v>810</v>
      </c>
    </row>
    <row r="309" spans="1:7" ht="21.75" customHeight="1">
      <c r="A309" s="71"/>
      <c r="B309" s="71"/>
      <c r="C309" s="48" t="s">
        <v>30</v>
      </c>
      <c r="D309" s="54">
        <f>G297</f>
        <v>1095</v>
      </c>
      <c r="E309" s="50">
        <v>99</v>
      </c>
      <c r="F309" s="51">
        <v>66</v>
      </c>
      <c r="G309" s="52">
        <f>IFERROR(D309+E309-F309,"")</f>
        <v>1128</v>
      </c>
    </row>
    <row r="310" spans="1:7" ht="21.75" customHeight="1">
      <c r="A310" s="71"/>
      <c r="B310" s="71"/>
      <c r="C310" s="48" t="s">
        <v>32</v>
      </c>
      <c r="D310" s="54">
        <f>G298</f>
        <v>739</v>
      </c>
      <c r="E310" s="50">
        <v>96</v>
      </c>
      <c r="F310" s="51">
        <v>84</v>
      </c>
      <c r="G310" s="52">
        <f>IFERROR(D310+E310-F310,"")</f>
        <v>751</v>
      </c>
    </row>
    <row r="311" spans="1:7" ht="21.75" customHeight="1">
      <c r="A311" s="71"/>
      <c r="B311" s="71"/>
      <c r="C311" s="48" t="s">
        <v>34</v>
      </c>
      <c r="D311" s="54">
        <f>G299</f>
        <v>1040</v>
      </c>
      <c r="E311" s="50">
        <v>117</v>
      </c>
      <c r="F311" s="51">
        <v>88</v>
      </c>
      <c r="G311" s="52">
        <f>IFERROR(D311+E311-F311,"")</f>
        <v>1069</v>
      </c>
    </row>
    <row r="312" spans="1:7" ht="21.75" customHeight="1">
      <c r="A312" s="71"/>
      <c r="B312" s="71"/>
      <c r="C312" s="48" t="s">
        <v>25</v>
      </c>
      <c r="D312" s="54">
        <f>G300</f>
        <v>741</v>
      </c>
      <c r="E312" s="50">
        <v>93</v>
      </c>
      <c r="F312" s="51">
        <v>66</v>
      </c>
      <c r="G312" s="52">
        <f>IFERROR(D312+E312-F312,"")</f>
        <v>768</v>
      </c>
    </row>
    <row r="313" spans="1:7" ht="21.75" customHeight="1">
      <c r="A313" s="71"/>
      <c r="B313" s="71"/>
      <c r="C313" s="48" t="s">
        <v>35</v>
      </c>
      <c r="D313" s="54">
        <f>G301</f>
        <v>882</v>
      </c>
      <c r="E313" s="50">
        <v>137</v>
      </c>
      <c r="F313" s="51">
        <v>114</v>
      </c>
      <c r="G313" s="52">
        <f>IFERROR(D313+E313-F313,"")</f>
        <v>905</v>
      </c>
    </row>
    <row r="314" spans="1:7" ht="21.75" customHeight="1">
      <c r="A314" s="71"/>
      <c r="B314" s="71"/>
      <c r="C314" s="48" t="s">
        <v>29</v>
      </c>
      <c r="D314" s="54">
        <f>G302</f>
        <v>802</v>
      </c>
      <c r="E314" s="50">
        <v>113</v>
      </c>
      <c r="F314" s="51">
        <v>81</v>
      </c>
      <c r="G314" s="52">
        <f>IFERROR(D314+E314-F314,"")</f>
        <v>834</v>
      </c>
    </row>
    <row r="315" spans="1:7" ht="21.75" customHeight="1">
      <c r="A315" s="71"/>
      <c r="B315" s="71"/>
      <c r="C315" s="48" t="s">
        <v>31</v>
      </c>
      <c r="D315" s="54">
        <f>G303</f>
        <v>977</v>
      </c>
      <c r="E315" s="50">
        <v>152</v>
      </c>
      <c r="F315" s="51">
        <v>112</v>
      </c>
      <c r="G315" s="52">
        <f>IFERROR(D315+E315-F315,"")</f>
        <v>1017</v>
      </c>
    </row>
    <row r="316" spans="1:7" ht="21.75" customHeight="1">
      <c r="A316" s="71"/>
      <c r="B316" s="71"/>
      <c r="C316" s="48" t="s">
        <v>33</v>
      </c>
      <c r="D316" s="54">
        <f>G304</f>
        <v>481</v>
      </c>
      <c r="E316" s="50">
        <v>76</v>
      </c>
      <c r="F316" s="51">
        <v>69</v>
      </c>
      <c r="G316" s="52">
        <f>IFERROR(D316+E316-F316,"")</f>
        <v>488</v>
      </c>
    </row>
    <row r="317" spans="1:7" ht="21.75" customHeight="1">
      <c r="A317" s="71"/>
      <c r="B317" s="71"/>
      <c r="C317" s="48" t="s">
        <v>36</v>
      </c>
      <c r="D317" s="54">
        <f>G305</f>
        <v>1343</v>
      </c>
      <c r="E317" s="50">
        <v>148</v>
      </c>
      <c r="F317" s="51">
        <v>115</v>
      </c>
      <c r="G317" s="52">
        <f>IFERROR(D317+E317-F317,"")</f>
        <v>1376</v>
      </c>
    </row>
    <row r="318" spans="1:7" ht="21.75" customHeight="1">
      <c r="A318" s="73" t="s">
        <v>85</v>
      </c>
      <c r="B318" s="73"/>
      <c r="C318" s="73"/>
      <c r="D318" s="53">
        <f>IFERROR(SUM(D307:D317),"")</f>
        <v>9996</v>
      </c>
      <c r="E318" s="53">
        <f>IFERROR(SUM(E307:E317),"")</f>
        <v>1245</v>
      </c>
      <c r="F318" s="53">
        <f>IFERROR(SUM(F307:F317),"")</f>
        <v>961</v>
      </c>
      <c r="G318" s="53">
        <f>IFERROR(SUM(G307:G317),"")</f>
        <v>10280</v>
      </c>
    </row>
    <row r="319" spans="1:7" ht="21.75" customHeight="1">
      <c r="A319" s="71">
        <v>46049</v>
      </c>
      <c r="B319" s="72" t="s">
        <v>52</v>
      </c>
      <c r="C319" s="48" t="s">
        <v>26</v>
      </c>
      <c r="D319" s="54">
        <f>G307</f>
        <v>1134</v>
      </c>
      <c r="E319" s="50">
        <v>98</v>
      </c>
      <c r="F319" s="51">
        <v>74</v>
      </c>
      <c r="G319" s="52">
        <f>IFERROR(D319+E319-F319,"")</f>
        <v>1158</v>
      </c>
    </row>
    <row r="320" spans="1:7" ht="21.75" customHeight="1">
      <c r="A320" s="71"/>
      <c r="B320" s="71"/>
      <c r="C320" s="48" t="s">
        <v>27</v>
      </c>
      <c r="D320" s="54">
        <f>G308</f>
        <v>810</v>
      </c>
      <c r="E320" s="50">
        <v>129</v>
      </c>
      <c r="F320" s="51">
        <v>91</v>
      </c>
      <c r="G320" s="52">
        <f>IFERROR(D320+E320-F320,"")</f>
        <v>848</v>
      </c>
    </row>
    <row r="321" spans="1:7" ht="21.75" customHeight="1">
      <c r="A321" s="71"/>
      <c r="B321" s="71"/>
      <c r="C321" s="48" t="s">
        <v>30</v>
      </c>
      <c r="D321" s="54">
        <f>G309</f>
        <v>1128</v>
      </c>
      <c r="E321" s="50">
        <v>107</v>
      </c>
      <c r="F321" s="51">
        <v>68</v>
      </c>
      <c r="G321" s="52">
        <f>IFERROR(D321+E321-F321,"")</f>
        <v>1167</v>
      </c>
    </row>
    <row r="322" spans="1:7" ht="21.75" customHeight="1">
      <c r="A322" s="71"/>
      <c r="B322" s="71"/>
      <c r="C322" s="48" t="s">
        <v>32</v>
      </c>
      <c r="D322" s="54">
        <f>G310</f>
        <v>751</v>
      </c>
      <c r="E322" s="50">
        <v>111</v>
      </c>
      <c r="F322" s="51">
        <v>103</v>
      </c>
      <c r="G322" s="52">
        <f>IFERROR(D322+E322-F322,"")</f>
        <v>759</v>
      </c>
    </row>
    <row r="323" spans="1:7" ht="21.75" customHeight="1">
      <c r="A323" s="71"/>
      <c r="B323" s="71"/>
      <c r="C323" s="48" t="s">
        <v>34</v>
      </c>
      <c r="D323" s="54">
        <f>G311</f>
        <v>1069</v>
      </c>
      <c r="E323" s="50">
        <v>121</v>
      </c>
      <c r="F323" s="51">
        <v>96</v>
      </c>
      <c r="G323" s="52">
        <f>IFERROR(D323+E323-F323,"")</f>
        <v>1094</v>
      </c>
    </row>
    <row r="324" spans="1:7" ht="21.75" customHeight="1">
      <c r="A324" s="71"/>
      <c r="B324" s="71"/>
      <c r="C324" s="48" t="s">
        <v>25</v>
      </c>
      <c r="D324" s="54">
        <f>G312</f>
        <v>768</v>
      </c>
      <c r="E324" s="50">
        <v>93</v>
      </c>
      <c r="F324" s="51">
        <v>75</v>
      </c>
      <c r="G324" s="52">
        <f>IFERROR(D324+E324-F324,"")</f>
        <v>786</v>
      </c>
    </row>
    <row r="325" spans="1:7" ht="21.75" customHeight="1">
      <c r="A325" s="71"/>
      <c r="B325" s="71"/>
      <c r="C325" s="48" t="s">
        <v>35</v>
      </c>
      <c r="D325" s="54">
        <f>G313</f>
        <v>905</v>
      </c>
      <c r="E325" s="50">
        <v>97</v>
      </c>
      <c r="F325" s="51">
        <v>86</v>
      </c>
      <c r="G325" s="52">
        <f>IFERROR(D325+E325-F325,"")</f>
        <v>916</v>
      </c>
    </row>
    <row r="326" spans="1:7" ht="21.75" customHeight="1">
      <c r="A326" s="71"/>
      <c r="B326" s="71"/>
      <c r="C326" s="48" t="s">
        <v>29</v>
      </c>
      <c r="D326" s="54">
        <f>G314</f>
        <v>834</v>
      </c>
      <c r="E326" s="50">
        <v>121</v>
      </c>
      <c r="F326" s="51">
        <v>86</v>
      </c>
      <c r="G326" s="52">
        <f>IFERROR(D326+E326-F326,"")</f>
        <v>869</v>
      </c>
    </row>
    <row r="327" spans="1:7" ht="21.75" customHeight="1">
      <c r="A327" s="71"/>
      <c r="B327" s="71"/>
      <c r="C327" s="48" t="s">
        <v>31</v>
      </c>
      <c r="D327" s="54">
        <f>G315</f>
        <v>1017</v>
      </c>
      <c r="E327" s="50">
        <v>150</v>
      </c>
      <c r="F327" s="51">
        <v>126</v>
      </c>
      <c r="G327" s="52">
        <f>IFERROR(D327+E327-F327,"")</f>
        <v>1041</v>
      </c>
    </row>
    <row r="328" spans="1:7" ht="21.75" customHeight="1">
      <c r="A328" s="71"/>
      <c r="B328" s="71"/>
      <c r="C328" s="48" t="s">
        <v>33</v>
      </c>
      <c r="D328" s="54">
        <f>G316</f>
        <v>488</v>
      </c>
      <c r="E328" s="50">
        <v>96</v>
      </c>
      <c r="F328" s="51">
        <v>79</v>
      </c>
      <c r="G328" s="52">
        <f>IFERROR(D328+E328-F328,"")</f>
        <v>505</v>
      </c>
    </row>
    <row r="329" spans="1:7" ht="21.75" customHeight="1">
      <c r="A329" s="71"/>
      <c r="B329" s="71"/>
      <c r="C329" s="48" t="s">
        <v>36</v>
      </c>
      <c r="D329" s="54">
        <f>G317</f>
        <v>1376</v>
      </c>
      <c r="E329" s="50">
        <v>157</v>
      </c>
      <c r="F329" s="51">
        <v>127</v>
      </c>
      <c r="G329" s="52">
        <f>IFERROR(D329+E329-F329,"")</f>
        <v>1406</v>
      </c>
    </row>
    <row r="330" spans="1:7" ht="21.75" customHeight="1">
      <c r="A330" s="73" t="s">
        <v>86</v>
      </c>
      <c r="B330" s="73"/>
      <c r="C330" s="73"/>
      <c r="D330" s="53">
        <f>IFERROR(SUM(D319:D329),"")</f>
        <v>10280</v>
      </c>
      <c r="E330" s="53">
        <f>IFERROR(SUM(E319:E329),"")</f>
        <v>1280</v>
      </c>
      <c r="F330" s="53">
        <f>IFERROR(SUM(F319:F329),"")</f>
        <v>1011</v>
      </c>
      <c r="G330" s="53">
        <f>IFERROR(SUM(G319:G329),"")</f>
        <v>10549</v>
      </c>
    </row>
    <row r="331" spans="1:7" ht="21.75" customHeight="1">
      <c r="A331" s="71">
        <v>46050</v>
      </c>
      <c r="B331" s="72" t="s">
        <v>53</v>
      </c>
      <c r="C331" s="48" t="s">
        <v>26</v>
      </c>
      <c r="D331" s="54">
        <f>G319</f>
        <v>1158</v>
      </c>
      <c r="E331" s="50">
        <v>88</v>
      </c>
      <c r="F331" s="51">
        <v>70</v>
      </c>
      <c r="G331" s="52">
        <f>IFERROR(D331+E331-F331,"")</f>
        <v>1176</v>
      </c>
    </row>
    <row r="332" spans="1:7" ht="21.75" customHeight="1">
      <c r="A332" s="71"/>
      <c r="B332" s="71"/>
      <c r="C332" s="48" t="s">
        <v>27</v>
      </c>
      <c r="D332" s="54">
        <f>G320</f>
        <v>848</v>
      </c>
      <c r="E332" s="50">
        <v>117</v>
      </c>
      <c r="F332" s="51">
        <v>96</v>
      </c>
      <c r="G332" s="52">
        <f>IFERROR(D332+E332-F332,"")</f>
        <v>869</v>
      </c>
    </row>
    <row r="333" spans="1:7" ht="21.75" customHeight="1">
      <c r="A333" s="71"/>
      <c r="B333" s="71"/>
      <c r="C333" s="48" t="s">
        <v>30</v>
      </c>
      <c r="D333" s="54">
        <f>G321</f>
        <v>1167</v>
      </c>
      <c r="E333" s="50">
        <v>140</v>
      </c>
      <c r="F333" s="51">
        <v>94</v>
      </c>
      <c r="G333" s="52">
        <f>IFERROR(D333+E333-F333,"")</f>
        <v>1213</v>
      </c>
    </row>
    <row r="334" spans="1:7" ht="21.75" customHeight="1">
      <c r="A334" s="71"/>
      <c r="B334" s="71"/>
      <c r="C334" s="48" t="s">
        <v>32</v>
      </c>
      <c r="D334" s="54">
        <f>G322</f>
        <v>759</v>
      </c>
      <c r="E334" s="50">
        <v>63</v>
      </c>
      <c r="F334" s="51">
        <v>57</v>
      </c>
      <c r="G334" s="52">
        <f>IFERROR(D334+E334-F334,"")</f>
        <v>765</v>
      </c>
    </row>
    <row r="335" spans="1:7" ht="21.75" customHeight="1">
      <c r="A335" s="71"/>
      <c r="B335" s="71"/>
      <c r="C335" s="48" t="s">
        <v>34</v>
      </c>
      <c r="D335" s="54">
        <f>G323</f>
        <v>1094</v>
      </c>
      <c r="E335" s="50">
        <v>154</v>
      </c>
      <c r="F335" s="51">
        <v>121</v>
      </c>
      <c r="G335" s="52">
        <f>IFERROR(D335+E335-F335,"")</f>
        <v>1127</v>
      </c>
    </row>
    <row r="336" spans="1:7" ht="21.75" customHeight="1">
      <c r="A336" s="71"/>
      <c r="B336" s="71"/>
      <c r="C336" s="48" t="s">
        <v>25</v>
      </c>
      <c r="D336" s="54">
        <f>G324</f>
        <v>786</v>
      </c>
      <c r="E336" s="50">
        <v>94</v>
      </c>
      <c r="F336" s="51">
        <v>65</v>
      </c>
      <c r="G336" s="52">
        <f>IFERROR(D336+E336-F336,"")</f>
        <v>815</v>
      </c>
    </row>
    <row r="337" spans="1:7" ht="21.75" customHeight="1">
      <c r="A337" s="71"/>
      <c r="B337" s="71"/>
      <c r="C337" s="48" t="s">
        <v>35</v>
      </c>
      <c r="D337" s="54">
        <f>G325</f>
        <v>916</v>
      </c>
      <c r="E337" s="50">
        <v>116</v>
      </c>
      <c r="F337" s="51">
        <v>97</v>
      </c>
      <c r="G337" s="52">
        <f>IFERROR(D337+E337-F337,"")</f>
        <v>935</v>
      </c>
    </row>
    <row r="338" spans="1:7" ht="21.75" customHeight="1">
      <c r="A338" s="71"/>
      <c r="B338" s="71"/>
      <c r="C338" s="48" t="s">
        <v>29</v>
      </c>
      <c r="D338" s="54">
        <f>G326</f>
        <v>869</v>
      </c>
      <c r="E338" s="50">
        <v>94</v>
      </c>
      <c r="F338" s="51">
        <v>62</v>
      </c>
      <c r="G338" s="52">
        <f>IFERROR(D338+E338-F338,"")</f>
        <v>901</v>
      </c>
    </row>
    <row r="339" spans="1:7" ht="21.75" customHeight="1">
      <c r="A339" s="71"/>
      <c r="B339" s="71"/>
      <c r="C339" s="48" t="s">
        <v>31</v>
      </c>
      <c r="D339" s="54">
        <f>G327</f>
        <v>1041</v>
      </c>
      <c r="E339" s="50">
        <v>99</v>
      </c>
      <c r="F339" s="51">
        <v>64</v>
      </c>
      <c r="G339" s="52">
        <f>IFERROR(D339+E339-F339,"")</f>
        <v>1076</v>
      </c>
    </row>
    <row r="340" spans="1:7" ht="21.75" customHeight="1">
      <c r="A340" s="71"/>
      <c r="B340" s="71"/>
      <c r="C340" s="48" t="s">
        <v>33</v>
      </c>
      <c r="D340" s="54">
        <f>G328</f>
        <v>505</v>
      </c>
      <c r="E340" s="50">
        <v>100</v>
      </c>
      <c r="F340" s="51">
        <v>89</v>
      </c>
      <c r="G340" s="52">
        <f>IFERROR(D340+E340-F340,"")</f>
        <v>516</v>
      </c>
    </row>
    <row r="341" spans="1:7" ht="21.75" customHeight="1">
      <c r="A341" s="71"/>
      <c r="B341" s="71"/>
      <c r="C341" s="48" t="s">
        <v>36</v>
      </c>
      <c r="D341" s="54">
        <f>G329</f>
        <v>1406</v>
      </c>
      <c r="E341" s="50">
        <v>141</v>
      </c>
      <c r="F341" s="51">
        <v>96</v>
      </c>
      <c r="G341" s="52">
        <f>IFERROR(D341+E341-F341,"")</f>
        <v>1451</v>
      </c>
    </row>
    <row r="342" spans="1:7" ht="21.75" customHeight="1">
      <c r="A342" s="73" t="s">
        <v>87</v>
      </c>
      <c r="B342" s="73"/>
      <c r="C342" s="73"/>
      <c r="D342" s="53">
        <f>IFERROR(SUM(D331:D341),"")</f>
        <v>10549</v>
      </c>
      <c r="E342" s="53">
        <f>IFERROR(SUM(E331:E341),"")</f>
        <v>1206</v>
      </c>
      <c r="F342" s="53">
        <f>IFERROR(SUM(F331:F341),"")</f>
        <v>911</v>
      </c>
      <c r="G342" s="53">
        <f>IFERROR(SUM(G331:G341),"")</f>
        <v>10844</v>
      </c>
    </row>
    <row r="343" spans="1:7" ht="21.75" customHeight="1">
      <c r="A343" s="71">
        <v>46051</v>
      </c>
      <c r="B343" s="72" t="s">
        <v>45</v>
      </c>
      <c r="C343" s="48" t="s">
        <v>26</v>
      </c>
      <c r="D343" s="54">
        <f>G331</f>
        <v>1176</v>
      </c>
      <c r="E343" s="50">
        <v>109</v>
      </c>
      <c r="F343" s="51">
        <v>71</v>
      </c>
      <c r="G343" s="52">
        <f>IFERROR(D343+E343-F343,"")</f>
        <v>1214</v>
      </c>
    </row>
    <row r="344" spans="1:7" ht="21.75" customHeight="1">
      <c r="A344" s="71"/>
      <c r="B344" s="71"/>
      <c r="C344" s="48" t="s">
        <v>27</v>
      </c>
      <c r="D344" s="54">
        <f>G332</f>
        <v>869</v>
      </c>
      <c r="E344" s="50">
        <v>81</v>
      </c>
      <c r="F344" s="51">
        <v>60</v>
      </c>
      <c r="G344" s="52">
        <f>IFERROR(D344+E344-F344,"")</f>
        <v>890</v>
      </c>
    </row>
    <row r="345" spans="1:7" ht="21.75" customHeight="1">
      <c r="A345" s="71"/>
      <c r="B345" s="71"/>
      <c r="C345" s="48" t="s">
        <v>30</v>
      </c>
      <c r="D345" s="54">
        <f>G333</f>
        <v>1213</v>
      </c>
      <c r="E345" s="50">
        <v>147</v>
      </c>
      <c r="F345" s="51">
        <v>94</v>
      </c>
      <c r="G345" s="52">
        <f>IFERROR(D345+E345-F345,"")</f>
        <v>1266</v>
      </c>
    </row>
    <row r="346" spans="1:7" ht="21.75" customHeight="1">
      <c r="A346" s="71"/>
      <c r="B346" s="71"/>
      <c r="C346" s="48" t="s">
        <v>32</v>
      </c>
      <c r="D346" s="54">
        <f>G334</f>
        <v>765</v>
      </c>
      <c r="E346" s="50">
        <v>112</v>
      </c>
      <c r="F346" s="51">
        <v>105</v>
      </c>
      <c r="G346" s="52">
        <f>IFERROR(D346+E346-F346,"")</f>
        <v>772</v>
      </c>
    </row>
    <row r="347" spans="1:7" ht="21.75" customHeight="1">
      <c r="A347" s="71"/>
      <c r="B347" s="71"/>
      <c r="C347" s="48" t="s">
        <v>34</v>
      </c>
      <c r="D347" s="54">
        <f>G335</f>
        <v>1127</v>
      </c>
      <c r="E347" s="50">
        <v>160</v>
      </c>
      <c r="F347" s="51">
        <v>126</v>
      </c>
      <c r="G347" s="52">
        <f>IFERROR(D347+E347-F347,"")</f>
        <v>1161</v>
      </c>
    </row>
    <row r="348" spans="1:7" ht="21.75" customHeight="1">
      <c r="A348" s="71"/>
      <c r="B348" s="71"/>
      <c r="C348" s="48" t="s">
        <v>25</v>
      </c>
      <c r="D348" s="54">
        <f>G336</f>
        <v>815</v>
      </c>
      <c r="E348" s="50">
        <v>90</v>
      </c>
      <c r="F348" s="51">
        <v>61</v>
      </c>
      <c r="G348" s="52">
        <f>IFERROR(D348+E348-F348,"")</f>
        <v>844</v>
      </c>
    </row>
    <row r="349" spans="1:7" ht="21.75" customHeight="1">
      <c r="A349" s="71"/>
      <c r="B349" s="71"/>
      <c r="C349" s="48" t="s">
        <v>35</v>
      </c>
      <c r="D349" s="54">
        <f>G337</f>
        <v>935</v>
      </c>
      <c r="E349" s="50">
        <v>119</v>
      </c>
      <c r="F349" s="51">
        <v>105</v>
      </c>
      <c r="G349" s="52">
        <f>IFERROR(D349+E349-F349,"")</f>
        <v>949</v>
      </c>
    </row>
    <row r="350" spans="1:7" ht="21.75" customHeight="1">
      <c r="A350" s="71"/>
      <c r="B350" s="71"/>
      <c r="C350" s="48" t="s">
        <v>29</v>
      </c>
      <c r="D350" s="54">
        <f>G338</f>
        <v>901</v>
      </c>
      <c r="E350" s="50">
        <v>124</v>
      </c>
      <c r="F350" s="51">
        <v>85</v>
      </c>
      <c r="G350" s="52">
        <f>IFERROR(D350+E350-F350,"")</f>
        <v>940</v>
      </c>
    </row>
    <row r="351" spans="1:7" ht="21.75" customHeight="1">
      <c r="A351" s="71"/>
      <c r="B351" s="71"/>
      <c r="C351" s="48" t="s">
        <v>31</v>
      </c>
      <c r="D351" s="54">
        <f>G339</f>
        <v>1076</v>
      </c>
      <c r="E351" s="50">
        <v>119</v>
      </c>
      <c r="F351" s="51">
        <v>87</v>
      </c>
      <c r="G351" s="52">
        <f>IFERROR(D351+E351-F351,"")</f>
        <v>1108</v>
      </c>
    </row>
    <row r="352" spans="1:7" ht="21.75" customHeight="1">
      <c r="A352" s="71"/>
      <c r="B352" s="71"/>
      <c r="C352" s="48" t="s">
        <v>33</v>
      </c>
      <c r="D352" s="54">
        <f>G340</f>
        <v>516</v>
      </c>
      <c r="E352" s="50">
        <v>89</v>
      </c>
      <c r="F352" s="51">
        <v>78</v>
      </c>
      <c r="G352" s="52">
        <f>IFERROR(D352+E352-F352,"")</f>
        <v>527</v>
      </c>
    </row>
    <row r="353" spans="1:7" ht="21.75" customHeight="1">
      <c r="A353" s="71"/>
      <c r="B353" s="71"/>
      <c r="C353" s="48" t="s">
        <v>36</v>
      </c>
      <c r="D353" s="54">
        <f>G341</f>
        <v>1451</v>
      </c>
      <c r="E353" s="50">
        <v>104</v>
      </c>
      <c r="F353" s="51">
        <v>74</v>
      </c>
      <c r="G353" s="52">
        <f>IFERROR(D353+E353-F353,"")</f>
        <v>1481</v>
      </c>
    </row>
    <row r="354" spans="1:7" ht="21.75" customHeight="1">
      <c r="A354" s="73" t="s">
        <v>88</v>
      </c>
      <c r="B354" s="73"/>
      <c r="C354" s="73"/>
      <c r="D354" s="53">
        <f>IFERROR(SUM(D343:D353),"")</f>
        <v>10844</v>
      </c>
      <c r="E354" s="53">
        <f>IFERROR(SUM(E343:E353),"")</f>
        <v>1254</v>
      </c>
      <c r="F354" s="53">
        <f>IFERROR(SUM(F343:F353),"")</f>
        <v>946</v>
      </c>
      <c r="G354" s="53">
        <f>IFERROR(SUM(G343:G353),"")</f>
        <v>11152</v>
      </c>
    </row>
    <row r="355" spans="1:7" ht="21.75" customHeight="1">
      <c r="A355" s="71">
        <v>46052</v>
      </c>
      <c r="B355" s="72" t="s">
        <v>47</v>
      </c>
      <c r="C355" s="48" t="s">
        <v>26</v>
      </c>
      <c r="D355" s="54">
        <f>G343</f>
        <v>1214</v>
      </c>
      <c r="E355" s="50">
        <v>145</v>
      </c>
      <c r="F355" s="51">
        <v>107</v>
      </c>
      <c r="G355" s="52">
        <f>IFERROR(D355+E355-F355,"")</f>
        <v>1252</v>
      </c>
    </row>
    <row r="356" spans="1:7" ht="21.75" customHeight="1">
      <c r="A356" s="71"/>
      <c r="B356" s="71"/>
      <c r="C356" s="48" t="s">
        <v>27</v>
      </c>
      <c r="D356" s="54">
        <f>G344</f>
        <v>890</v>
      </c>
      <c r="E356" s="50">
        <v>95</v>
      </c>
      <c r="F356" s="51">
        <v>81</v>
      </c>
      <c r="G356" s="52">
        <f>IFERROR(D356+E356-F356,"")</f>
        <v>904</v>
      </c>
    </row>
    <row r="357" spans="1:7" ht="21.75" customHeight="1">
      <c r="A357" s="71"/>
      <c r="B357" s="71"/>
      <c r="C357" s="48" t="s">
        <v>30</v>
      </c>
      <c r="D357" s="54">
        <f>G345</f>
        <v>1266</v>
      </c>
      <c r="E357" s="50">
        <v>98</v>
      </c>
      <c r="F357" s="51">
        <v>64</v>
      </c>
      <c r="G357" s="52">
        <f>IFERROR(D357+E357-F357,"")</f>
        <v>1300</v>
      </c>
    </row>
    <row r="358" spans="1:7" ht="21.75" customHeight="1">
      <c r="A358" s="71"/>
      <c r="B358" s="71"/>
      <c r="C358" s="48" t="s">
        <v>32</v>
      </c>
      <c r="D358" s="54">
        <f>G346</f>
        <v>772</v>
      </c>
      <c r="E358" s="50">
        <v>71</v>
      </c>
      <c r="F358" s="51">
        <v>58</v>
      </c>
      <c r="G358" s="52">
        <f>IFERROR(D358+E358-F358,"")</f>
        <v>785</v>
      </c>
    </row>
    <row r="359" spans="1:7" ht="21.75" customHeight="1">
      <c r="A359" s="71"/>
      <c r="B359" s="71"/>
      <c r="C359" s="48" t="s">
        <v>34</v>
      </c>
      <c r="D359" s="54">
        <f>G347</f>
        <v>1161</v>
      </c>
      <c r="E359" s="50">
        <v>129</v>
      </c>
      <c r="F359" s="51">
        <v>89</v>
      </c>
      <c r="G359" s="52">
        <f>IFERROR(D359+E359-F359,"")</f>
        <v>1201</v>
      </c>
    </row>
    <row r="360" spans="1:7" ht="21.75" customHeight="1">
      <c r="A360" s="71"/>
      <c r="B360" s="71"/>
      <c r="C360" s="48" t="s">
        <v>25</v>
      </c>
      <c r="D360" s="54">
        <f>G348</f>
        <v>844</v>
      </c>
      <c r="E360" s="50">
        <v>94</v>
      </c>
      <c r="F360" s="51">
        <v>76</v>
      </c>
      <c r="G360" s="52">
        <f>IFERROR(D360+E360-F360,"")</f>
        <v>862</v>
      </c>
    </row>
    <row r="361" spans="1:7" ht="21.75" customHeight="1">
      <c r="A361" s="71"/>
      <c r="B361" s="71"/>
      <c r="C361" s="48" t="s">
        <v>35</v>
      </c>
      <c r="D361" s="54">
        <f>G349</f>
        <v>949</v>
      </c>
      <c r="E361" s="50">
        <v>137</v>
      </c>
      <c r="F361" s="51">
        <v>101</v>
      </c>
      <c r="G361" s="52">
        <f>IFERROR(D361+E361-F361,"")</f>
        <v>985</v>
      </c>
    </row>
    <row r="362" spans="1:7" ht="21.75" customHeight="1">
      <c r="A362" s="71"/>
      <c r="B362" s="71"/>
      <c r="C362" s="48" t="s">
        <v>29</v>
      </c>
      <c r="D362" s="54">
        <f>G350</f>
        <v>940</v>
      </c>
      <c r="E362" s="50">
        <v>90</v>
      </c>
      <c r="F362" s="51">
        <v>61</v>
      </c>
      <c r="G362" s="52">
        <f>IFERROR(D362+E362-F362,"")</f>
        <v>969</v>
      </c>
    </row>
    <row r="363" spans="1:7" ht="21.75" customHeight="1">
      <c r="A363" s="71"/>
      <c r="B363" s="71"/>
      <c r="C363" s="48" t="s">
        <v>31</v>
      </c>
      <c r="D363" s="54">
        <f>G351</f>
        <v>1108</v>
      </c>
      <c r="E363" s="50">
        <v>130</v>
      </c>
      <c r="F363" s="51">
        <v>99</v>
      </c>
      <c r="G363" s="52">
        <f>IFERROR(D363+E363-F363,"")</f>
        <v>1139</v>
      </c>
    </row>
    <row r="364" spans="1:7" ht="21.75" customHeight="1">
      <c r="A364" s="71"/>
      <c r="B364" s="71"/>
      <c r="C364" s="48" t="s">
        <v>33</v>
      </c>
      <c r="D364" s="54">
        <f>G352</f>
        <v>527</v>
      </c>
      <c r="E364" s="50">
        <v>79</v>
      </c>
      <c r="F364" s="51">
        <v>64</v>
      </c>
      <c r="G364" s="52">
        <f>IFERROR(D364+E364-F364,"")</f>
        <v>542</v>
      </c>
    </row>
    <row r="365" spans="1:7" ht="21.75" customHeight="1">
      <c r="A365" s="71"/>
      <c r="B365" s="71"/>
      <c r="C365" s="48" t="s">
        <v>36</v>
      </c>
      <c r="D365" s="54">
        <f>G353</f>
        <v>1481</v>
      </c>
      <c r="E365" s="50">
        <v>120</v>
      </c>
      <c r="F365" s="51">
        <v>81</v>
      </c>
      <c r="G365" s="52">
        <f>IFERROR(D365+E365-F365,"")</f>
        <v>1520</v>
      </c>
    </row>
    <row r="366" spans="1:7" ht="21.75" customHeight="1">
      <c r="A366" s="73" t="s">
        <v>89</v>
      </c>
      <c r="B366" s="73"/>
      <c r="C366" s="73"/>
      <c r="D366" s="53">
        <f>IFERROR(SUM(D355:D365),"")</f>
        <v>11152</v>
      </c>
      <c r="E366" s="53">
        <f>IFERROR(SUM(E355:E365),"")</f>
        <v>1188</v>
      </c>
      <c r="F366" s="53">
        <f>IFERROR(SUM(F355:F365),"")</f>
        <v>881</v>
      </c>
      <c r="G366" s="53">
        <f>IFERROR(SUM(G355:G365),"")</f>
        <v>11459</v>
      </c>
    </row>
    <row r="367" spans="1:7" ht="21.75" customHeight="1">
      <c r="A367" s="74">
        <v>46053</v>
      </c>
      <c r="B367" s="75" t="s">
        <v>48</v>
      </c>
      <c r="C367" s="48" t="s">
        <v>26</v>
      </c>
      <c r="D367" s="54">
        <f>G355</f>
        <v>1252</v>
      </c>
      <c r="E367" s="50">
        <v>73</v>
      </c>
      <c r="F367" s="51">
        <v>61</v>
      </c>
      <c r="G367" s="52">
        <f>IFERROR(D367+E367-F367,"")</f>
        <v>1264</v>
      </c>
    </row>
    <row r="368" spans="1:7" ht="21.75" customHeight="1">
      <c r="A368" s="74"/>
      <c r="B368" s="74"/>
      <c r="C368" s="48" t="s">
        <v>27</v>
      </c>
      <c r="D368" s="54">
        <f>G356</f>
        <v>904</v>
      </c>
      <c r="E368" s="50">
        <v>55</v>
      </c>
      <c r="F368" s="51">
        <v>45</v>
      </c>
      <c r="G368" s="52">
        <f>IFERROR(D368+E368-F368,"")</f>
        <v>914</v>
      </c>
    </row>
    <row r="369" spans="1:7" ht="21.75" customHeight="1">
      <c r="A369" s="74"/>
      <c r="B369" s="74"/>
      <c r="C369" s="48" t="s">
        <v>30</v>
      </c>
      <c r="D369" s="54">
        <f>G357</f>
        <v>1300</v>
      </c>
      <c r="E369" s="50">
        <v>38</v>
      </c>
      <c r="F369" s="51">
        <v>28</v>
      </c>
      <c r="G369" s="52">
        <f>IFERROR(D369+E369-F369,"")</f>
        <v>1310</v>
      </c>
    </row>
    <row r="370" spans="1:7" ht="21.75" customHeight="1">
      <c r="A370" s="74"/>
      <c r="B370" s="74"/>
      <c r="C370" s="48" t="s">
        <v>32</v>
      </c>
      <c r="D370" s="54">
        <f>G358</f>
        <v>785</v>
      </c>
      <c r="E370" s="50">
        <v>27</v>
      </c>
      <c r="F370" s="51">
        <v>20</v>
      </c>
      <c r="G370" s="52">
        <f>IFERROR(D370+E370-F370,"")</f>
        <v>792</v>
      </c>
    </row>
    <row r="371" spans="1:7" ht="21.75" customHeight="1">
      <c r="A371" s="74"/>
      <c r="B371" s="74"/>
      <c r="C371" s="48" t="s">
        <v>34</v>
      </c>
      <c r="D371" s="54">
        <f>G359</f>
        <v>1201</v>
      </c>
      <c r="E371" s="50">
        <v>59</v>
      </c>
      <c r="F371" s="51">
        <v>44</v>
      </c>
      <c r="G371" s="52">
        <f>IFERROR(D371+E371-F371,"")</f>
        <v>1216</v>
      </c>
    </row>
    <row r="372" spans="1:7" ht="21.75" customHeight="1">
      <c r="A372" s="74"/>
      <c r="B372" s="74"/>
      <c r="C372" s="48" t="s">
        <v>25</v>
      </c>
      <c r="D372" s="54">
        <f>G360</f>
        <v>862</v>
      </c>
      <c r="E372" s="50">
        <v>45</v>
      </c>
      <c r="F372" s="51">
        <v>36</v>
      </c>
      <c r="G372" s="52">
        <f>IFERROR(D372+E372-F372,"")</f>
        <v>871</v>
      </c>
    </row>
    <row r="373" spans="1:7" ht="21.75" customHeight="1">
      <c r="A373" s="74"/>
      <c r="B373" s="74"/>
      <c r="C373" s="48" t="s">
        <v>35</v>
      </c>
      <c r="D373" s="54">
        <f>G361</f>
        <v>985</v>
      </c>
      <c r="E373" s="50">
        <v>51</v>
      </c>
      <c r="F373" s="51">
        <v>41</v>
      </c>
      <c r="G373" s="52">
        <f>IFERROR(D373+E373-F373,"")</f>
        <v>995</v>
      </c>
    </row>
    <row r="374" spans="1:7" ht="21.75" customHeight="1">
      <c r="A374" s="74"/>
      <c r="B374" s="74"/>
      <c r="C374" s="48" t="s">
        <v>29</v>
      </c>
      <c r="D374" s="54">
        <f>G362</f>
        <v>969</v>
      </c>
      <c r="E374" s="50">
        <v>48</v>
      </c>
      <c r="F374" s="51">
        <v>32</v>
      </c>
      <c r="G374" s="52">
        <f>IFERROR(D374+E374-F374,"")</f>
        <v>985</v>
      </c>
    </row>
    <row r="375" spans="1:7" ht="21.75" customHeight="1">
      <c r="A375" s="74"/>
      <c r="B375" s="74"/>
      <c r="C375" s="48" t="s">
        <v>31</v>
      </c>
      <c r="D375" s="54">
        <f>G363</f>
        <v>1139</v>
      </c>
      <c r="E375" s="50">
        <v>55</v>
      </c>
      <c r="F375" s="51">
        <v>44</v>
      </c>
      <c r="G375" s="52">
        <f>IFERROR(D375+E375-F375,"")</f>
        <v>1150</v>
      </c>
    </row>
    <row r="376" spans="1:7" ht="21.75" customHeight="1">
      <c r="A376" s="74"/>
      <c r="B376" s="74"/>
      <c r="C376" s="48" t="s">
        <v>33</v>
      </c>
      <c r="D376" s="54">
        <f>G364</f>
        <v>542</v>
      </c>
      <c r="E376" s="50">
        <v>27</v>
      </c>
      <c r="F376" s="51">
        <v>21</v>
      </c>
      <c r="G376" s="52">
        <f>IFERROR(D376+E376-F376,"")</f>
        <v>548</v>
      </c>
    </row>
    <row r="377" spans="1:7" ht="21.75" customHeight="1">
      <c r="A377" s="74"/>
      <c r="B377" s="74"/>
      <c r="C377" s="48" t="s">
        <v>36</v>
      </c>
      <c r="D377" s="54">
        <f>G365</f>
        <v>1520</v>
      </c>
      <c r="E377" s="50">
        <v>39</v>
      </c>
      <c r="F377" s="51">
        <v>30</v>
      </c>
      <c r="G377" s="52">
        <f>IFERROR(D377+E377-F377,"")</f>
        <v>1529</v>
      </c>
    </row>
    <row r="378" spans="1:7" ht="21.75" customHeight="1">
      <c r="A378" s="73" t="s">
        <v>90</v>
      </c>
      <c r="B378" s="73"/>
      <c r="C378" s="73"/>
      <c r="D378" s="53">
        <f>IFERROR(SUM(D367:D377),"")</f>
        <v>11459</v>
      </c>
      <c r="E378" s="53">
        <f>IFERROR(SUM(E367:E377),"")</f>
        <v>517</v>
      </c>
      <c r="F378" s="53">
        <f>IFERROR(SUM(F367:F377),"")</f>
        <v>402</v>
      </c>
      <c r="G378" s="53">
        <f>IFERROR(SUM(G367:G377),"")</f>
        <v>11574</v>
      </c>
    </row>
    <row r="379" spans="1:7" ht="25.5" customHeight="1">
      <c r="A379" s="76" t="s">
        <v>91</v>
      </c>
      <c r="B379" s="76"/>
      <c r="C379" s="76"/>
      <c r="D379" s="55">
        <f>IFERROR(SUM(D7:D17),"")</f>
        <v>4010</v>
      </c>
      <c r="E379" s="55">
        <f>IFERROR(E18+E30+E42+E54+E66+E78+E90+E102+E114+E126+E138+E150+E162+E174+E186+E198+E210+E222+E234+E246+E258+E270+E282+E294+E306+E318+E330+E342+E354+E366+E378,"")</f>
        <v>30914</v>
      </c>
      <c r="F379" s="55">
        <f>IFERROR(F18+F30+F42+F54+F66+F78+F90+F102+F114+F126+F138+F150+F162+F174+F186+F198+F210+F222+F234+F246+F258+F270+F282+F294+F306+F318+F330+F342+F354+F366+F378,"")</f>
        <v>23350</v>
      </c>
      <c r="G379" s="55">
        <f>IFERROR(G378,"")</f>
        <v>11574</v>
      </c>
    </row>
  </sheetData>
  <mergeCells count="96">
    <mergeCell ref="A378:C378"/>
    <mergeCell ref="A379:C379"/>
    <mergeCell ref="A354:C354"/>
    <mergeCell ref="A355:A365"/>
    <mergeCell ref="B355:B365"/>
    <mergeCell ref="A366:C366"/>
    <mergeCell ref="A367:A377"/>
    <mergeCell ref="B367:B377"/>
    <mergeCell ref="A330:C330"/>
    <mergeCell ref="A331:A341"/>
    <mergeCell ref="B331:B341"/>
    <mergeCell ref="A342:C342"/>
    <mergeCell ref="A343:A353"/>
    <mergeCell ref="B343:B35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343"/>
  <sheetViews>
    <sheetView zoomScaleNormal="100" workbookViewId="0">
      <pane ySplit="6" topLeftCell="A340" activePane="bottomLeft" state="frozen"/>
      <selection pane="bottomLeft" activeCell="A7" sqref="A7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92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4">
        <v>46054</v>
      </c>
      <c r="B7" s="75" t="s">
        <v>50</v>
      </c>
      <c r="C7" s="48" t="s">
        <v>26</v>
      </c>
      <c r="D7" s="49">
        <f>'Jan 2026'!G367</f>
        <v>1264</v>
      </c>
      <c r="E7" s="50">
        <v>50</v>
      </c>
      <c r="F7" s="51">
        <v>34</v>
      </c>
      <c r="G7" s="52">
        <f>IFERROR(D7+E7-F7,"")</f>
        <v>1280</v>
      </c>
    </row>
    <row r="8" spans="1:7" ht="21.75" customHeight="1">
      <c r="A8" s="74"/>
      <c r="B8" s="74"/>
      <c r="C8" s="48" t="s">
        <v>27</v>
      </c>
      <c r="D8" s="49">
        <f>'Jan 2026'!G368</f>
        <v>914</v>
      </c>
      <c r="E8" s="50">
        <v>48</v>
      </c>
      <c r="F8" s="51">
        <v>42</v>
      </c>
      <c r="G8" s="52">
        <f>IFERROR(D8+E8-F8,"")</f>
        <v>920</v>
      </c>
    </row>
    <row r="9" spans="1:7" ht="21.75" customHeight="1">
      <c r="A9" s="74"/>
      <c r="B9" s="74"/>
      <c r="C9" s="48" t="s">
        <v>30</v>
      </c>
      <c r="D9" s="49">
        <f>'Jan 2026'!G369</f>
        <v>1310</v>
      </c>
      <c r="E9" s="50">
        <v>66</v>
      </c>
      <c r="F9" s="51">
        <v>44</v>
      </c>
      <c r="G9" s="52">
        <f>IFERROR(D9+E9-F9,"")</f>
        <v>1332</v>
      </c>
    </row>
    <row r="10" spans="1:7" ht="21.75" customHeight="1">
      <c r="A10" s="74"/>
      <c r="B10" s="74"/>
      <c r="C10" s="48" t="s">
        <v>32</v>
      </c>
      <c r="D10" s="49">
        <f>'Jan 2026'!G370</f>
        <v>792</v>
      </c>
      <c r="E10" s="50">
        <v>38</v>
      </c>
      <c r="F10" s="51">
        <v>36</v>
      </c>
      <c r="G10" s="52">
        <f>IFERROR(D10+E10-F10,"")</f>
        <v>794</v>
      </c>
    </row>
    <row r="11" spans="1:7" ht="21.75" customHeight="1">
      <c r="A11" s="74"/>
      <c r="B11" s="74"/>
      <c r="C11" s="48" t="s">
        <v>34</v>
      </c>
      <c r="D11" s="49">
        <f>'Jan 2026'!G371</f>
        <v>1216</v>
      </c>
      <c r="E11" s="50">
        <v>88</v>
      </c>
      <c r="F11" s="51">
        <v>55</v>
      </c>
      <c r="G11" s="52">
        <f>IFERROR(D11+E11-F11,"")</f>
        <v>1249</v>
      </c>
    </row>
    <row r="12" spans="1:7" ht="21.75" customHeight="1">
      <c r="A12" s="74"/>
      <c r="B12" s="74"/>
      <c r="C12" s="48" t="s">
        <v>25</v>
      </c>
      <c r="D12" s="49">
        <f>'Jan 2026'!G372</f>
        <v>871</v>
      </c>
      <c r="E12" s="50">
        <v>50</v>
      </c>
      <c r="F12" s="51">
        <v>36</v>
      </c>
      <c r="G12" s="52">
        <f>IFERROR(D12+E12-F12,"")</f>
        <v>885</v>
      </c>
    </row>
    <row r="13" spans="1:7" ht="21.75" customHeight="1">
      <c r="A13" s="74"/>
      <c r="B13" s="74"/>
      <c r="C13" s="48" t="s">
        <v>35</v>
      </c>
      <c r="D13" s="49">
        <f>'Jan 2026'!G373</f>
        <v>995</v>
      </c>
      <c r="E13" s="50">
        <v>43</v>
      </c>
      <c r="F13" s="51">
        <v>35</v>
      </c>
      <c r="G13" s="52">
        <f>IFERROR(D13+E13-F13,"")</f>
        <v>1003</v>
      </c>
    </row>
    <row r="14" spans="1:7" ht="21.75" customHeight="1">
      <c r="A14" s="74"/>
      <c r="B14" s="74"/>
      <c r="C14" s="48" t="s">
        <v>29</v>
      </c>
      <c r="D14" s="49">
        <f>'Jan 2026'!G374</f>
        <v>985</v>
      </c>
      <c r="E14" s="50">
        <v>41</v>
      </c>
      <c r="F14" s="51">
        <v>34</v>
      </c>
      <c r="G14" s="52">
        <f>IFERROR(D14+E14-F14,"")</f>
        <v>992</v>
      </c>
    </row>
    <row r="15" spans="1:7" ht="21.75" customHeight="1">
      <c r="A15" s="74"/>
      <c r="B15" s="74"/>
      <c r="C15" s="48" t="s">
        <v>31</v>
      </c>
      <c r="D15" s="49">
        <f>'Jan 2026'!G375</f>
        <v>1150</v>
      </c>
      <c r="E15" s="50">
        <v>69</v>
      </c>
      <c r="F15" s="51">
        <v>47</v>
      </c>
      <c r="G15" s="52">
        <f>IFERROR(D15+E15-F15,"")</f>
        <v>1172</v>
      </c>
    </row>
    <row r="16" spans="1:7" ht="21.75" customHeight="1">
      <c r="A16" s="74"/>
      <c r="B16" s="74"/>
      <c r="C16" s="48" t="s">
        <v>33</v>
      </c>
      <c r="D16" s="49">
        <f>'Jan 2026'!G376</f>
        <v>548</v>
      </c>
      <c r="E16" s="50">
        <v>49</v>
      </c>
      <c r="F16" s="51">
        <v>42</v>
      </c>
      <c r="G16" s="52">
        <f>IFERROR(D16+E16-F16,"")</f>
        <v>555</v>
      </c>
    </row>
    <row r="17" spans="1:7" ht="21.75" customHeight="1">
      <c r="A17" s="74"/>
      <c r="B17" s="74"/>
      <c r="C17" s="48" t="s">
        <v>36</v>
      </c>
      <c r="D17" s="49">
        <f>'Jan 2026'!G377</f>
        <v>1529</v>
      </c>
      <c r="E17" s="50">
        <v>48</v>
      </c>
      <c r="F17" s="51">
        <v>32</v>
      </c>
      <c r="G17" s="52">
        <f>IFERROR(D17+E17-F17,"")</f>
        <v>1545</v>
      </c>
    </row>
    <row r="18" spans="1:7" ht="21.75" customHeight="1">
      <c r="A18" s="73" t="s">
        <v>93</v>
      </c>
      <c r="B18" s="73"/>
      <c r="C18" s="73"/>
      <c r="D18" s="53">
        <f>IFERROR(SUM(D7:D17),"")</f>
        <v>11574</v>
      </c>
      <c r="E18" s="53">
        <f>IFERROR(SUM(E7:E17),"")</f>
        <v>590</v>
      </c>
      <c r="F18" s="53">
        <f>IFERROR(SUM(F7:F17),"")</f>
        <v>437</v>
      </c>
      <c r="G18" s="53">
        <f>IFERROR(SUM(G7:G17),"")</f>
        <v>11727</v>
      </c>
    </row>
    <row r="19" spans="1:7" ht="21.75" customHeight="1">
      <c r="A19" s="71">
        <v>46055</v>
      </c>
      <c r="B19" s="72" t="s">
        <v>51</v>
      </c>
      <c r="C19" s="48" t="s">
        <v>26</v>
      </c>
      <c r="D19" s="54">
        <f>G7</f>
        <v>1280</v>
      </c>
      <c r="E19" s="50">
        <v>117</v>
      </c>
      <c r="F19" s="51">
        <v>78</v>
      </c>
      <c r="G19" s="52">
        <f>IFERROR(D19+E19-F19,"")</f>
        <v>1319</v>
      </c>
    </row>
    <row r="20" spans="1:7" ht="21.75" customHeight="1">
      <c r="A20" s="71"/>
      <c r="B20" s="71"/>
      <c r="C20" s="48" t="s">
        <v>27</v>
      </c>
      <c r="D20" s="54">
        <f>G8</f>
        <v>920</v>
      </c>
      <c r="E20" s="50">
        <v>111</v>
      </c>
      <c r="F20" s="51">
        <v>89</v>
      </c>
      <c r="G20" s="52">
        <f>IFERROR(D20+E20-F20,"")</f>
        <v>942</v>
      </c>
    </row>
    <row r="21" spans="1:7" ht="21.75" customHeight="1">
      <c r="A21" s="71"/>
      <c r="B21" s="71"/>
      <c r="C21" s="48" t="s">
        <v>30</v>
      </c>
      <c r="D21" s="54">
        <f>G9</f>
        <v>1332</v>
      </c>
      <c r="E21" s="50">
        <v>149</v>
      </c>
      <c r="F21" s="51">
        <v>92</v>
      </c>
      <c r="G21" s="52">
        <f>IFERROR(D21+E21-F21,"")</f>
        <v>1389</v>
      </c>
    </row>
    <row r="22" spans="1:7" ht="21.75" customHeight="1">
      <c r="A22" s="71"/>
      <c r="B22" s="71"/>
      <c r="C22" s="48" t="s">
        <v>32</v>
      </c>
      <c r="D22" s="54">
        <f>G10</f>
        <v>794</v>
      </c>
      <c r="E22" s="50">
        <v>118</v>
      </c>
      <c r="F22" s="51">
        <v>107</v>
      </c>
      <c r="G22" s="52">
        <f>IFERROR(D22+E22-F22,"")</f>
        <v>805</v>
      </c>
    </row>
    <row r="23" spans="1:7" ht="21.75" customHeight="1">
      <c r="A23" s="71"/>
      <c r="B23" s="71"/>
      <c r="C23" s="48" t="s">
        <v>34</v>
      </c>
      <c r="D23" s="54">
        <f>G11</f>
        <v>1249</v>
      </c>
      <c r="E23" s="50">
        <v>141</v>
      </c>
      <c r="F23" s="51">
        <v>99</v>
      </c>
      <c r="G23" s="52">
        <f>IFERROR(D23+E23-F23,"")</f>
        <v>1291</v>
      </c>
    </row>
    <row r="24" spans="1:7" ht="21.75" customHeight="1">
      <c r="A24" s="71"/>
      <c r="B24" s="71"/>
      <c r="C24" s="48" t="s">
        <v>25</v>
      </c>
      <c r="D24" s="54">
        <f>G12</f>
        <v>885</v>
      </c>
      <c r="E24" s="50">
        <v>86</v>
      </c>
      <c r="F24" s="51">
        <v>74</v>
      </c>
      <c r="G24" s="52">
        <f>IFERROR(D24+E24-F24,"")</f>
        <v>897</v>
      </c>
    </row>
    <row r="25" spans="1:7" ht="21.75" customHeight="1">
      <c r="A25" s="71"/>
      <c r="B25" s="71"/>
      <c r="C25" s="48" t="s">
        <v>35</v>
      </c>
      <c r="D25" s="54">
        <f>G13</f>
        <v>1003</v>
      </c>
      <c r="E25" s="50">
        <v>91</v>
      </c>
      <c r="F25" s="51">
        <v>72</v>
      </c>
      <c r="G25" s="52">
        <f>IFERROR(D25+E25-F25,"")</f>
        <v>1022</v>
      </c>
    </row>
    <row r="26" spans="1:7" ht="21.75" customHeight="1">
      <c r="A26" s="71"/>
      <c r="B26" s="71"/>
      <c r="C26" s="48" t="s">
        <v>29</v>
      </c>
      <c r="D26" s="54">
        <f>G14</f>
        <v>992</v>
      </c>
      <c r="E26" s="50">
        <v>114</v>
      </c>
      <c r="F26" s="51">
        <v>76</v>
      </c>
      <c r="G26" s="52">
        <f>IFERROR(D26+E26-F26,"")</f>
        <v>1030</v>
      </c>
    </row>
    <row r="27" spans="1:7" ht="21.75" customHeight="1">
      <c r="A27" s="71"/>
      <c r="B27" s="71"/>
      <c r="C27" s="48" t="s">
        <v>31</v>
      </c>
      <c r="D27" s="54">
        <f>G15</f>
        <v>1172</v>
      </c>
      <c r="E27" s="50">
        <v>105</v>
      </c>
      <c r="F27" s="51">
        <v>80</v>
      </c>
      <c r="G27" s="52">
        <f>IFERROR(D27+E27-F27,"")</f>
        <v>1197</v>
      </c>
    </row>
    <row r="28" spans="1:7" ht="21.75" customHeight="1">
      <c r="A28" s="71"/>
      <c r="B28" s="71"/>
      <c r="C28" s="48" t="s">
        <v>33</v>
      </c>
      <c r="D28" s="54">
        <f>G16</f>
        <v>555</v>
      </c>
      <c r="E28" s="50">
        <v>105</v>
      </c>
      <c r="F28" s="51">
        <v>97</v>
      </c>
      <c r="G28" s="52">
        <f>IFERROR(D28+E28-F28,"")</f>
        <v>563</v>
      </c>
    </row>
    <row r="29" spans="1:7" ht="21.75" customHeight="1">
      <c r="A29" s="71"/>
      <c r="B29" s="71"/>
      <c r="C29" s="48" t="s">
        <v>36</v>
      </c>
      <c r="D29" s="54">
        <f>G17</f>
        <v>1545</v>
      </c>
      <c r="E29" s="50">
        <v>151</v>
      </c>
      <c r="F29" s="51">
        <v>113</v>
      </c>
      <c r="G29" s="52">
        <f>IFERROR(D29+E29-F29,"")</f>
        <v>1583</v>
      </c>
    </row>
    <row r="30" spans="1:7" ht="21.75" customHeight="1">
      <c r="A30" s="73" t="s">
        <v>94</v>
      </c>
      <c r="B30" s="73"/>
      <c r="C30" s="73"/>
      <c r="D30" s="53">
        <f>IFERROR(SUM(D19:D29),"")</f>
        <v>11727</v>
      </c>
      <c r="E30" s="53">
        <f>IFERROR(SUM(E19:E29),"")</f>
        <v>1288</v>
      </c>
      <c r="F30" s="53">
        <f>IFERROR(SUM(F19:F29),"")</f>
        <v>977</v>
      </c>
      <c r="G30" s="53">
        <f>IFERROR(SUM(G19:G29),"")</f>
        <v>12038</v>
      </c>
    </row>
    <row r="31" spans="1:7" ht="21.75" customHeight="1">
      <c r="A31" s="71">
        <v>46056</v>
      </c>
      <c r="B31" s="72" t="s">
        <v>52</v>
      </c>
      <c r="C31" s="48" t="s">
        <v>26</v>
      </c>
      <c r="D31" s="54">
        <f>G19</f>
        <v>1319</v>
      </c>
      <c r="E31" s="50">
        <v>90</v>
      </c>
      <c r="F31" s="51">
        <v>76</v>
      </c>
      <c r="G31" s="52">
        <f>IFERROR(D31+E31-F31,"")</f>
        <v>1333</v>
      </c>
    </row>
    <row r="32" spans="1:7" ht="21.75" customHeight="1">
      <c r="A32" s="71"/>
      <c r="B32" s="71"/>
      <c r="C32" s="48" t="s">
        <v>27</v>
      </c>
      <c r="D32" s="54">
        <f>G20</f>
        <v>942</v>
      </c>
      <c r="E32" s="50">
        <v>94</v>
      </c>
      <c r="F32" s="51">
        <v>82</v>
      </c>
      <c r="G32" s="52">
        <f>IFERROR(D32+E32-F32,"")</f>
        <v>954</v>
      </c>
    </row>
    <row r="33" spans="1:7" ht="21.75" customHeight="1">
      <c r="A33" s="71"/>
      <c r="B33" s="71"/>
      <c r="C33" s="48" t="s">
        <v>30</v>
      </c>
      <c r="D33" s="54">
        <f>G21</f>
        <v>1389</v>
      </c>
      <c r="E33" s="50">
        <v>98</v>
      </c>
      <c r="F33" s="51">
        <v>69</v>
      </c>
      <c r="G33" s="52">
        <f>IFERROR(D33+E33-F33,"")</f>
        <v>1418</v>
      </c>
    </row>
    <row r="34" spans="1:7" ht="21.75" customHeight="1">
      <c r="A34" s="71"/>
      <c r="B34" s="71"/>
      <c r="C34" s="48" t="s">
        <v>32</v>
      </c>
      <c r="D34" s="54">
        <f>G22</f>
        <v>805</v>
      </c>
      <c r="E34" s="50">
        <v>89</v>
      </c>
      <c r="F34" s="51">
        <v>70</v>
      </c>
      <c r="G34" s="52">
        <f>IFERROR(D34+E34-F34,"")</f>
        <v>824</v>
      </c>
    </row>
    <row r="35" spans="1:7" ht="21.75" customHeight="1">
      <c r="A35" s="71"/>
      <c r="B35" s="71"/>
      <c r="C35" s="48" t="s">
        <v>34</v>
      </c>
      <c r="D35" s="54">
        <f>G23</f>
        <v>1291</v>
      </c>
      <c r="E35" s="50">
        <v>121</v>
      </c>
      <c r="F35" s="51">
        <v>86</v>
      </c>
      <c r="G35" s="52">
        <f>IFERROR(D35+E35-F35,"")</f>
        <v>1326</v>
      </c>
    </row>
    <row r="36" spans="1:7" ht="21.75" customHeight="1">
      <c r="A36" s="71"/>
      <c r="B36" s="71"/>
      <c r="C36" s="48" t="s">
        <v>25</v>
      </c>
      <c r="D36" s="54">
        <f>G24</f>
        <v>897</v>
      </c>
      <c r="E36" s="50">
        <v>94</v>
      </c>
      <c r="F36" s="51">
        <v>81</v>
      </c>
      <c r="G36" s="52">
        <f>IFERROR(D36+E36-F36,"")</f>
        <v>910</v>
      </c>
    </row>
    <row r="37" spans="1:7" ht="21.75" customHeight="1">
      <c r="A37" s="71"/>
      <c r="B37" s="71"/>
      <c r="C37" s="48" t="s">
        <v>35</v>
      </c>
      <c r="D37" s="54">
        <f>G25</f>
        <v>1022</v>
      </c>
      <c r="E37" s="50">
        <v>91</v>
      </c>
      <c r="F37" s="51">
        <v>69</v>
      </c>
      <c r="G37" s="52">
        <f>IFERROR(D37+E37-F37,"")</f>
        <v>1044</v>
      </c>
    </row>
    <row r="38" spans="1:7" ht="21.75" customHeight="1">
      <c r="A38" s="71"/>
      <c r="B38" s="71"/>
      <c r="C38" s="48" t="s">
        <v>29</v>
      </c>
      <c r="D38" s="54">
        <f>G26</f>
        <v>1030</v>
      </c>
      <c r="E38" s="50">
        <v>116</v>
      </c>
      <c r="F38" s="51">
        <v>85</v>
      </c>
      <c r="G38" s="52">
        <f>IFERROR(D38+E38-F38,"")</f>
        <v>1061</v>
      </c>
    </row>
    <row r="39" spans="1:7" ht="21.75" customHeight="1">
      <c r="A39" s="71"/>
      <c r="B39" s="71"/>
      <c r="C39" s="48" t="s">
        <v>31</v>
      </c>
      <c r="D39" s="54">
        <f>G27</f>
        <v>1197</v>
      </c>
      <c r="E39" s="50">
        <v>138</v>
      </c>
      <c r="F39" s="51">
        <v>92</v>
      </c>
      <c r="G39" s="52">
        <f>IFERROR(D39+E39-F39,"")</f>
        <v>1243</v>
      </c>
    </row>
    <row r="40" spans="1:7" ht="21.75" customHeight="1">
      <c r="A40" s="71"/>
      <c r="B40" s="71"/>
      <c r="C40" s="48" t="s">
        <v>33</v>
      </c>
      <c r="D40" s="54">
        <f>G28</f>
        <v>563</v>
      </c>
      <c r="E40" s="50">
        <v>65</v>
      </c>
      <c r="F40" s="51">
        <v>57</v>
      </c>
      <c r="G40" s="52">
        <f>IFERROR(D40+E40-F40,"")</f>
        <v>571</v>
      </c>
    </row>
    <row r="41" spans="1:7" ht="21.75" customHeight="1">
      <c r="A41" s="71"/>
      <c r="B41" s="71"/>
      <c r="C41" s="48" t="s">
        <v>36</v>
      </c>
      <c r="D41" s="54">
        <f>G29</f>
        <v>1583</v>
      </c>
      <c r="E41" s="50">
        <v>129</v>
      </c>
      <c r="F41" s="51">
        <v>97</v>
      </c>
      <c r="G41" s="52">
        <f>IFERROR(D41+E41-F41,"")</f>
        <v>1615</v>
      </c>
    </row>
    <row r="42" spans="1:7" ht="21.75" customHeight="1">
      <c r="A42" s="73" t="s">
        <v>95</v>
      </c>
      <c r="B42" s="73"/>
      <c r="C42" s="73"/>
      <c r="D42" s="53">
        <f>IFERROR(SUM(D31:D41),"")</f>
        <v>12038</v>
      </c>
      <c r="E42" s="53">
        <f>IFERROR(SUM(E31:E41),"")</f>
        <v>1125</v>
      </c>
      <c r="F42" s="53">
        <f>IFERROR(SUM(F31:F41),"")</f>
        <v>864</v>
      </c>
      <c r="G42" s="53">
        <f>IFERROR(SUM(G31:G41),"")</f>
        <v>12299</v>
      </c>
    </row>
    <row r="43" spans="1:7" ht="21.75" customHeight="1">
      <c r="A43" s="71">
        <v>46057</v>
      </c>
      <c r="B43" s="72" t="s">
        <v>53</v>
      </c>
      <c r="C43" s="48" t="s">
        <v>26</v>
      </c>
      <c r="D43" s="54">
        <f>G31</f>
        <v>1333</v>
      </c>
      <c r="E43" s="50">
        <v>104</v>
      </c>
      <c r="F43" s="51">
        <v>86</v>
      </c>
      <c r="G43" s="52">
        <f>IFERROR(D43+E43-F43,"")</f>
        <v>1351</v>
      </c>
    </row>
    <row r="44" spans="1:7" ht="21.75" customHeight="1">
      <c r="A44" s="71"/>
      <c r="B44" s="71"/>
      <c r="C44" s="48" t="s">
        <v>27</v>
      </c>
      <c r="D44" s="54">
        <f>G32</f>
        <v>954</v>
      </c>
      <c r="E44" s="50">
        <v>98</v>
      </c>
      <c r="F44" s="51">
        <v>68</v>
      </c>
      <c r="G44" s="52">
        <f>IFERROR(D44+E44-F44,"")</f>
        <v>984</v>
      </c>
    </row>
    <row r="45" spans="1:7" ht="21.75" customHeight="1">
      <c r="A45" s="71"/>
      <c r="B45" s="71"/>
      <c r="C45" s="48" t="s">
        <v>30</v>
      </c>
      <c r="D45" s="54">
        <f>G33</f>
        <v>1418</v>
      </c>
      <c r="E45" s="50">
        <v>113</v>
      </c>
      <c r="F45" s="51">
        <v>72</v>
      </c>
      <c r="G45" s="52">
        <f>IFERROR(D45+E45-F45,"")</f>
        <v>1459</v>
      </c>
    </row>
    <row r="46" spans="1:7" ht="21.75" customHeight="1">
      <c r="A46" s="71"/>
      <c r="B46" s="71"/>
      <c r="C46" s="48" t="s">
        <v>32</v>
      </c>
      <c r="D46" s="54">
        <f>G34</f>
        <v>824</v>
      </c>
      <c r="E46" s="50">
        <v>109</v>
      </c>
      <c r="F46" s="51">
        <v>91</v>
      </c>
      <c r="G46" s="52">
        <f>IFERROR(D46+E46-F46,"")</f>
        <v>842</v>
      </c>
    </row>
    <row r="47" spans="1:7" ht="21.75" customHeight="1">
      <c r="A47" s="71"/>
      <c r="B47" s="71"/>
      <c r="C47" s="48" t="s">
        <v>34</v>
      </c>
      <c r="D47" s="54">
        <f>G35</f>
        <v>1326</v>
      </c>
      <c r="E47" s="50">
        <v>179</v>
      </c>
      <c r="F47" s="51">
        <v>120</v>
      </c>
      <c r="G47" s="52">
        <f>IFERROR(D47+E47-F47,"")</f>
        <v>1385</v>
      </c>
    </row>
    <row r="48" spans="1:7" ht="21.75" customHeight="1">
      <c r="A48" s="71"/>
      <c r="B48" s="71"/>
      <c r="C48" s="48" t="s">
        <v>25</v>
      </c>
      <c r="D48" s="54">
        <f>G36</f>
        <v>910</v>
      </c>
      <c r="E48" s="50">
        <v>70</v>
      </c>
      <c r="F48" s="51">
        <v>47</v>
      </c>
      <c r="G48" s="52">
        <f>IFERROR(D48+E48-F48,"")</f>
        <v>933</v>
      </c>
    </row>
    <row r="49" spans="1:7" ht="21.75" customHeight="1">
      <c r="A49" s="71"/>
      <c r="B49" s="71"/>
      <c r="C49" s="48" t="s">
        <v>35</v>
      </c>
      <c r="D49" s="54">
        <f>G37</f>
        <v>1044</v>
      </c>
      <c r="E49" s="50">
        <v>87</v>
      </c>
      <c r="F49" s="51">
        <v>69</v>
      </c>
      <c r="G49" s="52">
        <f>IFERROR(D49+E49-F49,"")</f>
        <v>1062</v>
      </c>
    </row>
    <row r="50" spans="1:7" ht="21.75" customHeight="1">
      <c r="A50" s="71"/>
      <c r="B50" s="71"/>
      <c r="C50" s="48" t="s">
        <v>29</v>
      </c>
      <c r="D50" s="54">
        <f>G38</f>
        <v>1061</v>
      </c>
      <c r="E50" s="50">
        <v>67</v>
      </c>
      <c r="F50" s="51">
        <v>49</v>
      </c>
      <c r="G50" s="52">
        <f>IFERROR(D50+E50-F50,"")</f>
        <v>1079</v>
      </c>
    </row>
    <row r="51" spans="1:7" ht="21.75" customHeight="1">
      <c r="A51" s="71"/>
      <c r="B51" s="71"/>
      <c r="C51" s="48" t="s">
        <v>31</v>
      </c>
      <c r="D51" s="54">
        <f>G39</f>
        <v>1243</v>
      </c>
      <c r="E51" s="50">
        <v>112</v>
      </c>
      <c r="F51" s="51">
        <v>73</v>
      </c>
      <c r="G51" s="52">
        <f>IFERROR(D51+E51-F51,"")</f>
        <v>1282</v>
      </c>
    </row>
    <row r="52" spans="1:7" ht="21.75" customHeight="1">
      <c r="A52" s="71"/>
      <c r="B52" s="71"/>
      <c r="C52" s="48" t="s">
        <v>33</v>
      </c>
      <c r="D52" s="54">
        <f>G40</f>
        <v>571</v>
      </c>
      <c r="E52" s="50">
        <v>66</v>
      </c>
      <c r="F52" s="51">
        <v>58</v>
      </c>
      <c r="G52" s="52">
        <f>IFERROR(D52+E52-F52,"")</f>
        <v>579</v>
      </c>
    </row>
    <row r="53" spans="1:7" ht="21.75" customHeight="1">
      <c r="A53" s="71"/>
      <c r="B53" s="71"/>
      <c r="C53" s="48" t="s">
        <v>36</v>
      </c>
      <c r="D53" s="54">
        <f>G41</f>
        <v>1615</v>
      </c>
      <c r="E53" s="50">
        <v>150</v>
      </c>
      <c r="F53" s="51">
        <v>96</v>
      </c>
      <c r="G53" s="52">
        <f>IFERROR(D53+E53-F53,"")</f>
        <v>1669</v>
      </c>
    </row>
    <row r="54" spans="1:7" ht="21.75" customHeight="1">
      <c r="A54" s="73" t="s">
        <v>96</v>
      </c>
      <c r="B54" s="73"/>
      <c r="C54" s="73"/>
      <c r="D54" s="53">
        <f>IFERROR(SUM(D43:D53),"")</f>
        <v>12299</v>
      </c>
      <c r="E54" s="53">
        <f>IFERROR(SUM(E43:E53),"")</f>
        <v>1155</v>
      </c>
      <c r="F54" s="53">
        <f>IFERROR(SUM(F43:F53),"")</f>
        <v>829</v>
      </c>
      <c r="G54" s="53">
        <f>IFERROR(SUM(G43:G53),"")</f>
        <v>12625</v>
      </c>
    </row>
    <row r="55" spans="1:7" ht="21.75" customHeight="1">
      <c r="A55" s="71">
        <v>46058</v>
      </c>
      <c r="B55" s="72" t="s">
        <v>45</v>
      </c>
      <c r="C55" s="48" t="s">
        <v>26</v>
      </c>
      <c r="D55" s="54">
        <f>G43</f>
        <v>1351</v>
      </c>
      <c r="E55" s="50">
        <v>99</v>
      </c>
      <c r="F55" s="51">
        <v>71</v>
      </c>
      <c r="G55" s="52">
        <f>IFERROR(D55+E55-F55,"")</f>
        <v>1379</v>
      </c>
    </row>
    <row r="56" spans="1:7" ht="21.75" customHeight="1">
      <c r="A56" s="71"/>
      <c r="B56" s="71"/>
      <c r="C56" s="48" t="s">
        <v>27</v>
      </c>
      <c r="D56" s="54">
        <f>G44</f>
        <v>984</v>
      </c>
      <c r="E56" s="50">
        <v>113</v>
      </c>
      <c r="F56" s="51">
        <v>88</v>
      </c>
      <c r="G56" s="52">
        <f>IFERROR(D56+E56-F56,"")</f>
        <v>1009</v>
      </c>
    </row>
    <row r="57" spans="1:7" ht="21.75" customHeight="1">
      <c r="A57" s="71"/>
      <c r="B57" s="71"/>
      <c r="C57" s="48" t="s">
        <v>30</v>
      </c>
      <c r="D57" s="54">
        <f>G45</f>
        <v>1459</v>
      </c>
      <c r="E57" s="50">
        <v>111</v>
      </c>
      <c r="F57" s="51">
        <v>80</v>
      </c>
      <c r="G57" s="52">
        <f>IFERROR(D57+E57-F57,"")</f>
        <v>1490</v>
      </c>
    </row>
    <row r="58" spans="1:7" ht="21.75" customHeight="1">
      <c r="A58" s="71"/>
      <c r="B58" s="71"/>
      <c r="C58" s="48" t="s">
        <v>32</v>
      </c>
      <c r="D58" s="54">
        <f>G46</f>
        <v>842</v>
      </c>
      <c r="E58" s="50">
        <v>108</v>
      </c>
      <c r="F58" s="51">
        <v>85</v>
      </c>
      <c r="G58" s="52">
        <f>IFERROR(D58+E58-F58,"")</f>
        <v>865</v>
      </c>
    </row>
    <row r="59" spans="1:7" ht="21.75" customHeight="1">
      <c r="A59" s="71"/>
      <c r="B59" s="71"/>
      <c r="C59" s="48" t="s">
        <v>34</v>
      </c>
      <c r="D59" s="54">
        <f>G47</f>
        <v>1385</v>
      </c>
      <c r="E59" s="50">
        <v>174</v>
      </c>
      <c r="F59" s="51">
        <v>130</v>
      </c>
      <c r="G59" s="52">
        <f>IFERROR(D59+E59-F59,"")</f>
        <v>1429</v>
      </c>
    </row>
    <row r="60" spans="1:7" ht="21.75" customHeight="1">
      <c r="A60" s="71"/>
      <c r="B60" s="71"/>
      <c r="C60" s="48" t="s">
        <v>25</v>
      </c>
      <c r="D60" s="54">
        <f>G48</f>
        <v>933</v>
      </c>
      <c r="E60" s="50">
        <v>97</v>
      </c>
      <c r="F60" s="51">
        <v>77</v>
      </c>
      <c r="G60" s="52">
        <f>IFERROR(D60+E60-F60,"")</f>
        <v>953</v>
      </c>
    </row>
    <row r="61" spans="1:7" ht="21.75" customHeight="1">
      <c r="A61" s="71"/>
      <c r="B61" s="71"/>
      <c r="C61" s="48" t="s">
        <v>35</v>
      </c>
      <c r="D61" s="54">
        <f>G49</f>
        <v>1062</v>
      </c>
      <c r="E61" s="50">
        <v>77</v>
      </c>
      <c r="F61" s="51">
        <v>70</v>
      </c>
      <c r="G61" s="52">
        <f>IFERROR(D61+E61-F61,"")</f>
        <v>1069</v>
      </c>
    </row>
    <row r="62" spans="1:7" ht="21.75" customHeight="1">
      <c r="A62" s="71"/>
      <c r="B62" s="71"/>
      <c r="C62" s="48" t="s">
        <v>29</v>
      </c>
      <c r="D62" s="54">
        <f>G50</f>
        <v>1079</v>
      </c>
      <c r="E62" s="50">
        <v>84</v>
      </c>
      <c r="F62" s="51">
        <v>68</v>
      </c>
      <c r="G62" s="52">
        <f>IFERROR(D62+E62-F62,"")</f>
        <v>1095</v>
      </c>
    </row>
    <row r="63" spans="1:7" ht="21.75" customHeight="1">
      <c r="A63" s="71"/>
      <c r="B63" s="71"/>
      <c r="C63" s="48" t="s">
        <v>31</v>
      </c>
      <c r="D63" s="54">
        <f>G51</f>
        <v>1282</v>
      </c>
      <c r="E63" s="50">
        <v>140</v>
      </c>
      <c r="F63" s="51">
        <v>112</v>
      </c>
      <c r="G63" s="52">
        <f>IFERROR(D63+E63-F63,"")</f>
        <v>1310</v>
      </c>
    </row>
    <row r="64" spans="1:7" ht="21.75" customHeight="1">
      <c r="A64" s="71"/>
      <c r="B64" s="71"/>
      <c r="C64" s="48" t="s">
        <v>33</v>
      </c>
      <c r="D64" s="54">
        <f>G52</f>
        <v>579</v>
      </c>
      <c r="E64" s="50">
        <v>93</v>
      </c>
      <c r="F64" s="51">
        <v>77</v>
      </c>
      <c r="G64" s="52">
        <f>IFERROR(D64+E64-F64,"")</f>
        <v>595</v>
      </c>
    </row>
    <row r="65" spans="1:7" ht="21.75" customHeight="1">
      <c r="A65" s="71"/>
      <c r="B65" s="71"/>
      <c r="C65" s="48" t="s">
        <v>36</v>
      </c>
      <c r="D65" s="54">
        <f>G53</f>
        <v>1669</v>
      </c>
      <c r="E65" s="50">
        <v>167</v>
      </c>
      <c r="F65" s="51">
        <v>110</v>
      </c>
      <c r="G65" s="52">
        <f>IFERROR(D65+E65-F65,"")</f>
        <v>1726</v>
      </c>
    </row>
    <row r="66" spans="1:7" ht="21.75" customHeight="1">
      <c r="A66" s="73" t="s">
        <v>97</v>
      </c>
      <c r="B66" s="73"/>
      <c r="C66" s="73"/>
      <c r="D66" s="53">
        <f>IFERROR(SUM(D55:D65),"")</f>
        <v>12625</v>
      </c>
      <c r="E66" s="53">
        <f>IFERROR(SUM(E55:E65),"")</f>
        <v>1263</v>
      </c>
      <c r="F66" s="53">
        <f>IFERROR(SUM(F55:F65),"")</f>
        <v>968</v>
      </c>
      <c r="G66" s="53">
        <f>IFERROR(SUM(G55:G65),"")</f>
        <v>12920</v>
      </c>
    </row>
    <row r="67" spans="1:7" ht="21.75" customHeight="1">
      <c r="A67" s="71">
        <v>46059</v>
      </c>
      <c r="B67" s="72" t="s">
        <v>47</v>
      </c>
      <c r="C67" s="48" t="s">
        <v>26</v>
      </c>
      <c r="D67" s="54">
        <f>G55</f>
        <v>1379</v>
      </c>
      <c r="E67" s="50">
        <v>105</v>
      </c>
      <c r="F67" s="51">
        <v>73</v>
      </c>
      <c r="G67" s="52">
        <f>IFERROR(D67+E67-F67,"")</f>
        <v>1411</v>
      </c>
    </row>
    <row r="68" spans="1:7" ht="21.75" customHeight="1">
      <c r="A68" s="71"/>
      <c r="B68" s="71"/>
      <c r="C68" s="48" t="s">
        <v>27</v>
      </c>
      <c r="D68" s="54">
        <f>G56</f>
        <v>1009</v>
      </c>
      <c r="E68" s="50">
        <v>103</v>
      </c>
      <c r="F68" s="51">
        <v>77</v>
      </c>
      <c r="G68" s="52">
        <f>IFERROR(D68+E68-F68,"")</f>
        <v>1035</v>
      </c>
    </row>
    <row r="69" spans="1:7" ht="21.75" customHeight="1">
      <c r="A69" s="71"/>
      <c r="B69" s="71"/>
      <c r="C69" s="48" t="s">
        <v>30</v>
      </c>
      <c r="D69" s="54">
        <f>G57</f>
        <v>1490</v>
      </c>
      <c r="E69" s="50">
        <v>119</v>
      </c>
      <c r="F69" s="51">
        <v>86</v>
      </c>
      <c r="G69" s="52">
        <f>IFERROR(D69+E69-F69,"")</f>
        <v>1523</v>
      </c>
    </row>
    <row r="70" spans="1:7" ht="21.75" customHeight="1">
      <c r="A70" s="71"/>
      <c r="B70" s="71"/>
      <c r="C70" s="48" t="s">
        <v>32</v>
      </c>
      <c r="D70" s="54">
        <f>G58</f>
        <v>865</v>
      </c>
      <c r="E70" s="50">
        <v>117</v>
      </c>
      <c r="F70" s="51">
        <v>110</v>
      </c>
      <c r="G70" s="52">
        <f>IFERROR(D70+E70-F70,"")</f>
        <v>872</v>
      </c>
    </row>
    <row r="71" spans="1:7" ht="21.75" customHeight="1">
      <c r="A71" s="71"/>
      <c r="B71" s="71"/>
      <c r="C71" s="48" t="s">
        <v>34</v>
      </c>
      <c r="D71" s="54">
        <f>G59</f>
        <v>1429</v>
      </c>
      <c r="E71" s="50">
        <v>115</v>
      </c>
      <c r="F71" s="51">
        <v>74</v>
      </c>
      <c r="G71" s="52">
        <f>IFERROR(D71+E71-F71,"")</f>
        <v>1470</v>
      </c>
    </row>
    <row r="72" spans="1:7" ht="21.75" customHeight="1">
      <c r="A72" s="71"/>
      <c r="B72" s="71"/>
      <c r="C72" s="48" t="s">
        <v>25</v>
      </c>
      <c r="D72" s="54">
        <f>G60</f>
        <v>953</v>
      </c>
      <c r="E72" s="50">
        <v>69</v>
      </c>
      <c r="F72" s="51">
        <v>56</v>
      </c>
      <c r="G72" s="52">
        <f>IFERROR(D72+E72-F72,"")</f>
        <v>966</v>
      </c>
    </row>
    <row r="73" spans="1:7" ht="21.75" customHeight="1">
      <c r="A73" s="71"/>
      <c r="B73" s="71"/>
      <c r="C73" s="48" t="s">
        <v>35</v>
      </c>
      <c r="D73" s="54">
        <f>G61</f>
        <v>1069</v>
      </c>
      <c r="E73" s="50">
        <v>97</v>
      </c>
      <c r="F73" s="51">
        <v>69</v>
      </c>
      <c r="G73" s="52">
        <f>IFERROR(D73+E73-F73,"")</f>
        <v>1097</v>
      </c>
    </row>
    <row r="74" spans="1:7" ht="21.75" customHeight="1">
      <c r="A74" s="71"/>
      <c r="B74" s="71"/>
      <c r="C74" s="48" t="s">
        <v>29</v>
      </c>
      <c r="D74" s="54">
        <f>G62</f>
        <v>1095</v>
      </c>
      <c r="E74" s="50">
        <v>96</v>
      </c>
      <c r="F74" s="51">
        <v>75</v>
      </c>
      <c r="G74" s="52">
        <f>IFERROR(D74+E74-F74,"")</f>
        <v>1116</v>
      </c>
    </row>
    <row r="75" spans="1:7" ht="21.75" customHeight="1">
      <c r="A75" s="71"/>
      <c r="B75" s="71"/>
      <c r="C75" s="48" t="s">
        <v>31</v>
      </c>
      <c r="D75" s="54">
        <f>G63</f>
        <v>1310</v>
      </c>
      <c r="E75" s="50">
        <v>114</v>
      </c>
      <c r="F75" s="51">
        <v>89</v>
      </c>
      <c r="G75" s="52">
        <f>IFERROR(D75+E75-F75,"")</f>
        <v>1335</v>
      </c>
    </row>
    <row r="76" spans="1:7" ht="21.75" customHeight="1">
      <c r="A76" s="71"/>
      <c r="B76" s="71"/>
      <c r="C76" s="48" t="s">
        <v>33</v>
      </c>
      <c r="D76" s="54">
        <f>G64</f>
        <v>595</v>
      </c>
      <c r="E76" s="50">
        <v>95</v>
      </c>
      <c r="F76" s="51">
        <v>81</v>
      </c>
      <c r="G76" s="52">
        <f>IFERROR(D76+E76-F76,"")</f>
        <v>609</v>
      </c>
    </row>
    <row r="77" spans="1:7" ht="21.75" customHeight="1">
      <c r="A77" s="71"/>
      <c r="B77" s="71"/>
      <c r="C77" s="48" t="s">
        <v>36</v>
      </c>
      <c r="D77" s="54">
        <f>G65</f>
        <v>1726</v>
      </c>
      <c r="E77" s="50">
        <v>150</v>
      </c>
      <c r="F77" s="51">
        <v>120</v>
      </c>
      <c r="G77" s="52">
        <f>IFERROR(D77+E77-F77,"")</f>
        <v>1756</v>
      </c>
    </row>
    <row r="78" spans="1:7" ht="21.75" customHeight="1">
      <c r="A78" s="73" t="s">
        <v>98</v>
      </c>
      <c r="B78" s="73"/>
      <c r="C78" s="73"/>
      <c r="D78" s="53">
        <f>IFERROR(SUM(D67:D77),"")</f>
        <v>12920</v>
      </c>
      <c r="E78" s="53">
        <f>IFERROR(SUM(E67:E77),"")</f>
        <v>1180</v>
      </c>
      <c r="F78" s="53">
        <f>IFERROR(SUM(F67:F77),"")</f>
        <v>910</v>
      </c>
      <c r="G78" s="53">
        <f>IFERROR(SUM(G67:G77),"")</f>
        <v>13190</v>
      </c>
    </row>
    <row r="79" spans="1:7" ht="21.75" customHeight="1">
      <c r="A79" s="74">
        <v>46060</v>
      </c>
      <c r="B79" s="75" t="s">
        <v>48</v>
      </c>
      <c r="C79" s="48" t="s">
        <v>26</v>
      </c>
      <c r="D79" s="54">
        <f>G67</f>
        <v>1411</v>
      </c>
      <c r="E79" s="50">
        <v>71</v>
      </c>
      <c r="F79" s="51">
        <v>49</v>
      </c>
      <c r="G79" s="52">
        <f>IFERROR(D79+E79-F79,"")</f>
        <v>1433</v>
      </c>
    </row>
    <row r="80" spans="1:7" ht="21.75" customHeight="1">
      <c r="A80" s="74"/>
      <c r="B80" s="74"/>
      <c r="C80" s="48" t="s">
        <v>27</v>
      </c>
      <c r="D80" s="54">
        <f>G68</f>
        <v>1035</v>
      </c>
      <c r="E80" s="50">
        <v>40</v>
      </c>
      <c r="F80" s="51">
        <v>28</v>
      </c>
      <c r="G80" s="52">
        <f>IFERROR(D80+E80-F80,"")</f>
        <v>1047</v>
      </c>
    </row>
    <row r="81" spans="1:7" ht="21.75" customHeight="1">
      <c r="A81" s="74"/>
      <c r="B81" s="74"/>
      <c r="C81" s="48" t="s">
        <v>30</v>
      </c>
      <c r="D81" s="54">
        <f>G69</f>
        <v>1523</v>
      </c>
      <c r="E81" s="50">
        <v>78</v>
      </c>
      <c r="F81" s="51">
        <v>48</v>
      </c>
      <c r="G81" s="52">
        <f>IFERROR(D81+E81-F81,"")</f>
        <v>1553</v>
      </c>
    </row>
    <row r="82" spans="1:7" ht="21.75" customHeight="1">
      <c r="A82" s="74"/>
      <c r="B82" s="74"/>
      <c r="C82" s="48" t="s">
        <v>32</v>
      </c>
      <c r="D82" s="54">
        <f>G70</f>
        <v>872</v>
      </c>
      <c r="E82" s="50">
        <v>50</v>
      </c>
      <c r="F82" s="51">
        <v>45</v>
      </c>
      <c r="G82" s="52">
        <f>IFERROR(D82+E82-F82,"")</f>
        <v>877</v>
      </c>
    </row>
    <row r="83" spans="1:7" ht="21.75" customHeight="1">
      <c r="A83" s="74"/>
      <c r="B83" s="74"/>
      <c r="C83" s="48" t="s">
        <v>34</v>
      </c>
      <c r="D83" s="54">
        <f>G71</f>
        <v>1470</v>
      </c>
      <c r="E83" s="50">
        <v>59</v>
      </c>
      <c r="F83" s="51">
        <v>43</v>
      </c>
      <c r="G83" s="52">
        <f>IFERROR(D83+E83-F83,"")</f>
        <v>1486</v>
      </c>
    </row>
    <row r="84" spans="1:7" ht="21.75" customHeight="1">
      <c r="A84" s="74"/>
      <c r="B84" s="74"/>
      <c r="C84" s="48" t="s">
        <v>25</v>
      </c>
      <c r="D84" s="54">
        <f>G72</f>
        <v>966</v>
      </c>
      <c r="E84" s="50">
        <v>24</v>
      </c>
      <c r="F84" s="51">
        <v>17</v>
      </c>
      <c r="G84" s="52">
        <f>IFERROR(D84+E84-F84,"")</f>
        <v>973</v>
      </c>
    </row>
    <row r="85" spans="1:7" ht="21.75" customHeight="1">
      <c r="A85" s="74"/>
      <c r="B85" s="74"/>
      <c r="C85" s="48" t="s">
        <v>35</v>
      </c>
      <c r="D85" s="54">
        <f>G73</f>
        <v>1097</v>
      </c>
      <c r="E85" s="50">
        <v>59</v>
      </c>
      <c r="F85" s="51">
        <v>47</v>
      </c>
      <c r="G85" s="52">
        <f>IFERROR(D85+E85-F85,"")</f>
        <v>1109</v>
      </c>
    </row>
    <row r="86" spans="1:7" ht="21.75" customHeight="1">
      <c r="A86" s="74"/>
      <c r="B86" s="74"/>
      <c r="C86" s="48" t="s">
        <v>29</v>
      </c>
      <c r="D86" s="54">
        <f>G74</f>
        <v>1116</v>
      </c>
      <c r="E86" s="50">
        <v>58</v>
      </c>
      <c r="F86" s="51">
        <v>39</v>
      </c>
      <c r="G86" s="52">
        <f>IFERROR(D86+E86-F86,"")</f>
        <v>1135</v>
      </c>
    </row>
    <row r="87" spans="1:7" ht="21.75" customHeight="1">
      <c r="A87" s="74"/>
      <c r="B87" s="74"/>
      <c r="C87" s="48" t="s">
        <v>31</v>
      </c>
      <c r="D87" s="54">
        <f>G75</f>
        <v>1335</v>
      </c>
      <c r="E87" s="50">
        <v>61</v>
      </c>
      <c r="F87" s="51">
        <v>47</v>
      </c>
      <c r="G87" s="52">
        <f>IFERROR(D87+E87-F87,"")</f>
        <v>1349</v>
      </c>
    </row>
    <row r="88" spans="1:7" ht="21.75" customHeight="1">
      <c r="A88" s="74"/>
      <c r="B88" s="74"/>
      <c r="C88" s="48" t="s">
        <v>33</v>
      </c>
      <c r="D88" s="54">
        <f>G76</f>
        <v>609</v>
      </c>
      <c r="E88" s="50">
        <v>31</v>
      </c>
      <c r="F88" s="51">
        <v>24</v>
      </c>
      <c r="G88" s="52">
        <f>IFERROR(D88+E88-F88,"")</f>
        <v>616</v>
      </c>
    </row>
    <row r="89" spans="1:7" ht="21.75" customHeight="1">
      <c r="A89" s="74"/>
      <c r="B89" s="74"/>
      <c r="C89" s="48" t="s">
        <v>36</v>
      </c>
      <c r="D89" s="54">
        <f>G77</f>
        <v>1756</v>
      </c>
      <c r="E89" s="50">
        <v>66</v>
      </c>
      <c r="F89" s="51">
        <v>50</v>
      </c>
      <c r="G89" s="52">
        <f>IFERROR(D89+E89-F89,"")</f>
        <v>1772</v>
      </c>
    </row>
    <row r="90" spans="1:7" ht="21.75" customHeight="1">
      <c r="A90" s="73" t="s">
        <v>99</v>
      </c>
      <c r="B90" s="73"/>
      <c r="C90" s="73"/>
      <c r="D90" s="53">
        <f>IFERROR(SUM(D79:D89),"")</f>
        <v>13190</v>
      </c>
      <c r="E90" s="53">
        <f>IFERROR(SUM(E79:E89),"")</f>
        <v>597</v>
      </c>
      <c r="F90" s="53">
        <f>IFERROR(SUM(F79:F89),"")</f>
        <v>437</v>
      </c>
      <c r="G90" s="53">
        <f>IFERROR(SUM(G79:G89),"")</f>
        <v>13350</v>
      </c>
    </row>
    <row r="91" spans="1:7" ht="21.75" customHeight="1">
      <c r="A91" s="74">
        <v>46061</v>
      </c>
      <c r="B91" s="75" t="s">
        <v>50</v>
      </c>
      <c r="C91" s="48" t="s">
        <v>26</v>
      </c>
      <c r="D91" s="54">
        <f>G79</f>
        <v>1433</v>
      </c>
      <c r="E91" s="50">
        <v>51</v>
      </c>
      <c r="F91" s="51">
        <v>34</v>
      </c>
      <c r="G91" s="52">
        <f>IFERROR(D91+E91-F91,"")</f>
        <v>1450</v>
      </c>
    </row>
    <row r="92" spans="1:7" ht="21.75" customHeight="1">
      <c r="A92" s="74"/>
      <c r="B92" s="74"/>
      <c r="C92" s="48" t="s">
        <v>27</v>
      </c>
      <c r="D92" s="54">
        <f>G80</f>
        <v>1047</v>
      </c>
      <c r="E92" s="50">
        <v>59</v>
      </c>
      <c r="F92" s="51">
        <v>48</v>
      </c>
      <c r="G92" s="52">
        <f>IFERROR(D92+E92-F92,"")</f>
        <v>1058</v>
      </c>
    </row>
    <row r="93" spans="1:7" ht="21.75" customHeight="1">
      <c r="A93" s="74"/>
      <c r="B93" s="74"/>
      <c r="C93" s="48" t="s">
        <v>30</v>
      </c>
      <c r="D93" s="54">
        <f>G81</f>
        <v>1553</v>
      </c>
      <c r="E93" s="50">
        <v>58</v>
      </c>
      <c r="F93" s="51">
        <v>39</v>
      </c>
      <c r="G93" s="52">
        <f>IFERROR(D93+E93-F93,"")</f>
        <v>1572</v>
      </c>
    </row>
    <row r="94" spans="1:7" ht="21.75" customHeight="1">
      <c r="A94" s="74"/>
      <c r="B94" s="74"/>
      <c r="C94" s="48" t="s">
        <v>32</v>
      </c>
      <c r="D94" s="54">
        <f>G82</f>
        <v>877</v>
      </c>
      <c r="E94" s="50">
        <v>31</v>
      </c>
      <c r="F94" s="51">
        <v>24</v>
      </c>
      <c r="G94" s="52">
        <f>IFERROR(D94+E94-F94,"")</f>
        <v>884</v>
      </c>
    </row>
    <row r="95" spans="1:7" ht="21.75" customHeight="1">
      <c r="A95" s="74"/>
      <c r="B95" s="74"/>
      <c r="C95" s="48" t="s">
        <v>34</v>
      </c>
      <c r="D95" s="54">
        <f>G83</f>
        <v>1486</v>
      </c>
      <c r="E95" s="50">
        <v>62</v>
      </c>
      <c r="F95" s="51">
        <v>49</v>
      </c>
      <c r="G95" s="52">
        <f>IFERROR(D95+E95-F95,"")</f>
        <v>1499</v>
      </c>
    </row>
    <row r="96" spans="1:7" ht="21.75" customHeight="1">
      <c r="A96" s="74"/>
      <c r="B96" s="74"/>
      <c r="C96" s="48" t="s">
        <v>25</v>
      </c>
      <c r="D96" s="54">
        <f>G84</f>
        <v>973</v>
      </c>
      <c r="E96" s="50">
        <v>36</v>
      </c>
      <c r="F96" s="51">
        <v>28</v>
      </c>
      <c r="G96" s="52">
        <f>IFERROR(D96+E96-F96,"")</f>
        <v>981</v>
      </c>
    </row>
    <row r="97" spans="1:7" ht="21.75" customHeight="1">
      <c r="A97" s="74"/>
      <c r="B97" s="74"/>
      <c r="C97" s="48" t="s">
        <v>35</v>
      </c>
      <c r="D97" s="54">
        <f>G85</f>
        <v>1109</v>
      </c>
      <c r="E97" s="50">
        <v>66</v>
      </c>
      <c r="F97" s="51">
        <v>55</v>
      </c>
      <c r="G97" s="52">
        <f>IFERROR(D97+E97-F97,"")</f>
        <v>1120</v>
      </c>
    </row>
    <row r="98" spans="1:7" ht="21.75" customHeight="1">
      <c r="A98" s="74"/>
      <c r="B98" s="74"/>
      <c r="C98" s="48" t="s">
        <v>29</v>
      </c>
      <c r="D98" s="54">
        <f>G86</f>
        <v>1135</v>
      </c>
      <c r="E98" s="50">
        <v>31</v>
      </c>
      <c r="F98" s="51">
        <v>20</v>
      </c>
      <c r="G98" s="52">
        <f>IFERROR(D98+E98-F98,"")</f>
        <v>1146</v>
      </c>
    </row>
    <row r="99" spans="1:7" ht="21.75" customHeight="1">
      <c r="A99" s="74"/>
      <c r="B99" s="74"/>
      <c r="C99" s="48" t="s">
        <v>31</v>
      </c>
      <c r="D99" s="54">
        <f>G87</f>
        <v>1349</v>
      </c>
      <c r="E99" s="50">
        <v>34</v>
      </c>
      <c r="F99" s="51">
        <v>26</v>
      </c>
      <c r="G99" s="52">
        <f>IFERROR(D99+E99-F99,"")</f>
        <v>1357</v>
      </c>
    </row>
    <row r="100" spans="1:7" ht="21.75" customHeight="1">
      <c r="A100" s="74"/>
      <c r="B100" s="74"/>
      <c r="C100" s="48" t="s">
        <v>33</v>
      </c>
      <c r="D100" s="54">
        <f>G88</f>
        <v>616</v>
      </c>
      <c r="E100" s="50">
        <v>33</v>
      </c>
      <c r="F100" s="51">
        <v>32</v>
      </c>
      <c r="G100" s="52">
        <f>IFERROR(D100+E100-F100,"")</f>
        <v>617</v>
      </c>
    </row>
    <row r="101" spans="1:7" ht="21.75" customHeight="1">
      <c r="A101" s="74"/>
      <c r="B101" s="74"/>
      <c r="C101" s="48" t="s">
        <v>36</v>
      </c>
      <c r="D101" s="54">
        <f>G89</f>
        <v>1772</v>
      </c>
      <c r="E101" s="50">
        <v>66</v>
      </c>
      <c r="F101" s="51">
        <v>46</v>
      </c>
      <c r="G101" s="52">
        <f>IFERROR(D101+E101-F101,"")</f>
        <v>1792</v>
      </c>
    </row>
    <row r="102" spans="1:7" ht="21.75" customHeight="1">
      <c r="A102" s="73" t="s">
        <v>100</v>
      </c>
      <c r="B102" s="73"/>
      <c r="C102" s="73"/>
      <c r="D102" s="53">
        <f>IFERROR(SUM(D91:D101),"")</f>
        <v>13350</v>
      </c>
      <c r="E102" s="53">
        <f>IFERROR(SUM(E91:E101),"")</f>
        <v>527</v>
      </c>
      <c r="F102" s="53">
        <f>IFERROR(SUM(F91:F101),"")</f>
        <v>401</v>
      </c>
      <c r="G102" s="53">
        <f>IFERROR(SUM(G91:G101),"")</f>
        <v>13476</v>
      </c>
    </row>
    <row r="103" spans="1:7" ht="21.75" customHeight="1">
      <c r="A103" s="71">
        <v>46062</v>
      </c>
      <c r="B103" s="72" t="s">
        <v>51</v>
      </c>
      <c r="C103" s="48" t="s">
        <v>26</v>
      </c>
      <c r="D103" s="54">
        <f>G91</f>
        <v>1450</v>
      </c>
      <c r="E103" s="50">
        <v>98</v>
      </c>
      <c r="F103" s="51">
        <v>80</v>
      </c>
      <c r="G103" s="52">
        <f>IFERROR(D103+E103-F103,"")</f>
        <v>1468</v>
      </c>
    </row>
    <row r="104" spans="1:7" ht="21.75" customHeight="1">
      <c r="A104" s="71"/>
      <c r="B104" s="71"/>
      <c r="C104" s="48" t="s">
        <v>27</v>
      </c>
      <c r="D104" s="54">
        <f>G92</f>
        <v>1058</v>
      </c>
      <c r="E104" s="50">
        <v>85</v>
      </c>
      <c r="F104" s="51">
        <v>72</v>
      </c>
      <c r="G104" s="52">
        <f>IFERROR(D104+E104-F104,"")</f>
        <v>1071</v>
      </c>
    </row>
    <row r="105" spans="1:7" ht="21.75" customHeight="1">
      <c r="A105" s="71"/>
      <c r="B105" s="71"/>
      <c r="C105" s="48" t="s">
        <v>30</v>
      </c>
      <c r="D105" s="54">
        <f>G93</f>
        <v>1572</v>
      </c>
      <c r="E105" s="50">
        <v>137</v>
      </c>
      <c r="F105" s="51">
        <v>94</v>
      </c>
      <c r="G105" s="52">
        <f>IFERROR(D105+E105-F105,"")</f>
        <v>1615</v>
      </c>
    </row>
    <row r="106" spans="1:7" ht="21.75" customHeight="1">
      <c r="A106" s="71"/>
      <c r="B106" s="71"/>
      <c r="C106" s="48" t="s">
        <v>32</v>
      </c>
      <c r="D106" s="54">
        <f>G94</f>
        <v>884</v>
      </c>
      <c r="E106" s="50">
        <v>70</v>
      </c>
      <c r="F106" s="51">
        <v>56</v>
      </c>
      <c r="G106" s="52">
        <f>IFERROR(D106+E106-F106,"")</f>
        <v>898</v>
      </c>
    </row>
    <row r="107" spans="1:7" ht="21.75" customHeight="1">
      <c r="A107" s="71"/>
      <c r="B107" s="71"/>
      <c r="C107" s="48" t="s">
        <v>34</v>
      </c>
      <c r="D107" s="54">
        <f>G95</f>
        <v>1499</v>
      </c>
      <c r="E107" s="50">
        <v>173</v>
      </c>
      <c r="F107" s="51">
        <v>130</v>
      </c>
      <c r="G107" s="52">
        <f>IFERROR(D107+E107-F107,"")</f>
        <v>1542</v>
      </c>
    </row>
    <row r="108" spans="1:7" ht="21.75" customHeight="1">
      <c r="A108" s="71"/>
      <c r="B108" s="71"/>
      <c r="C108" s="48" t="s">
        <v>25</v>
      </c>
      <c r="D108" s="54">
        <f>G96</f>
        <v>981</v>
      </c>
      <c r="E108" s="50">
        <v>103</v>
      </c>
      <c r="F108" s="51">
        <v>82</v>
      </c>
      <c r="G108" s="52">
        <f>IFERROR(D108+E108-F108,"")</f>
        <v>1002</v>
      </c>
    </row>
    <row r="109" spans="1:7" ht="21.75" customHeight="1">
      <c r="A109" s="71"/>
      <c r="B109" s="71"/>
      <c r="C109" s="48" t="s">
        <v>35</v>
      </c>
      <c r="D109" s="54">
        <f>G97</f>
        <v>1120</v>
      </c>
      <c r="E109" s="50">
        <v>130</v>
      </c>
      <c r="F109" s="51">
        <v>114</v>
      </c>
      <c r="G109" s="52">
        <f>IFERROR(D109+E109-F109,"")</f>
        <v>1136</v>
      </c>
    </row>
    <row r="110" spans="1:7" ht="21.75" customHeight="1">
      <c r="A110" s="71"/>
      <c r="B110" s="71"/>
      <c r="C110" s="48" t="s">
        <v>29</v>
      </c>
      <c r="D110" s="54">
        <f>G98</f>
        <v>1146</v>
      </c>
      <c r="E110" s="50">
        <v>106</v>
      </c>
      <c r="F110" s="51">
        <v>69</v>
      </c>
      <c r="G110" s="52">
        <f>IFERROR(D110+E110-F110,"")</f>
        <v>1183</v>
      </c>
    </row>
    <row r="111" spans="1:7" ht="21.75" customHeight="1">
      <c r="A111" s="71"/>
      <c r="B111" s="71"/>
      <c r="C111" s="48" t="s">
        <v>31</v>
      </c>
      <c r="D111" s="54">
        <f>G99</f>
        <v>1357</v>
      </c>
      <c r="E111" s="50">
        <v>114</v>
      </c>
      <c r="F111" s="51">
        <v>87</v>
      </c>
      <c r="G111" s="52">
        <f>IFERROR(D111+E111-F111,"")</f>
        <v>1384</v>
      </c>
    </row>
    <row r="112" spans="1:7" ht="21.75" customHeight="1">
      <c r="A112" s="71"/>
      <c r="B112" s="71"/>
      <c r="C112" s="48" t="s">
        <v>33</v>
      </c>
      <c r="D112" s="54">
        <f>G100</f>
        <v>617</v>
      </c>
      <c r="E112" s="50">
        <v>69</v>
      </c>
      <c r="F112" s="51">
        <v>63</v>
      </c>
      <c r="G112" s="52">
        <f>IFERROR(D112+E112-F112,"")</f>
        <v>623</v>
      </c>
    </row>
    <row r="113" spans="1:7" ht="21.75" customHeight="1">
      <c r="A113" s="71"/>
      <c r="B113" s="71"/>
      <c r="C113" s="48" t="s">
        <v>36</v>
      </c>
      <c r="D113" s="54">
        <f>G101</f>
        <v>1792</v>
      </c>
      <c r="E113" s="50">
        <v>124</v>
      </c>
      <c r="F113" s="51">
        <v>79</v>
      </c>
      <c r="G113" s="52">
        <f>IFERROR(D113+E113-F113,"")</f>
        <v>1837</v>
      </c>
    </row>
    <row r="114" spans="1:7" ht="21.75" customHeight="1">
      <c r="A114" s="73" t="s">
        <v>101</v>
      </c>
      <c r="B114" s="73"/>
      <c r="C114" s="73"/>
      <c r="D114" s="53">
        <f>IFERROR(SUM(D103:D113),"")</f>
        <v>13476</v>
      </c>
      <c r="E114" s="53">
        <f>IFERROR(SUM(E103:E113),"")</f>
        <v>1209</v>
      </c>
      <c r="F114" s="53">
        <f>IFERROR(SUM(F103:F113),"")</f>
        <v>926</v>
      </c>
      <c r="G114" s="53">
        <f>IFERROR(SUM(G103:G113),"")</f>
        <v>13759</v>
      </c>
    </row>
    <row r="115" spans="1:7" ht="21.75" customHeight="1">
      <c r="A115" s="71">
        <v>46063</v>
      </c>
      <c r="B115" s="72" t="s">
        <v>52</v>
      </c>
      <c r="C115" s="48" t="s">
        <v>26</v>
      </c>
      <c r="D115" s="54">
        <f>G103</f>
        <v>1468</v>
      </c>
      <c r="E115" s="50">
        <v>138</v>
      </c>
      <c r="F115" s="51">
        <v>110</v>
      </c>
      <c r="G115" s="52">
        <f>IFERROR(D115+E115-F115,"")</f>
        <v>1496</v>
      </c>
    </row>
    <row r="116" spans="1:7" ht="21.75" customHeight="1">
      <c r="A116" s="71"/>
      <c r="B116" s="71"/>
      <c r="C116" s="48" t="s">
        <v>27</v>
      </c>
      <c r="D116" s="54">
        <f>G104</f>
        <v>1071</v>
      </c>
      <c r="E116" s="50">
        <v>73</v>
      </c>
      <c r="F116" s="51">
        <v>54</v>
      </c>
      <c r="G116" s="52">
        <f>IFERROR(D116+E116-F116,"")</f>
        <v>1090</v>
      </c>
    </row>
    <row r="117" spans="1:7" ht="21.75" customHeight="1">
      <c r="A117" s="71"/>
      <c r="B117" s="71"/>
      <c r="C117" s="48" t="s">
        <v>30</v>
      </c>
      <c r="D117" s="54">
        <f>G105</f>
        <v>1615</v>
      </c>
      <c r="E117" s="50">
        <v>92</v>
      </c>
      <c r="F117" s="51">
        <v>63</v>
      </c>
      <c r="G117" s="52">
        <f>IFERROR(D117+E117-F117,"")</f>
        <v>1644</v>
      </c>
    </row>
    <row r="118" spans="1:7" ht="21.75" customHeight="1">
      <c r="A118" s="71"/>
      <c r="B118" s="71"/>
      <c r="C118" s="48" t="s">
        <v>32</v>
      </c>
      <c r="D118" s="54">
        <f>G106</f>
        <v>898</v>
      </c>
      <c r="E118" s="50">
        <v>68</v>
      </c>
      <c r="F118" s="51">
        <v>63</v>
      </c>
      <c r="G118" s="52">
        <f>IFERROR(D118+E118-F118,"")</f>
        <v>903</v>
      </c>
    </row>
    <row r="119" spans="1:7" ht="21.75" customHeight="1">
      <c r="A119" s="71"/>
      <c r="B119" s="71"/>
      <c r="C119" s="48" t="s">
        <v>34</v>
      </c>
      <c r="D119" s="54">
        <f>G107</f>
        <v>1542</v>
      </c>
      <c r="E119" s="50">
        <v>134</v>
      </c>
      <c r="F119" s="51">
        <v>88</v>
      </c>
      <c r="G119" s="52">
        <f>IFERROR(D119+E119-F119,"")</f>
        <v>1588</v>
      </c>
    </row>
    <row r="120" spans="1:7" ht="21.75" customHeight="1">
      <c r="A120" s="71"/>
      <c r="B120" s="71"/>
      <c r="C120" s="48" t="s">
        <v>25</v>
      </c>
      <c r="D120" s="54">
        <f>G108</f>
        <v>1002</v>
      </c>
      <c r="E120" s="50">
        <v>81</v>
      </c>
      <c r="F120" s="51">
        <v>60</v>
      </c>
      <c r="G120" s="52">
        <f>IFERROR(D120+E120-F120,"")</f>
        <v>1023</v>
      </c>
    </row>
    <row r="121" spans="1:7" ht="21.75" customHeight="1">
      <c r="A121" s="71"/>
      <c r="B121" s="71"/>
      <c r="C121" s="48" t="s">
        <v>35</v>
      </c>
      <c r="D121" s="54">
        <f>G109</f>
        <v>1136</v>
      </c>
      <c r="E121" s="50">
        <v>95</v>
      </c>
      <c r="F121" s="51">
        <v>75</v>
      </c>
      <c r="G121" s="52">
        <f>IFERROR(D121+E121-F121,"")</f>
        <v>1156</v>
      </c>
    </row>
    <row r="122" spans="1:7" ht="21.75" customHeight="1">
      <c r="A122" s="71"/>
      <c r="B122" s="71"/>
      <c r="C122" s="48" t="s">
        <v>29</v>
      </c>
      <c r="D122" s="54">
        <f>G110</f>
        <v>1183</v>
      </c>
      <c r="E122" s="50">
        <v>98</v>
      </c>
      <c r="F122" s="51">
        <v>68</v>
      </c>
      <c r="G122" s="52">
        <f>IFERROR(D122+E122-F122,"")</f>
        <v>1213</v>
      </c>
    </row>
    <row r="123" spans="1:7" ht="21.75" customHeight="1">
      <c r="A123" s="71"/>
      <c r="B123" s="71"/>
      <c r="C123" s="48" t="s">
        <v>31</v>
      </c>
      <c r="D123" s="54">
        <f>G111</f>
        <v>1384</v>
      </c>
      <c r="E123" s="50">
        <v>107</v>
      </c>
      <c r="F123" s="51">
        <v>88</v>
      </c>
      <c r="G123" s="52">
        <f>IFERROR(D123+E123-F123,"")</f>
        <v>1403</v>
      </c>
    </row>
    <row r="124" spans="1:7" ht="21.75" customHeight="1">
      <c r="A124" s="71"/>
      <c r="B124" s="71"/>
      <c r="C124" s="48" t="s">
        <v>33</v>
      </c>
      <c r="D124" s="54">
        <f>G112</f>
        <v>623</v>
      </c>
      <c r="E124" s="50">
        <v>72</v>
      </c>
      <c r="F124" s="51">
        <v>68</v>
      </c>
      <c r="G124" s="52">
        <f>IFERROR(D124+E124-F124,"")</f>
        <v>627</v>
      </c>
    </row>
    <row r="125" spans="1:7" ht="21.75" customHeight="1">
      <c r="A125" s="71"/>
      <c r="B125" s="71"/>
      <c r="C125" s="48" t="s">
        <v>36</v>
      </c>
      <c r="D125" s="54">
        <f>G113</f>
        <v>1837</v>
      </c>
      <c r="E125" s="50">
        <v>146</v>
      </c>
      <c r="F125" s="51">
        <v>106</v>
      </c>
      <c r="G125" s="52">
        <f>IFERROR(D125+E125-F125,"")</f>
        <v>1877</v>
      </c>
    </row>
    <row r="126" spans="1:7" ht="21.75" customHeight="1">
      <c r="A126" s="73" t="s">
        <v>102</v>
      </c>
      <c r="B126" s="73"/>
      <c r="C126" s="73"/>
      <c r="D126" s="53">
        <f>IFERROR(SUM(D115:D125),"")</f>
        <v>13759</v>
      </c>
      <c r="E126" s="53">
        <f>IFERROR(SUM(E115:E125),"")</f>
        <v>1104</v>
      </c>
      <c r="F126" s="53">
        <f>IFERROR(SUM(F115:F125),"")</f>
        <v>843</v>
      </c>
      <c r="G126" s="53">
        <f>IFERROR(SUM(G115:G125),"")</f>
        <v>14020</v>
      </c>
    </row>
    <row r="127" spans="1:7" ht="21.75" customHeight="1">
      <c r="A127" s="71">
        <v>46064</v>
      </c>
      <c r="B127" s="72" t="s">
        <v>53</v>
      </c>
      <c r="C127" s="48" t="s">
        <v>26</v>
      </c>
      <c r="D127" s="54">
        <f>G115</f>
        <v>1496</v>
      </c>
      <c r="E127" s="50">
        <v>97</v>
      </c>
      <c r="F127" s="51">
        <v>65</v>
      </c>
      <c r="G127" s="52">
        <f>IFERROR(D127+E127-F127,"")</f>
        <v>1528</v>
      </c>
    </row>
    <row r="128" spans="1:7" ht="21.75" customHeight="1">
      <c r="A128" s="71"/>
      <c r="B128" s="71"/>
      <c r="C128" s="48" t="s">
        <v>27</v>
      </c>
      <c r="D128" s="54">
        <f>G116</f>
        <v>1090</v>
      </c>
      <c r="E128" s="50">
        <v>84</v>
      </c>
      <c r="F128" s="51">
        <v>72</v>
      </c>
      <c r="G128" s="52">
        <f>IFERROR(D128+E128-F128,"")</f>
        <v>1102</v>
      </c>
    </row>
    <row r="129" spans="1:7" ht="21.75" customHeight="1">
      <c r="A129" s="71"/>
      <c r="B129" s="71"/>
      <c r="C129" s="48" t="s">
        <v>30</v>
      </c>
      <c r="D129" s="54">
        <f>G117</f>
        <v>1644</v>
      </c>
      <c r="E129" s="50">
        <v>128</v>
      </c>
      <c r="F129" s="51">
        <v>78</v>
      </c>
      <c r="G129" s="52">
        <f>IFERROR(D129+E129-F129,"")</f>
        <v>1694</v>
      </c>
    </row>
    <row r="130" spans="1:7" ht="21.75" customHeight="1">
      <c r="A130" s="71"/>
      <c r="B130" s="71"/>
      <c r="C130" s="48" t="s">
        <v>32</v>
      </c>
      <c r="D130" s="54">
        <f>G118</f>
        <v>903</v>
      </c>
      <c r="E130" s="50">
        <v>118</v>
      </c>
      <c r="F130" s="51">
        <v>99</v>
      </c>
      <c r="G130" s="52">
        <f>IFERROR(D130+E130-F130,"")</f>
        <v>922</v>
      </c>
    </row>
    <row r="131" spans="1:7" ht="21.75" customHeight="1">
      <c r="A131" s="71"/>
      <c r="B131" s="71"/>
      <c r="C131" s="48" t="s">
        <v>34</v>
      </c>
      <c r="D131" s="54">
        <f>G119</f>
        <v>1588</v>
      </c>
      <c r="E131" s="50">
        <v>121</v>
      </c>
      <c r="F131" s="51">
        <v>88</v>
      </c>
      <c r="G131" s="52">
        <f>IFERROR(D131+E131-F131,"")</f>
        <v>1621</v>
      </c>
    </row>
    <row r="132" spans="1:7" ht="21.75" customHeight="1">
      <c r="A132" s="71"/>
      <c r="B132" s="71"/>
      <c r="C132" s="48" t="s">
        <v>25</v>
      </c>
      <c r="D132" s="54">
        <f>G120</f>
        <v>1023</v>
      </c>
      <c r="E132" s="50">
        <v>67</v>
      </c>
      <c r="F132" s="51">
        <v>57</v>
      </c>
      <c r="G132" s="52">
        <f>IFERROR(D132+E132-F132,"")</f>
        <v>1033</v>
      </c>
    </row>
    <row r="133" spans="1:7" ht="21.75" customHeight="1">
      <c r="A133" s="71"/>
      <c r="B133" s="71"/>
      <c r="C133" s="48" t="s">
        <v>35</v>
      </c>
      <c r="D133" s="54">
        <f>G121</f>
        <v>1156</v>
      </c>
      <c r="E133" s="50">
        <v>133</v>
      </c>
      <c r="F133" s="51">
        <v>112</v>
      </c>
      <c r="G133" s="52">
        <f>IFERROR(D133+E133-F133,"")</f>
        <v>1177</v>
      </c>
    </row>
    <row r="134" spans="1:7" ht="21.75" customHeight="1">
      <c r="A134" s="71"/>
      <c r="B134" s="71"/>
      <c r="C134" s="48" t="s">
        <v>29</v>
      </c>
      <c r="D134" s="54">
        <f>G122</f>
        <v>1213</v>
      </c>
      <c r="E134" s="50">
        <v>112</v>
      </c>
      <c r="F134" s="51">
        <v>88</v>
      </c>
      <c r="G134" s="52">
        <f>IFERROR(D134+E134-F134,"")</f>
        <v>1237</v>
      </c>
    </row>
    <row r="135" spans="1:7" ht="21.75" customHeight="1">
      <c r="A135" s="71"/>
      <c r="B135" s="71"/>
      <c r="C135" s="48" t="s">
        <v>31</v>
      </c>
      <c r="D135" s="54">
        <f>G123</f>
        <v>1403</v>
      </c>
      <c r="E135" s="50">
        <v>90</v>
      </c>
      <c r="F135" s="51">
        <v>58</v>
      </c>
      <c r="G135" s="52">
        <f>IFERROR(D135+E135-F135,"")</f>
        <v>1435</v>
      </c>
    </row>
    <row r="136" spans="1:7" ht="21.75" customHeight="1">
      <c r="A136" s="71"/>
      <c r="B136" s="71"/>
      <c r="C136" s="48" t="s">
        <v>33</v>
      </c>
      <c r="D136" s="54">
        <f>G124</f>
        <v>627</v>
      </c>
      <c r="E136" s="50">
        <v>70</v>
      </c>
      <c r="F136" s="51">
        <v>56</v>
      </c>
      <c r="G136" s="52">
        <f>IFERROR(D136+E136-F136,"")</f>
        <v>641</v>
      </c>
    </row>
    <row r="137" spans="1:7" ht="21.75" customHeight="1">
      <c r="A137" s="71"/>
      <c r="B137" s="71"/>
      <c r="C137" s="48" t="s">
        <v>36</v>
      </c>
      <c r="D137" s="54">
        <f>G125</f>
        <v>1877</v>
      </c>
      <c r="E137" s="50">
        <v>154</v>
      </c>
      <c r="F137" s="51">
        <v>120</v>
      </c>
      <c r="G137" s="52">
        <f>IFERROR(D137+E137-F137,"")</f>
        <v>1911</v>
      </c>
    </row>
    <row r="138" spans="1:7" ht="21.75" customHeight="1">
      <c r="A138" s="73" t="s">
        <v>103</v>
      </c>
      <c r="B138" s="73"/>
      <c r="C138" s="73"/>
      <c r="D138" s="53">
        <f>IFERROR(SUM(D127:D137),"")</f>
        <v>14020</v>
      </c>
      <c r="E138" s="53">
        <f>IFERROR(SUM(E127:E137),"")</f>
        <v>1174</v>
      </c>
      <c r="F138" s="53">
        <f>IFERROR(SUM(F127:F137),"")</f>
        <v>893</v>
      </c>
      <c r="G138" s="53">
        <f>IFERROR(SUM(G127:G137),"")</f>
        <v>14301</v>
      </c>
    </row>
    <row r="139" spans="1:7" ht="21.75" customHeight="1">
      <c r="A139" s="71">
        <v>46065</v>
      </c>
      <c r="B139" s="72" t="s">
        <v>45</v>
      </c>
      <c r="C139" s="48" t="s">
        <v>26</v>
      </c>
      <c r="D139" s="54">
        <f>G127</f>
        <v>1528</v>
      </c>
      <c r="E139" s="50">
        <v>96</v>
      </c>
      <c r="F139" s="51">
        <v>68</v>
      </c>
      <c r="G139" s="52">
        <f>IFERROR(D139+E139-F139,"")</f>
        <v>1556</v>
      </c>
    </row>
    <row r="140" spans="1:7" ht="21.75" customHeight="1">
      <c r="A140" s="71"/>
      <c r="B140" s="71"/>
      <c r="C140" s="48" t="s">
        <v>27</v>
      </c>
      <c r="D140" s="54">
        <f>G128</f>
        <v>1102</v>
      </c>
      <c r="E140" s="50">
        <v>84</v>
      </c>
      <c r="F140" s="51">
        <v>58</v>
      </c>
      <c r="G140" s="52">
        <f>IFERROR(D140+E140-F140,"")</f>
        <v>1128</v>
      </c>
    </row>
    <row r="141" spans="1:7" ht="21.75" customHeight="1">
      <c r="A141" s="71"/>
      <c r="B141" s="71"/>
      <c r="C141" s="48" t="s">
        <v>30</v>
      </c>
      <c r="D141" s="54">
        <f>G129</f>
        <v>1694</v>
      </c>
      <c r="E141" s="50">
        <v>98</v>
      </c>
      <c r="F141" s="51">
        <v>60</v>
      </c>
      <c r="G141" s="52">
        <f>IFERROR(D141+E141-F141,"")</f>
        <v>1732</v>
      </c>
    </row>
    <row r="142" spans="1:7" ht="21.75" customHeight="1">
      <c r="A142" s="71"/>
      <c r="B142" s="71"/>
      <c r="C142" s="48" t="s">
        <v>32</v>
      </c>
      <c r="D142" s="54">
        <f>G130</f>
        <v>922</v>
      </c>
      <c r="E142" s="50">
        <v>92</v>
      </c>
      <c r="F142" s="51">
        <v>86</v>
      </c>
      <c r="G142" s="52">
        <f>IFERROR(D142+E142-F142,"")</f>
        <v>928</v>
      </c>
    </row>
    <row r="143" spans="1:7" ht="21.75" customHeight="1">
      <c r="A143" s="71"/>
      <c r="B143" s="71"/>
      <c r="C143" s="48" t="s">
        <v>34</v>
      </c>
      <c r="D143" s="54">
        <f>G131</f>
        <v>1621</v>
      </c>
      <c r="E143" s="50">
        <v>164</v>
      </c>
      <c r="F143" s="51">
        <v>131</v>
      </c>
      <c r="G143" s="52">
        <f>IFERROR(D143+E143-F143,"")</f>
        <v>1654</v>
      </c>
    </row>
    <row r="144" spans="1:7" ht="21.75" customHeight="1">
      <c r="A144" s="71"/>
      <c r="B144" s="71"/>
      <c r="C144" s="48" t="s">
        <v>25</v>
      </c>
      <c r="D144" s="54">
        <f>G132</f>
        <v>1033</v>
      </c>
      <c r="E144" s="50">
        <v>84</v>
      </c>
      <c r="F144" s="51">
        <v>72</v>
      </c>
      <c r="G144" s="52">
        <f>IFERROR(D144+E144-F144,"")</f>
        <v>1045</v>
      </c>
    </row>
    <row r="145" spans="1:7" ht="21.75" customHeight="1">
      <c r="A145" s="71"/>
      <c r="B145" s="71"/>
      <c r="C145" s="48" t="s">
        <v>35</v>
      </c>
      <c r="D145" s="54">
        <f>G133</f>
        <v>1177</v>
      </c>
      <c r="E145" s="50">
        <v>112</v>
      </c>
      <c r="F145" s="51">
        <v>100</v>
      </c>
      <c r="G145" s="52">
        <f>IFERROR(D145+E145-F145,"")</f>
        <v>1189</v>
      </c>
    </row>
    <row r="146" spans="1:7" ht="21.75" customHeight="1">
      <c r="A146" s="71"/>
      <c r="B146" s="71"/>
      <c r="C146" s="48" t="s">
        <v>29</v>
      </c>
      <c r="D146" s="54">
        <f>G134</f>
        <v>1237</v>
      </c>
      <c r="E146" s="50">
        <v>124</v>
      </c>
      <c r="F146" s="51">
        <v>87</v>
      </c>
      <c r="G146" s="52">
        <f>IFERROR(D146+E146-F146,"")</f>
        <v>1274</v>
      </c>
    </row>
    <row r="147" spans="1:7" ht="21.75" customHeight="1">
      <c r="A147" s="71"/>
      <c r="B147" s="71"/>
      <c r="C147" s="48" t="s">
        <v>31</v>
      </c>
      <c r="D147" s="54">
        <f>G135</f>
        <v>1435</v>
      </c>
      <c r="E147" s="50">
        <v>126</v>
      </c>
      <c r="F147" s="51">
        <v>105</v>
      </c>
      <c r="G147" s="52">
        <f>IFERROR(D147+E147-F147,"")</f>
        <v>1456</v>
      </c>
    </row>
    <row r="148" spans="1:7" ht="21.75" customHeight="1">
      <c r="A148" s="71"/>
      <c r="B148" s="71"/>
      <c r="C148" s="48" t="s">
        <v>33</v>
      </c>
      <c r="D148" s="54">
        <f>G136</f>
        <v>641</v>
      </c>
      <c r="E148" s="50">
        <v>80</v>
      </c>
      <c r="F148" s="51">
        <v>68</v>
      </c>
      <c r="G148" s="52">
        <f>IFERROR(D148+E148-F148,"")</f>
        <v>653</v>
      </c>
    </row>
    <row r="149" spans="1:7" ht="21.75" customHeight="1">
      <c r="A149" s="71"/>
      <c r="B149" s="71"/>
      <c r="C149" s="48" t="s">
        <v>36</v>
      </c>
      <c r="D149" s="54">
        <f>G137</f>
        <v>1911</v>
      </c>
      <c r="E149" s="50">
        <v>161</v>
      </c>
      <c r="F149" s="51">
        <v>111</v>
      </c>
      <c r="G149" s="52">
        <f>IFERROR(D149+E149-F149,"")</f>
        <v>1961</v>
      </c>
    </row>
    <row r="150" spans="1:7" ht="21.75" customHeight="1">
      <c r="A150" s="73" t="s">
        <v>104</v>
      </c>
      <c r="B150" s="73"/>
      <c r="C150" s="73"/>
      <c r="D150" s="53">
        <f>IFERROR(SUM(D139:D149),"")</f>
        <v>14301</v>
      </c>
      <c r="E150" s="53">
        <f>IFERROR(SUM(E139:E149),"")</f>
        <v>1221</v>
      </c>
      <c r="F150" s="53">
        <f>IFERROR(SUM(F139:F149),"")</f>
        <v>946</v>
      </c>
      <c r="G150" s="53">
        <f>IFERROR(SUM(G139:G149),"")</f>
        <v>14576</v>
      </c>
    </row>
    <row r="151" spans="1:7" ht="21.75" customHeight="1">
      <c r="A151" s="71">
        <v>46066</v>
      </c>
      <c r="B151" s="72" t="s">
        <v>47</v>
      </c>
      <c r="C151" s="48" t="s">
        <v>26</v>
      </c>
      <c r="D151" s="54">
        <f>G139</f>
        <v>1556</v>
      </c>
      <c r="E151" s="50">
        <v>116</v>
      </c>
      <c r="F151" s="51">
        <v>79</v>
      </c>
      <c r="G151" s="52">
        <f>IFERROR(D151+E151-F151,"")</f>
        <v>1593</v>
      </c>
    </row>
    <row r="152" spans="1:7" ht="21.75" customHeight="1">
      <c r="A152" s="71"/>
      <c r="B152" s="71"/>
      <c r="C152" s="48" t="s">
        <v>27</v>
      </c>
      <c r="D152" s="54">
        <f>G140</f>
        <v>1128</v>
      </c>
      <c r="E152" s="50">
        <v>104</v>
      </c>
      <c r="F152" s="51">
        <v>84</v>
      </c>
      <c r="G152" s="52">
        <f>IFERROR(D152+E152-F152,"")</f>
        <v>1148</v>
      </c>
    </row>
    <row r="153" spans="1:7" ht="21.75" customHeight="1">
      <c r="A153" s="71"/>
      <c r="B153" s="71"/>
      <c r="C153" s="48" t="s">
        <v>30</v>
      </c>
      <c r="D153" s="54">
        <f>G141</f>
        <v>1732</v>
      </c>
      <c r="E153" s="50">
        <v>131</v>
      </c>
      <c r="F153" s="51">
        <v>82</v>
      </c>
      <c r="G153" s="52">
        <f>IFERROR(D153+E153-F153,"")</f>
        <v>1781</v>
      </c>
    </row>
    <row r="154" spans="1:7" ht="21.75" customHeight="1">
      <c r="A154" s="71"/>
      <c r="B154" s="71"/>
      <c r="C154" s="48" t="s">
        <v>32</v>
      </c>
      <c r="D154" s="54">
        <f>G142</f>
        <v>928</v>
      </c>
      <c r="E154" s="50">
        <v>75</v>
      </c>
      <c r="F154" s="51">
        <v>60</v>
      </c>
      <c r="G154" s="52">
        <f>IFERROR(D154+E154-F154,"")</f>
        <v>943</v>
      </c>
    </row>
    <row r="155" spans="1:7" ht="21.75" customHeight="1">
      <c r="A155" s="71"/>
      <c r="B155" s="71"/>
      <c r="C155" s="48" t="s">
        <v>34</v>
      </c>
      <c r="D155" s="54">
        <f>G143</f>
        <v>1654</v>
      </c>
      <c r="E155" s="50">
        <v>109</v>
      </c>
      <c r="F155" s="51">
        <v>78</v>
      </c>
      <c r="G155" s="52">
        <f>IFERROR(D155+E155-F155,"")</f>
        <v>1685</v>
      </c>
    </row>
    <row r="156" spans="1:7" ht="21.75" customHeight="1">
      <c r="A156" s="71"/>
      <c r="B156" s="71"/>
      <c r="C156" s="48" t="s">
        <v>25</v>
      </c>
      <c r="D156" s="54">
        <f>G144</f>
        <v>1045</v>
      </c>
      <c r="E156" s="50">
        <v>90</v>
      </c>
      <c r="F156" s="51">
        <v>68</v>
      </c>
      <c r="G156" s="52">
        <f>IFERROR(D156+E156-F156,"")</f>
        <v>1067</v>
      </c>
    </row>
    <row r="157" spans="1:7" ht="21.75" customHeight="1">
      <c r="A157" s="71"/>
      <c r="B157" s="71"/>
      <c r="C157" s="48" t="s">
        <v>35</v>
      </c>
      <c r="D157" s="54">
        <f>G145</f>
        <v>1189</v>
      </c>
      <c r="E157" s="50">
        <v>121</v>
      </c>
      <c r="F157" s="51">
        <v>90</v>
      </c>
      <c r="G157" s="52">
        <f>IFERROR(D157+E157-F157,"")</f>
        <v>1220</v>
      </c>
    </row>
    <row r="158" spans="1:7" ht="21.75" customHeight="1">
      <c r="A158" s="71"/>
      <c r="B158" s="71"/>
      <c r="C158" s="48" t="s">
        <v>29</v>
      </c>
      <c r="D158" s="54">
        <f>G146</f>
        <v>1274</v>
      </c>
      <c r="E158" s="50">
        <v>104</v>
      </c>
      <c r="F158" s="51">
        <v>82</v>
      </c>
      <c r="G158" s="52">
        <f>IFERROR(D158+E158-F158,"")</f>
        <v>1296</v>
      </c>
    </row>
    <row r="159" spans="1:7" ht="21.75" customHeight="1">
      <c r="A159" s="71"/>
      <c r="B159" s="71"/>
      <c r="C159" s="48" t="s">
        <v>31</v>
      </c>
      <c r="D159" s="54">
        <f>G147</f>
        <v>1456</v>
      </c>
      <c r="E159" s="50">
        <v>92</v>
      </c>
      <c r="F159" s="51">
        <v>58</v>
      </c>
      <c r="G159" s="52">
        <f>IFERROR(D159+E159-F159,"")</f>
        <v>1490</v>
      </c>
    </row>
    <row r="160" spans="1:7" ht="21.75" customHeight="1">
      <c r="A160" s="71"/>
      <c r="B160" s="71"/>
      <c r="C160" s="48" t="s">
        <v>33</v>
      </c>
      <c r="D160" s="54">
        <f>G148</f>
        <v>653</v>
      </c>
      <c r="E160" s="50">
        <v>78</v>
      </c>
      <c r="F160" s="51">
        <v>61</v>
      </c>
      <c r="G160" s="52">
        <f>IFERROR(D160+E160-F160,"")</f>
        <v>670</v>
      </c>
    </row>
    <row r="161" spans="1:7" ht="21.75" customHeight="1">
      <c r="A161" s="71"/>
      <c r="B161" s="71"/>
      <c r="C161" s="48" t="s">
        <v>36</v>
      </c>
      <c r="D161" s="54">
        <f>G149</f>
        <v>1961</v>
      </c>
      <c r="E161" s="50">
        <v>145</v>
      </c>
      <c r="F161" s="51">
        <v>111</v>
      </c>
      <c r="G161" s="52">
        <f>IFERROR(D161+E161-F161,"")</f>
        <v>1995</v>
      </c>
    </row>
    <row r="162" spans="1:7" ht="21.75" customHeight="1">
      <c r="A162" s="73" t="s">
        <v>105</v>
      </c>
      <c r="B162" s="73"/>
      <c r="C162" s="73"/>
      <c r="D162" s="53">
        <f>IFERROR(SUM(D151:D161),"")</f>
        <v>14576</v>
      </c>
      <c r="E162" s="53">
        <f>IFERROR(SUM(E151:E161),"")</f>
        <v>1165</v>
      </c>
      <c r="F162" s="53">
        <f>IFERROR(SUM(F151:F161),"")</f>
        <v>853</v>
      </c>
      <c r="G162" s="53">
        <f>IFERROR(SUM(G151:G161),"")</f>
        <v>14888</v>
      </c>
    </row>
    <row r="163" spans="1:7" ht="21.75" customHeight="1">
      <c r="A163" s="74">
        <v>46067</v>
      </c>
      <c r="B163" s="75" t="s">
        <v>48</v>
      </c>
      <c r="C163" s="48" t="s">
        <v>26</v>
      </c>
      <c r="D163" s="54">
        <f>G151</f>
        <v>1593</v>
      </c>
      <c r="E163" s="50">
        <v>58</v>
      </c>
      <c r="F163" s="51">
        <v>40</v>
      </c>
      <c r="G163" s="52">
        <f>IFERROR(D163+E163-F163,"")</f>
        <v>1611</v>
      </c>
    </row>
    <row r="164" spans="1:7" ht="21.75" customHeight="1">
      <c r="A164" s="74"/>
      <c r="B164" s="74"/>
      <c r="C164" s="48" t="s">
        <v>27</v>
      </c>
      <c r="D164" s="54">
        <f>G152</f>
        <v>1148</v>
      </c>
      <c r="E164" s="50">
        <v>56</v>
      </c>
      <c r="F164" s="51">
        <v>48</v>
      </c>
      <c r="G164" s="52">
        <f>IFERROR(D164+E164-F164,"")</f>
        <v>1156</v>
      </c>
    </row>
    <row r="165" spans="1:7" ht="21.75" customHeight="1">
      <c r="A165" s="74"/>
      <c r="B165" s="74"/>
      <c r="C165" s="48" t="s">
        <v>30</v>
      </c>
      <c r="D165" s="54">
        <f>G153</f>
        <v>1781</v>
      </c>
      <c r="E165" s="50">
        <v>76</v>
      </c>
      <c r="F165" s="51">
        <v>54</v>
      </c>
      <c r="G165" s="52">
        <f>IFERROR(D165+E165-F165,"")</f>
        <v>1803</v>
      </c>
    </row>
    <row r="166" spans="1:7" ht="21.75" customHeight="1">
      <c r="A166" s="74"/>
      <c r="B166" s="74"/>
      <c r="C166" s="48" t="s">
        <v>32</v>
      </c>
      <c r="D166" s="54">
        <f>G154</f>
        <v>943</v>
      </c>
      <c r="E166" s="50">
        <v>36</v>
      </c>
      <c r="F166" s="51">
        <v>32</v>
      </c>
      <c r="G166" s="52">
        <f>IFERROR(D166+E166-F166,"")</f>
        <v>947</v>
      </c>
    </row>
    <row r="167" spans="1:7" ht="21.75" customHeight="1">
      <c r="A167" s="74"/>
      <c r="B167" s="74"/>
      <c r="C167" s="48" t="s">
        <v>34</v>
      </c>
      <c r="D167" s="54">
        <f>G155</f>
        <v>1685</v>
      </c>
      <c r="E167" s="50">
        <v>58</v>
      </c>
      <c r="F167" s="51">
        <v>42</v>
      </c>
      <c r="G167" s="52">
        <f>IFERROR(D167+E167-F167,"")</f>
        <v>1701</v>
      </c>
    </row>
    <row r="168" spans="1:7" ht="21.75" customHeight="1">
      <c r="A168" s="74"/>
      <c r="B168" s="74"/>
      <c r="C168" s="48" t="s">
        <v>25</v>
      </c>
      <c r="D168" s="54">
        <f>G156</f>
        <v>1067</v>
      </c>
      <c r="E168" s="50">
        <v>36</v>
      </c>
      <c r="F168" s="51">
        <v>31</v>
      </c>
      <c r="G168" s="52">
        <f>IFERROR(D168+E168-F168,"")</f>
        <v>1072</v>
      </c>
    </row>
    <row r="169" spans="1:7" ht="21.75" customHeight="1">
      <c r="A169" s="74"/>
      <c r="B169" s="74"/>
      <c r="C169" s="48" t="s">
        <v>35</v>
      </c>
      <c r="D169" s="54">
        <f>G157</f>
        <v>1220</v>
      </c>
      <c r="E169" s="50">
        <v>53</v>
      </c>
      <c r="F169" s="51">
        <v>46</v>
      </c>
      <c r="G169" s="52">
        <f>IFERROR(D169+E169-F169,"")</f>
        <v>1227</v>
      </c>
    </row>
    <row r="170" spans="1:7" ht="21.75" customHeight="1">
      <c r="A170" s="74"/>
      <c r="B170" s="74"/>
      <c r="C170" s="48" t="s">
        <v>29</v>
      </c>
      <c r="D170" s="54">
        <f>G158</f>
        <v>1296</v>
      </c>
      <c r="E170" s="50">
        <v>49</v>
      </c>
      <c r="F170" s="51">
        <v>34</v>
      </c>
      <c r="G170" s="52">
        <f>IFERROR(D170+E170-F170,"")</f>
        <v>1311</v>
      </c>
    </row>
    <row r="171" spans="1:7" ht="21.75" customHeight="1">
      <c r="A171" s="74"/>
      <c r="B171" s="74"/>
      <c r="C171" s="48" t="s">
        <v>31</v>
      </c>
      <c r="D171" s="54">
        <f>G159</f>
        <v>1490</v>
      </c>
      <c r="E171" s="50">
        <v>63</v>
      </c>
      <c r="F171" s="51">
        <v>47</v>
      </c>
      <c r="G171" s="52">
        <f>IFERROR(D171+E171-F171,"")</f>
        <v>1506</v>
      </c>
    </row>
    <row r="172" spans="1:7" ht="21.75" customHeight="1">
      <c r="A172" s="74"/>
      <c r="B172" s="74"/>
      <c r="C172" s="48" t="s">
        <v>33</v>
      </c>
      <c r="D172" s="54">
        <f>G160</f>
        <v>670</v>
      </c>
      <c r="E172" s="50">
        <v>38</v>
      </c>
      <c r="F172" s="51">
        <v>30</v>
      </c>
      <c r="G172" s="52">
        <f>IFERROR(D172+E172-F172,"")</f>
        <v>678</v>
      </c>
    </row>
    <row r="173" spans="1:7" ht="21.75" customHeight="1">
      <c r="A173" s="74"/>
      <c r="B173" s="74"/>
      <c r="C173" s="48" t="s">
        <v>36</v>
      </c>
      <c r="D173" s="54">
        <f>G161</f>
        <v>1995</v>
      </c>
      <c r="E173" s="50">
        <v>79</v>
      </c>
      <c r="F173" s="51">
        <v>52</v>
      </c>
      <c r="G173" s="52">
        <f>IFERROR(D173+E173-F173,"")</f>
        <v>2022</v>
      </c>
    </row>
    <row r="174" spans="1:7" ht="21.75" customHeight="1">
      <c r="A174" s="73" t="s">
        <v>106</v>
      </c>
      <c r="B174" s="73"/>
      <c r="C174" s="73"/>
      <c r="D174" s="53">
        <f>IFERROR(SUM(D163:D173),"")</f>
        <v>14888</v>
      </c>
      <c r="E174" s="53">
        <f>IFERROR(SUM(E163:E173),"")</f>
        <v>602</v>
      </c>
      <c r="F174" s="53">
        <f>IFERROR(SUM(F163:F173),"")</f>
        <v>456</v>
      </c>
      <c r="G174" s="53">
        <f>IFERROR(SUM(G163:G173),"")</f>
        <v>15034</v>
      </c>
    </row>
    <row r="175" spans="1:7" ht="21.75" customHeight="1">
      <c r="A175" s="74">
        <v>46068</v>
      </c>
      <c r="B175" s="75" t="s">
        <v>50</v>
      </c>
      <c r="C175" s="48" t="s">
        <v>26</v>
      </c>
      <c r="D175" s="54">
        <f>G163</f>
        <v>1611</v>
      </c>
      <c r="E175" s="50">
        <v>45</v>
      </c>
      <c r="F175" s="51">
        <v>32</v>
      </c>
      <c r="G175" s="52">
        <f>IFERROR(D175+E175-F175,"")</f>
        <v>1624</v>
      </c>
    </row>
    <row r="176" spans="1:7" ht="21.75" customHeight="1">
      <c r="A176" s="74"/>
      <c r="B176" s="74"/>
      <c r="C176" s="48" t="s">
        <v>27</v>
      </c>
      <c r="D176" s="54">
        <f>G164</f>
        <v>1156</v>
      </c>
      <c r="E176" s="50">
        <v>49</v>
      </c>
      <c r="F176" s="51">
        <v>34</v>
      </c>
      <c r="G176" s="52">
        <f>IFERROR(D176+E176-F176,"")</f>
        <v>1171</v>
      </c>
    </row>
    <row r="177" spans="1:7" ht="21.75" customHeight="1">
      <c r="A177" s="74"/>
      <c r="B177" s="74"/>
      <c r="C177" s="48" t="s">
        <v>30</v>
      </c>
      <c r="D177" s="54">
        <f>G165</f>
        <v>1803</v>
      </c>
      <c r="E177" s="50">
        <v>49</v>
      </c>
      <c r="F177" s="51">
        <v>39</v>
      </c>
      <c r="G177" s="52">
        <f>IFERROR(D177+E177-F177,"")</f>
        <v>1813</v>
      </c>
    </row>
    <row r="178" spans="1:7" ht="21.75" customHeight="1">
      <c r="A178" s="74"/>
      <c r="B178" s="74"/>
      <c r="C178" s="48" t="s">
        <v>32</v>
      </c>
      <c r="D178" s="54">
        <f>G166</f>
        <v>947</v>
      </c>
      <c r="E178" s="50">
        <v>38</v>
      </c>
      <c r="F178" s="51">
        <v>30</v>
      </c>
      <c r="G178" s="52">
        <f>IFERROR(D178+E178-F178,"")</f>
        <v>955</v>
      </c>
    </row>
    <row r="179" spans="1:7" ht="21.75" customHeight="1">
      <c r="A179" s="74"/>
      <c r="B179" s="74"/>
      <c r="C179" s="48" t="s">
        <v>34</v>
      </c>
      <c r="D179" s="54">
        <f>G167</f>
        <v>1701</v>
      </c>
      <c r="E179" s="50">
        <v>79</v>
      </c>
      <c r="F179" s="51">
        <v>52</v>
      </c>
      <c r="G179" s="52">
        <f>IFERROR(D179+E179-F179,"")</f>
        <v>1728</v>
      </c>
    </row>
    <row r="180" spans="1:7" ht="21.75" customHeight="1">
      <c r="A180" s="74"/>
      <c r="B180" s="74"/>
      <c r="C180" s="48" t="s">
        <v>25</v>
      </c>
      <c r="D180" s="54">
        <f>G168</f>
        <v>1072</v>
      </c>
      <c r="E180" s="50">
        <v>36</v>
      </c>
      <c r="F180" s="51">
        <v>27</v>
      </c>
      <c r="G180" s="52">
        <f>IFERROR(D180+E180-F180,"")</f>
        <v>1081</v>
      </c>
    </row>
    <row r="181" spans="1:7" ht="21.75" customHeight="1">
      <c r="A181" s="74"/>
      <c r="B181" s="74"/>
      <c r="C181" s="48" t="s">
        <v>35</v>
      </c>
      <c r="D181" s="54">
        <f>G169</f>
        <v>1227</v>
      </c>
      <c r="E181" s="50">
        <v>57</v>
      </c>
      <c r="F181" s="51">
        <v>43</v>
      </c>
      <c r="G181" s="52">
        <f>IFERROR(D181+E181-F181,"")</f>
        <v>1241</v>
      </c>
    </row>
    <row r="182" spans="1:7" ht="21.75" customHeight="1">
      <c r="A182" s="74"/>
      <c r="B182" s="74"/>
      <c r="C182" s="48" t="s">
        <v>29</v>
      </c>
      <c r="D182" s="54">
        <f>G170</f>
        <v>1311</v>
      </c>
      <c r="E182" s="50">
        <v>58</v>
      </c>
      <c r="F182" s="51">
        <v>44</v>
      </c>
      <c r="G182" s="52">
        <f>IFERROR(D182+E182-F182,"")</f>
        <v>1325</v>
      </c>
    </row>
    <row r="183" spans="1:7" ht="21.75" customHeight="1">
      <c r="A183" s="74"/>
      <c r="B183" s="74"/>
      <c r="C183" s="48" t="s">
        <v>31</v>
      </c>
      <c r="D183" s="54">
        <f>G171</f>
        <v>1506</v>
      </c>
      <c r="E183" s="50">
        <v>58</v>
      </c>
      <c r="F183" s="51">
        <v>48</v>
      </c>
      <c r="G183" s="52">
        <f>IFERROR(D183+E183-F183,"")</f>
        <v>1516</v>
      </c>
    </row>
    <row r="184" spans="1:7" ht="21.75" customHeight="1">
      <c r="A184" s="74"/>
      <c r="B184" s="74"/>
      <c r="C184" s="48" t="s">
        <v>33</v>
      </c>
      <c r="D184" s="54">
        <f>G172</f>
        <v>678</v>
      </c>
      <c r="E184" s="50">
        <v>28</v>
      </c>
      <c r="F184" s="51">
        <v>21</v>
      </c>
      <c r="G184" s="52">
        <f>IFERROR(D184+E184-F184,"")</f>
        <v>685</v>
      </c>
    </row>
    <row r="185" spans="1:7" ht="21.75" customHeight="1">
      <c r="A185" s="74"/>
      <c r="B185" s="74"/>
      <c r="C185" s="48" t="s">
        <v>36</v>
      </c>
      <c r="D185" s="54">
        <f>G173</f>
        <v>2022</v>
      </c>
      <c r="E185" s="50">
        <v>42</v>
      </c>
      <c r="F185" s="51">
        <v>34</v>
      </c>
      <c r="G185" s="52">
        <f>IFERROR(D185+E185-F185,"")</f>
        <v>2030</v>
      </c>
    </row>
    <row r="186" spans="1:7" ht="21.75" customHeight="1">
      <c r="A186" s="73" t="s">
        <v>107</v>
      </c>
      <c r="B186" s="73"/>
      <c r="C186" s="73"/>
      <c r="D186" s="53">
        <f>IFERROR(SUM(D175:D185),"")</f>
        <v>15034</v>
      </c>
      <c r="E186" s="53">
        <f>IFERROR(SUM(E175:E185),"")</f>
        <v>539</v>
      </c>
      <c r="F186" s="53">
        <f>IFERROR(SUM(F175:F185),"")</f>
        <v>404</v>
      </c>
      <c r="G186" s="53">
        <f>IFERROR(SUM(G175:G185),"")</f>
        <v>15169</v>
      </c>
    </row>
    <row r="187" spans="1:7" ht="21.75" customHeight="1">
      <c r="A187" s="71">
        <v>46069</v>
      </c>
      <c r="B187" s="72" t="s">
        <v>51</v>
      </c>
      <c r="C187" s="48" t="s">
        <v>26</v>
      </c>
      <c r="D187" s="54">
        <f>G175</f>
        <v>1624</v>
      </c>
      <c r="E187" s="50">
        <v>123</v>
      </c>
      <c r="F187" s="51">
        <v>85</v>
      </c>
      <c r="G187" s="52">
        <f>IFERROR(D187+E187-F187,"")</f>
        <v>1662</v>
      </c>
    </row>
    <row r="188" spans="1:7" ht="21.75" customHeight="1">
      <c r="A188" s="71"/>
      <c r="B188" s="71"/>
      <c r="C188" s="48" t="s">
        <v>27</v>
      </c>
      <c r="D188" s="54">
        <f>G176</f>
        <v>1171</v>
      </c>
      <c r="E188" s="50">
        <v>113</v>
      </c>
      <c r="F188" s="51">
        <v>91</v>
      </c>
      <c r="G188" s="52">
        <f>IFERROR(D188+E188-F188,"")</f>
        <v>1193</v>
      </c>
    </row>
    <row r="189" spans="1:7" ht="21.75" customHeight="1">
      <c r="A189" s="71"/>
      <c r="B189" s="71"/>
      <c r="C189" s="48" t="s">
        <v>30</v>
      </c>
      <c r="D189" s="54">
        <f>G177</f>
        <v>1813</v>
      </c>
      <c r="E189" s="50">
        <v>140</v>
      </c>
      <c r="F189" s="51">
        <v>101</v>
      </c>
      <c r="G189" s="52">
        <f>IFERROR(D189+E189-F189,"")</f>
        <v>1852</v>
      </c>
    </row>
    <row r="190" spans="1:7" ht="21.75" customHeight="1">
      <c r="A190" s="71"/>
      <c r="B190" s="71"/>
      <c r="C190" s="48" t="s">
        <v>32</v>
      </c>
      <c r="D190" s="54">
        <f>G178</f>
        <v>955</v>
      </c>
      <c r="E190" s="50">
        <v>118</v>
      </c>
      <c r="F190" s="51">
        <v>90</v>
      </c>
      <c r="G190" s="52">
        <f>IFERROR(D190+E190-F190,"")</f>
        <v>983</v>
      </c>
    </row>
    <row r="191" spans="1:7" ht="21.75" customHeight="1">
      <c r="A191" s="71"/>
      <c r="B191" s="71"/>
      <c r="C191" s="48" t="s">
        <v>34</v>
      </c>
      <c r="D191" s="54">
        <f>G179</f>
        <v>1728</v>
      </c>
      <c r="E191" s="50">
        <v>168</v>
      </c>
      <c r="F191" s="51">
        <v>123</v>
      </c>
      <c r="G191" s="52">
        <f>IFERROR(D191+E191-F191,"")</f>
        <v>1773</v>
      </c>
    </row>
    <row r="192" spans="1:7" ht="21.75" customHeight="1">
      <c r="A192" s="71"/>
      <c r="B192" s="71"/>
      <c r="C192" s="48" t="s">
        <v>25</v>
      </c>
      <c r="D192" s="54">
        <f>G180</f>
        <v>1081</v>
      </c>
      <c r="E192" s="50">
        <v>91</v>
      </c>
      <c r="F192" s="51">
        <v>73</v>
      </c>
      <c r="G192" s="52">
        <f>IFERROR(D192+E192-F192,"")</f>
        <v>1099</v>
      </c>
    </row>
    <row r="193" spans="1:7" ht="21.75" customHeight="1">
      <c r="A193" s="71"/>
      <c r="B193" s="71"/>
      <c r="C193" s="48" t="s">
        <v>35</v>
      </c>
      <c r="D193" s="54">
        <f>G181</f>
        <v>1241</v>
      </c>
      <c r="E193" s="50">
        <v>98</v>
      </c>
      <c r="F193" s="51">
        <v>88</v>
      </c>
      <c r="G193" s="52">
        <f>IFERROR(D193+E193-F193,"")</f>
        <v>1251</v>
      </c>
    </row>
    <row r="194" spans="1:7" ht="21.75" customHeight="1">
      <c r="A194" s="71"/>
      <c r="B194" s="71"/>
      <c r="C194" s="48" t="s">
        <v>29</v>
      </c>
      <c r="D194" s="54">
        <f>G182</f>
        <v>1325</v>
      </c>
      <c r="E194" s="50">
        <v>92</v>
      </c>
      <c r="F194" s="51">
        <v>65</v>
      </c>
      <c r="G194" s="52">
        <f>IFERROR(D194+E194-F194,"")</f>
        <v>1352</v>
      </c>
    </row>
    <row r="195" spans="1:7" ht="21.75" customHeight="1">
      <c r="A195" s="71"/>
      <c r="B195" s="71"/>
      <c r="C195" s="48" t="s">
        <v>31</v>
      </c>
      <c r="D195" s="54">
        <f>G183</f>
        <v>1516</v>
      </c>
      <c r="E195" s="50">
        <v>126</v>
      </c>
      <c r="F195" s="51">
        <v>87</v>
      </c>
      <c r="G195" s="52">
        <f>IFERROR(D195+E195-F195,"")</f>
        <v>1555</v>
      </c>
    </row>
    <row r="196" spans="1:7" ht="21.75" customHeight="1">
      <c r="A196" s="71"/>
      <c r="B196" s="71"/>
      <c r="C196" s="48" t="s">
        <v>33</v>
      </c>
      <c r="D196" s="54">
        <f>G184</f>
        <v>685</v>
      </c>
      <c r="E196" s="50">
        <v>77</v>
      </c>
      <c r="F196" s="51">
        <v>61</v>
      </c>
      <c r="G196" s="52">
        <f>IFERROR(D196+E196-F196,"")</f>
        <v>701</v>
      </c>
    </row>
    <row r="197" spans="1:7" ht="21.75" customHeight="1">
      <c r="A197" s="71"/>
      <c r="B197" s="71"/>
      <c r="C197" s="48" t="s">
        <v>36</v>
      </c>
      <c r="D197" s="54">
        <f>G185</f>
        <v>2030</v>
      </c>
      <c r="E197" s="50">
        <v>118</v>
      </c>
      <c r="F197" s="51">
        <v>95</v>
      </c>
      <c r="G197" s="52">
        <f>IFERROR(D197+E197-F197,"")</f>
        <v>2053</v>
      </c>
    </row>
    <row r="198" spans="1:7" ht="21.75" customHeight="1">
      <c r="A198" s="73" t="s">
        <v>108</v>
      </c>
      <c r="B198" s="73"/>
      <c r="C198" s="73"/>
      <c r="D198" s="53">
        <f>IFERROR(SUM(D187:D197),"")</f>
        <v>15169</v>
      </c>
      <c r="E198" s="53">
        <f>IFERROR(SUM(E187:E197),"")</f>
        <v>1264</v>
      </c>
      <c r="F198" s="53">
        <f>IFERROR(SUM(F187:F197),"")</f>
        <v>959</v>
      </c>
      <c r="G198" s="53">
        <f>IFERROR(SUM(G187:G197),"")</f>
        <v>15474</v>
      </c>
    </row>
    <row r="199" spans="1:7" ht="21.75" customHeight="1">
      <c r="A199" s="71">
        <v>46070</v>
      </c>
      <c r="B199" s="72" t="s">
        <v>52</v>
      </c>
      <c r="C199" s="48" t="s">
        <v>26</v>
      </c>
      <c r="D199" s="54">
        <f>G187</f>
        <v>1662</v>
      </c>
      <c r="E199" s="50">
        <v>82</v>
      </c>
      <c r="F199" s="51">
        <v>54</v>
      </c>
      <c r="G199" s="52">
        <f>IFERROR(D199+E199-F199,"")</f>
        <v>1690</v>
      </c>
    </row>
    <row r="200" spans="1:7" ht="21.75" customHeight="1">
      <c r="A200" s="71"/>
      <c r="B200" s="71"/>
      <c r="C200" s="48" t="s">
        <v>27</v>
      </c>
      <c r="D200" s="54">
        <f>G188</f>
        <v>1193</v>
      </c>
      <c r="E200" s="50">
        <v>95</v>
      </c>
      <c r="F200" s="51">
        <v>68</v>
      </c>
      <c r="G200" s="52">
        <f>IFERROR(D200+E200-F200,"")</f>
        <v>1220</v>
      </c>
    </row>
    <row r="201" spans="1:7" ht="21.75" customHeight="1">
      <c r="A201" s="71"/>
      <c r="B201" s="71"/>
      <c r="C201" s="48" t="s">
        <v>30</v>
      </c>
      <c r="D201" s="54">
        <f>G189</f>
        <v>1852</v>
      </c>
      <c r="E201" s="50">
        <v>110</v>
      </c>
      <c r="F201" s="51">
        <v>69</v>
      </c>
      <c r="G201" s="52">
        <f>IFERROR(D201+E201-F201,"")</f>
        <v>1893</v>
      </c>
    </row>
    <row r="202" spans="1:7" ht="21.75" customHeight="1">
      <c r="A202" s="71"/>
      <c r="B202" s="71"/>
      <c r="C202" s="48" t="s">
        <v>32</v>
      </c>
      <c r="D202" s="54">
        <f>G190</f>
        <v>983</v>
      </c>
      <c r="E202" s="50">
        <v>68</v>
      </c>
      <c r="F202" s="51">
        <v>56</v>
      </c>
      <c r="G202" s="52">
        <f>IFERROR(D202+E202-F202,"")</f>
        <v>995</v>
      </c>
    </row>
    <row r="203" spans="1:7" ht="21.75" customHeight="1">
      <c r="A203" s="71"/>
      <c r="B203" s="71"/>
      <c r="C203" s="48" t="s">
        <v>34</v>
      </c>
      <c r="D203" s="54">
        <f>G191</f>
        <v>1773</v>
      </c>
      <c r="E203" s="50">
        <v>124</v>
      </c>
      <c r="F203" s="51">
        <v>84</v>
      </c>
      <c r="G203" s="52">
        <f>IFERROR(D203+E203-F203,"")</f>
        <v>1813</v>
      </c>
    </row>
    <row r="204" spans="1:7" ht="21.75" customHeight="1">
      <c r="A204" s="71"/>
      <c r="B204" s="71"/>
      <c r="C204" s="48" t="s">
        <v>25</v>
      </c>
      <c r="D204" s="54">
        <f>G192</f>
        <v>1099</v>
      </c>
      <c r="E204" s="50">
        <v>65</v>
      </c>
      <c r="F204" s="51">
        <v>47</v>
      </c>
      <c r="G204" s="52">
        <f>IFERROR(D204+E204-F204,"")</f>
        <v>1117</v>
      </c>
    </row>
    <row r="205" spans="1:7" ht="21.75" customHeight="1">
      <c r="A205" s="71"/>
      <c r="B205" s="71"/>
      <c r="C205" s="48" t="s">
        <v>35</v>
      </c>
      <c r="D205" s="54">
        <f>G193</f>
        <v>1251</v>
      </c>
      <c r="E205" s="50">
        <v>106</v>
      </c>
      <c r="F205" s="51">
        <v>90</v>
      </c>
      <c r="G205" s="52">
        <f>IFERROR(D205+E205-F205,"")</f>
        <v>1267</v>
      </c>
    </row>
    <row r="206" spans="1:7" ht="21.75" customHeight="1">
      <c r="A206" s="71"/>
      <c r="B206" s="71"/>
      <c r="C206" s="48" t="s">
        <v>29</v>
      </c>
      <c r="D206" s="54">
        <f>G194</f>
        <v>1352</v>
      </c>
      <c r="E206" s="50">
        <v>66</v>
      </c>
      <c r="F206" s="51">
        <v>43</v>
      </c>
      <c r="G206" s="52">
        <f>IFERROR(D206+E206-F206,"")</f>
        <v>1375</v>
      </c>
    </row>
    <row r="207" spans="1:7" ht="21.75" customHeight="1">
      <c r="A207" s="71"/>
      <c r="B207" s="71"/>
      <c r="C207" s="48" t="s">
        <v>31</v>
      </c>
      <c r="D207" s="54">
        <f>G195</f>
        <v>1555</v>
      </c>
      <c r="E207" s="50">
        <v>93</v>
      </c>
      <c r="F207" s="51">
        <v>75</v>
      </c>
      <c r="G207" s="52">
        <f>IFERROR(D207+E207-F207,"")</f>
        <v>1573</v>
      </c>
    </row>
    <row r="208" spans="1:7" ht="21.75" customHeight="1">
      <c r="A208" s="71"/>
      <c r="B208" s="71"/>
      <c r="C208" s="48" t="s">
        <v>33</v>
      </c>
      <c r="D208" s="54">
        <f>G196</f>
        <v>701</v>
      </c>
      <c r="E208" s="50">
        <v>68</v>
      </c>
      <c r="F208" s="51">
        <v>60</v>
      </c>
      <c r="G208" s="52">
        <f>IFERROR(D208+E208-F208,"")</f>
        <v>709</v>
      </c>
    </row>
    <row r="209" spans="1:7" ht="21.75" customHeight="1">
      <c r="A209" s="71"/>
      <c r="B209" s="71"/>
      <c r="C209" s="48" t="s">
        <v>36</v>
      </c>
      <c r="D209" s="54">
        <f>G197</f>
        <v>2053</v>
      </c>
      <c r="E209" s="50">
        <v>137</v>
      </c>
      <c r="F209" s="51">
        <v>100</v>
      </c>
      <c r="G209" s="52">
        <f>IFERROR(D209+E209-F209,"")</f>
        <v>2090</v>
      </c>
    </row>
    <row r="210" spans="1:7" ht="21.75" customHeight="1">
      <c r="A210" s="73" t="s">
        <v>109</v>
      </c>
      <c r="B210" s="73"/>
      <c r="C210" s="73"/>
      <c r="D210" s="53">
        <f>IFERROR(SUM(D199:D209),"")</f>
        <v>15474</v>
      </c>
      <c r="E210" s="53">
        <f>IFERROR(SUM(E199:E209),"")</f>
        <v>1014</v>
      </c>
      <c r="F210" s="53">
        <f>IFERROR(SUM(F199:F209),"")</f>
        <v>746</v>
      </c>
      <c r="G210" s="53">
        <f>IFERROR(SUM(G199:G209),"")</f>
        <v>15742</v>
      </c>
    </row>
    <row r="211" spans="1:7" ht="21.75" customHeight="1">
      <c r="A211" s="71">
        <v>46071</v>
      </c>
      <c r="B211" s="72" t="s">
        <v>53</v>
      </c>
      <c r="C211" s="48" t="s">
        <v>26</v>
      </c>
      <c r="D211" s="54">
        <f>G199</f>
        <v>1690</v>
      </c>
      <c r="E211" s="50">
        <v>134</v>
      </c>
      <c r="F211" s="51">
        <v>90</v>
      </c>
      <c r="G211" s="52">
        <f>IFERROR(D211+E211-F211,"")</f>
        <v>1734</v>
      </c>
    </row>
    <row r="212" spans="1:7" ht="21.75" customHeight="1">
      <c r="A212" s="71"/>
      <c r="B212" s="71"/>
      <c r="C212" s="48" t="s">
        <v>27</v>
      </c>
      <c r="D212" s="54">
        <f>G200</f>
        <v>1220</v>
      </c>
      <c r="E212" s="50">
        <v>99</v>
      </c>
      <c r="F212" s="51">
        <v>71</v>
      </c>
      <c r="G212" s="52">
        <f>IFERROR(D212+E212-F212,"")</f>
        <v>1248</v>
      </c>
    </row>
    <row r="213" spans="1:7" ht="21.75" customHeight="1">
      <c r="A213" s="71"/>
      <c r="B213" s="71"/>
      <c r="C213" s="48" t="s">
        <v>30</v>
      </c>
      <c r="D213" s="54">
        <f>G201</f>
        <v>1893</v>
      </c>
      <c r="E213" s="50">
        <v>134</v>
      </c>
      <c r="F213" s="51">
        <v>107</v>
      </c>
      <c r="G213" s="52">
        <f>IFERROR(D213+E213-F213,"")</f>
        <v>1920</v>
      </c>
    </row>
    <row r="214" spans="1:7" ht="21.75" customHeight="1">
      <c r="A214" s="71"/>
      <c r="B214" s="71"/>
      <c r="C214" s="48" t="s">
        <v>32</v>
      </c>
      <c r="D214" s="54">
        <f>G202</f>
        <v>995</v>
      </c>
      <c r="E214" s="50">
        <v>115</v>
      </c>
      <c r="F214" s="51">
        <v>107</v>
      </c>
      <c r="G214" s="52">
        <f>IFERROR(D214+E214-F214,"")</f>
        <v>1003</v>
      </c>
    </row>
    <row r="215" spans="1:7" ht="21.75" customHeight="1">
      <c r="A215" s="71"/>
      <c r="B215" s="71"/>
      <c r="C215" s="48" t="s">
        <v>34</v>
      </c>
      <c r="D215" s="54">
        <f>G203</f>
        <v>1813</v>
      </c>
      <c r="E215" s="50">
        <v>109</v>
      </c>
      <c r="F215" s="51">
        <v>71</v>
      </c>
      <c r="G215" s="52">
        <f>IFERROR(D215+E215-F215,"")</f>
        <v>1851</v>
      </c>
    </row>
    <row r="216" spans="1:7" ht="21.75" customHeight="1">
      <c r="A216" s="71"/>
      <c r="B216" s="71"/>
      <c r="C216" s="48" t="s">
        <v>25</v>
      </c>
      <c r="D216" s="54">
        <f>G204</f>
        <v>1117</v>
      </c>
      <c r="E216" s="50">
        <v>108</v>
      </c>
      <c r="F216" s="51">
        <v>87</v>
      </c>
      <c r="G216" s="52">
        <f>IFERROR(D216+E216-F216,"")</f>
        <v>1138</v>
      </c>
    </row>
    <row r="217" spans="1:7" ht="21.75" customHeight="1">
      <c r="A217" s="71"/>
      <c r="B217" s="71"/>
      <c r="C217" s="48" t="s">
        <v>35</v>
      </c>
      <c r="D217" s="54">
        <f>G205</f>
        <v>1267</v>
      </c>
      <c r="E217" s="50">
        <v>104</v>
      </c>
      <c r="F217" s="51">
        <v>91</v>
      </c>
      <c r="G217" s="52">
        <f>IFERROR(D217+E217-F217,"")</f>
        <v>1280</v>
      </c>
    </row>
    <row r="218" spans="1:7" ht="21.75" customHeight="1">
      <c r="A218" s="71"/>
      <c r="B218" s="71"/>
      <c r="C218" s="48" t="s">
        <v>29</v>
      </c>
      <c r="D218" s="54">
        <f>G206</f>
        <v>1375</v>
      </c>
      <c r="E218" s="50">
        <v>73</v>
      </c>
      <c r="F218" s="51">
        <v>51</v>
      </c>
      <c r="G218" s="52">
        <f>IFERROR(D218+E218-F218,"")</f>
        <v>1397</v>
      </c>
    </row>
    <row r="219" spans="1:7" ht="21.75" customHeight="1">
      <c r="A219" s="71"/>
      <c r="B219" s="71"/>
      <c r="C219" s="48" t="s">
        <v>31</v>
      </c>
      <c r="D219" s="54">
        <f>G207</f>
        <v>1573</v>
      </c>
      <c r="E219" s="50">
        <v>113</v>
      </c>
      <c r="F219" s="51">
        <v>79</v>
      </c>
      <c r="G219" s="52">
        <f>IFERROR(D219+E219-F219,"")</f>
        <v>1607</v>
      </c>
    </row>
    <row r="220" spans="1:7" ht="21.75" customHeight="1">
      <c r="A220" s="71"/>
      <c r="B220" s="71"/>
      <c r="C220" s="48" t="s">
        <v>33</v>
      </c>
      <c r="D220" s="54">
        <f>G208</f>
        <v>709</v>
      </c>
      <c r="E220" s="50">
        <v>65</v>
      </c>
      <c r="F220" s="51">
        <v>51</v>
      </c>
      <c r="G220" s="52">
        <f>IFERROR(D220+E220-F220,"")</f>
        <v>723</v>
      </c>
    </row>
    <row r="221" spans="1:7" ht="21.75" customHeight="1">
      <c r="A221" s="71"/>
      <c r="B221" s="71"/>
      <c r="C221" s="48" t="s">
        <v>36</v>
      </c>
      <c r="D221" s="54">
        <f>G209</f>
        <v>2090</v>
      </c>
      <c r="E221" s="50">
        <v>129</v>
      </c>
      <c r="F221" s="51">
        <v>102</v>
      </c>
      <c r="G221" s="52">
        <f>IFERROR(D221+E221-F221,"")</f>
        <v>2117</v>
      </c>
    </row>
    <row r="222" spans="1:7" ht="21.75" customHeight="1">
      <c r="A222" s="73" t="s">
        <v>110</v>
      </c>
      <c r="B222" s="73"/>
      <c r="C222" s="73"/>
      <c r="D222" s="53">
        <f>IFERROR(SUM(D211:D221),"")</f>
        <v>15742</v>
      </c>
      <c r="E222" s="53">
        <f>IFERROR(SUM(E211:E221),"")</f>
        <v>1183</v>
      </c>
      <c r="F222" s="53">
        <f>IFERROR(SUM(F211:F221),"")</f>
        <v>907</v>
      </c>
      <c r="G222" s="53">
        <f>IFERROR(SUM(G211:G221),"")</f>
        <v>16018</v>
      </c>
    </row>
    <row r="223" spans="1:7" ht="21.75" customHeight="1">
      <c r="A223" s="71">
        <v>46072</v>
      </c>
      <c r="B223" s="72" t="s">
        <v>45</v>
      </c>
      <c r="C223" s="48" t="s">
        <v>26</v>
      </c>
      <c r="D223" s="54">
        <f>G211</f>
        <v>1734</v>
      </c>
      <c r="E223" s="50">
        <v>126</v>
      </c>
      <c r="F223" s="51">
        <v>84</v>
      </c>
      <c r="G223" s="52">
        <f>IFERROR(D223+E223-F223,"")</f>
        <v>1776</v>
      </c>
    </row>
    <row r="224" spans="1:7" ht="21.75" customHeight="1">
      <c r="A224" s="71"/>
      <c r="B224" s="71"/>
      <c r="C224" s="48" t="s">
        <v>27</v>
      </c>
      <c r="D224" s="54">
        <f>G212</f>
        <v>1248</v>
      </c>
      <c r="E224" s="50">
        <v>85</v>
      </c>
      <c r="F224" s="51">
        <v>75</v>
      </c>
      <c r="G224" s="52">
        <f>IFERROR(D224+E224-F224,"")</f>
        <v>1258</v>
      </c>
    </row>
    <row r="225" spans="1:7" ht="21.75" customHeight="1">
      <c r="A225" s="71"/>
      <c r="B225" s="71"/>
      <c r="C225" s="48" t="s">
        <v>30</v>
      </c>
      <c r="D225" s="54">
        <f>G213</f>
        <v>1920</v>
      </c>
      <c r="E225" s="50">
        <v>129</v>
      </c>
      <c r="F225" s="51">
        <v>77</v>
      </c>
      <c r="G225" s="52">
        <f>IFERROR(D225+E225-F225,"")</f>
        <v>1972</v>
      </c>
    </row>
    <row r="226" spans="1:7" ht="21.75" customHeight="1">
      <c r="A226" s="71"/>
      <c r="B226" s="71"/>
      <c r="C226" s="48" t="s">
        <v>32</v>
      </c>
      <c r="D226" s="54">
        <f>G214</f>
        <v>1003</v>
      </c>
      <c r="E226" s="50">
        <v>111</v>
      </c>
      <c r="F226" s="51">
        <v>85</v>
      </c>
      <c r="G226" s="52">
        <f>IFERROR(D226+E226-F226,"")</f>
        <v>1029</v>
      </c>
    </row>
    <row r="227" spans="1:7" ht="21.75" customHeight="1">
      <c r="A227" s="71"/>
      <c r="B227" s="71"/>
      <c r="C227" s="48" t="s">
        <v>34</v>
      </c>
      <c r="D227" s="54">
        <f>G215</f>
        <v>1851</v>
      </c>
      <c r="E227" s="50">
        <v>135</v>
      </c>
      <c r="F227" s="51">
        <v>85</v>
      </c>
      <c r="G227" s="52">
        <f>IFERROR(D227+E227-F227,"")</f>
        <v>1901</v>
      </c>
    </row>
    <row r="228" spans="1:7" ht="21.75" customHeight="1">
      <c r="A228" s="71"/>
      <c r="B228" s="71"/>
      <c r="C228" s="48" t="s">
        <v>25</v>
      </c>
      <c r="D228" s="54">
        <f>G216</f>
        <v>1138</v>
      </c>
      <c r="E228" s="50">
        <v>99</v>
      </c>
      <c r="F228" s="51">
        <v>83</v>
      </c>
      <c r="G228" s="52">
        <f>IFERROR(D228+E228-F228,"")</f>
        <v>1154</v>
      </c>
    </row>
    <row r="229" spans="1:7" ht="21.75" customHeight="1">
      <c r="A229" s="71"/>
      <c r="B229" s="71"/>
      <c r="C229" s="48" t="s">
        <v>35</v>
      </c>
      <c r="D229" s="54">
        <f>G217</f>
        <v>1280</v>
      </c>
      <c r="E229" s="50">
        <v>125</v>
      </c>
      <c r="F229" s="51">
        <v>97</v>
      </c>
      <c r="G229" s="52">
        <f>IFERROR(D229+E229-F229,"")</f>
        <v>1308</v>
      </c>
    </row>
    <row r="230" spans="1:7" ht="21.75" customHeight="1">
      <c r="A230" s="71"/>
      <c r="B230" s="71"/>
      <c r="C230" s="48" t="s">
        <v>29</v>
      </c>
      <c r="D230" s="54">
        <f>G218</f>
        <v>1397</v>
      </c>
      <c r="E230" s="50">
        <v>88</v>
      </c>
      <c r="F230" s="51">
        <v>68</v>
      </c>
      <c r="G230" s="52">
        <f>IFERROR(D230+E230-F230,"")</f>
        <v>1417</v>
      </c>
    </row>
    <row r="231" spans="1:7" ht="21.75" customHeight="1">
      <c r="A231" s="71"/>
      <c r="B231" s="71"/>
      <c r="C231" s="48" t="s">
        <v>31</v>
      </c>
      <c r="D231" s="54">
        <f>G219</f>
        <v>1607</v>
      </c>
      <c r="E231" s="50">
        <v>144</v>
      </c>
      <c r="F231" s="51">
        <v>119</v>
      </c>
      <c r="G231" s="52">
        <f>IFERROR(D231+E231-F231,"")</f>
        <v>1632</v>
      </c>
    </row>
    <row r="232" spans="1:7" ht="21.75" customHeight="1">
      <c r="A232" s="71"/>
      <c r="B232" s="71"/>
      <c r="C232" s="48" t="s">
        <v>33</v>
      </c>
      <c r="D232" s="54">
        <f>G220</f>
        <v>723</v>
      </c>
      <c r="E232" s="50">
        <v>94</v>
      </c>
      <c r="F232" s="51">
        <v>79</v>
      </c>
      <c r="G232" s="52">
        <f>IFERROR(D232+E232-F232,"")</f>
        <v>738</v>
      </c>
    </row>
    <row r="233" spans="1:7" ht="21.75" customHeight="1">
      <c r="A233" s="71"/>
      <c r="B233" s="71"/>
      <c r="C233" s="48" t="s">
        <v>36</v>
      </c>
      <c r="D233" s="54">
        <f>G221</f>
        <v>2117</v>
      </c>
      <c r="E233" s="50">
        <v>166</v>
      </c>
      <c r="F233" s="51">
        <v>128</v>
      </c>
      <c r="G233" s="52">
        <f>IFERROR(D233+E233-F233,"")</f>
        <v>2155</v>
      </c>
    </row>
    <row r="234" spans="1:7" ht="21.75" customHeight="1">
      <c r="A234" s="73" t="s">
        <v>111</v>
      </c>
      <c r="B234" s="73"/>
      <c r="C234" s="73"/>
      <c r="D234" s="53">
        <f>IFERROR(SUM(D223:D233),"")</f>
        <v>16018</v>
      </c>
      <c r="E234" s="53">
        <f>IFERROR(SUM(E223:E233),"")</f>
        <v>1302</v>
      </c>
      <c r="F234" s="53">
        <f>IFERROR(SUM(F223:F233),"")</f>
        <v>980</v>
      </c>
      <c r="G234" s="53">
        <f>IFERROR(SUM(G223:G233),"")</f>
        <v>16340</v>
      </c>
    </row>
    <row r="235" spans="1:7" ht="21.75" customHeight="1">
      <c r="A235" s="71">
        <v>46073</v>
      </c>
      <c r="B235" s="72" t="s">
        <v>47</v>
      </c>
      <c r="C235" s="48" t="s">
        <v>26</v>
      </c>
      <c r="D235" s="54">
        <f>G223</f>
        <v>1776</v>
      </c>
      <c r="E235" s="50">
        <v>130</v>
      </c>
      <c r="F235" s="51">
        <v>90</v>
      </c>
      <c r="G235" s="52">
        <f>IFERROR(D235+E235-F235,"")</f>
        <v>1816</v>
      </c>
    </row>
    <row r="236" spans="1:7" ht="21.75" customHeight="1">
      <c r="A236" s="71"/>
      <c r="B236" s="71"/>
      <c r="C236" s="48" t="s">
        <v>27</v>
      </c>
      <c r="D236" s="54">
        <f>G224</f>
        <v>1258</v>
      </c>
      <c r="E236" s="50">
        <v>103</v>
      </c>
      <c r="F236" s="51">
        <v>88</v>
      </c>
      <c r="G236" s="52">
        <f>IFERROR(D236+E236-F236,"")</f>
        <v>1273</v>
      </c>
    </row>
    <row r="237" spans="1:7" ht="21.75" customHeight="1">
      <c r="A237" s="71"/>
      <c r="B237" s="71"/>
      <c r="C237" s="48" t="s">
        <v>30</v>
      </c>
      <c r="D237" s="54">
        <f>G225</f>
        <v>1972</v>
      </c>
      <c r="E237" s="50">
        <v>91</v>
      </c>
      <c r="F237" s="51">
        <v>71</v>
      </c>
      <c r="G237" s="52">
        <f>IFERROR(D237+E237-F237,"")</f>
        <v>1992</v>
      </c>
    </row>
    <row r="238" spans="1:7" ht="21.75" customHeight="1">
      <c r="A238" s="71"/>
      <c r="B238" s="71"/>
      <c r="C238" s="48" t="s">
        <v>32</v>
      </c>
      <c r="D238" s="54">
        <f>G226</f>
        <v>1029</v>
      </c>
      <c r="E238" s="50">
        <v>106</v>
      </c>
      <c r="F238" s="51">
        <v>100</v>
      </c>
      <c r="G238" s="52">
        <f>IFERROR(D238+E238-F238,"")</f>
        <v>1035</v>
      </c>
    </row>
    <row r="239" spans="1:7" ht="21.75" customHeight="1">
      <c r="A239" s="71"/>
      <c r="B239" s="71"/>
      <c r="C239" s="48" t="s">
        <v>34</v>
      </c>
      <c r="D239" s="54">
        <f>G227</f>
        <v>1901</v>
      </c>
      <c r="E239" s="50">
        <v>126</v>
      </c>
      <c r="F239" s="51">
        <v>89</v>
      </c>
      <c r="G239" s="52">
        <f>IFERROR(D239+E239-F239,"")</f>
        <v>1938</v>
      </c>
    </row>
    <row r="240" spans="1:7" ht="21.75" customHeight="1">
      <c r="A240" s="71"/>
      <c r="B240" s="71"/>
      <c r="C240" s="48" t="s">
        <v>25</v>
      </c>
      <c r="D240" s="54">
        <f>G228</f>
        <v>1154</v>
      </c>
      <c r="E240" s="50">
        <v>96</v>
      </c>
      <c r="F240" s="51">
        <v>69</v>
      </c>
      <c r="G240" s="52">
        <f>IFERROR(D240+E240-F240,"")</f>
        <v>1181</v>
      </c>
    </row>
    <row r="241" spans="1:7" ht="21.75" customHeight="1">
      <c r="A241" s="71"/>
      <c r="B241" s="71"/>
      <c r="C241" s="48" t="s">
        <v>35</v>
      </c>
      <c r="D241" s="54">
        <f>G229</f>
        <v>1308</v>
      </c>
      <c r="E241" s="50">
        <v>91</v>
      </c>
      <c r="F241" s="51">
        <v>83</v>
      </c>
      <c r="G241" s="52">
        <f>IFERROR(D241+E241-F241,"")</f>
        <v>1316</v>
      </c>
    </row>
    <row r="242" spans="1:7" ht="21.75" customHeight="1">
      <c r="A242" s="71"/>
      <c r="B242" s="71"/>
      <c r="C242" s="48" t="s">
        <v>29</v>
      </c>
      <c r="D242" s="54">
        <f>G230</f>
        <v>1417</v>
      </c>
      <c r="E242" s="50">
        <v>75</v>
      </c>
      <c r="F242" s="51">
        <v>58</v>
      </c>
      <c r="G242" s="52">
        <f>IFERROR(D242+E242-F242,"")</f>
        <v>1434</v>
      </c>
    </row>
    <row r="243" spans="1:7" ht="21.75" customHeight="1">
      <c r="A243" s="71"/>
      <c r="B243" s="71"/>
      <c r="C243" s="48" t="s">
        <v>31</v>
      </c>
      <c r="D243" s="54">
        <f>G231</f>
        <v>1632</v>
      </c>
      <c r="E243" s="50">
        <v>118</v>
      </c>
      <c r="F243" s="51">
        <v>77</v>
      </c>
      <c r="G243" s="52">
        <f>IFERROR(D243+E243-F243,"")</f>
        <v>1673</v>
      </c>
    </row>
    <row r="244" spans="1:7" ht="21.75" customHeight="1">
      <c r="A244" s="71"/>
      <c r="B244" s="71"/>
      <c r="C244" s="48" t="s">
        <v>33</v>
      </c>
      <c r="D244" s="54">
        <f>G232</f>
        <v>738</v>
      </c>
      <c r="E244" s="50">
        <v>83</v>
      </c>
      <c r="F244" s="51">
        <v>64</v>
      </c>
      <c r="G244" s="52">
        <f>IFERROR(D244+E244-F244,"")</f>
        <v>757</v>
      </c>
    </row>
    <row r="245" spans="1:7" ht="21.75" customHeight="1">
      <c r="A245" s="71"/>
      <c r="B245" s="71"/>
      <c r="C245" s="48" t="s">
        <v>36</v>
      </c>
      <c r="D245" s="54">
        <f>G233</f>
        <v>2155</v>
      </c>
      <c r="E245" s="50">
        <v>106</v>
      </c>
      <c r="F245" s="51">
        <v>72</v>
      </c>
      <c r="G245" s="52">
        <f>IFERROR(D245+E245-F245,"")</f>
        <v>2189</v>
      </c>
    </row>
    <row r="246" spans="1:7" ht="21.75" customHeight="1">
      <c r="A246" s="73" t="s">
        <v>112</v>
      </c>
      <c r="B246" s="73"/>
      <c r="C246" s="73"/>
      <c r="D246" s="53">
        <f>IFERROR(SUM(D235:D245),"")</f>
        <v>16340</v>
      </c>
      <c r="E246" s="53">
        <f>IFERROR(SUM(E235:E245),"")</f>
        <v>1125</v>
      </c>
      <c r="F246" s="53">
        <f>IFERROR(SUM(F235:F245),"")</f>
        <v>861</v>
      </c>
      <c r="G246" s="53">
        <f>IFERROR(SUM(G235:G245),"")</f>
        <v>16604</v>
      </c>
    </row>
    <row r="247" spans="1:7" ht="21.75" customHeight="1">
      <c r="A247" s="74">
        <v>46074</v>
      </c>
      <c r="B247" s="75" t="s">
        <v>48</v>
      </c>
      <c r="C247" s="48" t="s">
        <v>26</v>
      </c>
      <c r="D247" s="54">
        <f>G235</f>
        <v>1816</v>
      </c>
      <c r="E247" s="50">
        <v>40</v>
      </c>
      <c r="F247" s="51">
        <v>33</v>
      </c>
      <c r="G247" s="52">
        <f>IFERROR(D247+E247-F247,"")</f>
        <v>1823</v>
      </c>
    </row>
    <row r="248" spans="1:7" ht="21.75" customHeight="1">
      <c r="A248" s="74"/>
      <c r="B248" s="74"/>
      <c r="C248" s="48" t="s">
        <v>27</v>
      </c>
      <c r="D248" s="54">
        <f>G236</f>
        <v>1273</v>
      </c>
      <c r="E248" s="50">
        <v>36</v>
      </c>
      <c r="F248" s="51">
        <v>29</v>
      </c>
      <c r="G248" s="52">
        <f>IFERROR(D248+E248-F248,"")</f>
        <v>1280</v>
      </c>
    </row>
    <row r="249" spans="1:7" ht="21.75" customHeight="1">
      <c r="A249" s="74"/>
      <c r="B249" s="74"/>
      <c r="C249" s="48" t="s">
        <v>30</v>
      </c>
      <c r="D249" s="54">
        <f>G237</f>
        <v>1992</v>
      </c>
      <c r="E249" s="50">
        <v>70</v>
      </c>
      <c r="F249" s="51">
        <v>53</v>
      </c>
      <c r="G249" s="52">
        <f>IFERROR(D249+E249-F249,"")</f>
        <v>2009</v>
      </c>
    </row>
    <row r="250" spans="1:7" ht="21.75" customHeight="1">
      <c r="A250" s="74"/>
      <c r="B250" s="74"/>
      <c r="C250" s="48" t="s">
        <v>32</v>
      </c>
      <c r="D250" s="54">
        <f>G238</f>
        <v>1035</v>
      </c>
      <c r="E250" s="50">
        <v>59</v>
      </c>
      <c r="F250" s="51">
        <v>49</v>
      </c>
      <c r="G250" s="52">
        <f>IFERROR(D250+E250-F250,"")</f>
        <v>1045</v>
      </c>
    </row>
    <row r="251" spans="1:7" ht="21.75" customHeight="1">
      <c r="A251" s="74"/>
      <c r="B251" s="74"/>
      <c r="C251" s="48" t="s">
        <v>34</v>
      </c>
      <c r="D251" s="54">
        <f>G239</f>
        <v>1938</v>
      </c>
      <c r="E251" s="50">
        <v>71</v>
      </c>
      <c r="F251" s="51">
        <v>54</v>
      </c>
      <c r="G251" s="52">
        <f>IFERROR(D251+E251-F251,"")</f>
        <v>1955</v>
      </c>
    </row>
    <row r="252" spans="1:7" ht="21.75" customHeight="1">
      <c r="A252" s="74"/>
      <c r="B252" s="74"/>
      <c r="C252" s="48" t="s">
        <v>25</v>
      </c>
      <c r="D252" s="54">
        <f>G240</f>
        <v>1181</v>
      </c>
      <c r="E252" s="50">
        <v>38</v>
      </c>
      <c r="F252" s="51">
        <v>27</v>
      </c>
      <c r="G252" s="52">
        <f>IFERROR(D252+E252-F252,"")</f>
        <v>1192</v>
      </c>
    </row>
    <row r="253" spans="1:7" ht="21.75" customHeight="1">
      <c r="A253" s="74"/>
      <c r="B253" s="74"/>
      <c r="C253" s="48" t="s">
        <v>35</v>
      </c>
      <c r="D253" s="54">
        <f>G241</f>
        <v>1316</v>
      </c>
      <c r="E253" s="50">
        <v>42</v>
      </c>
      <c r="F253" s="51">
        <v>33</v>
      </c>
      <c r="G253" s="52">
        <f>IFERROR(D253+E253-F253,"")</f>
        <v>1325</v>
      </c>
    </row>
    <row r="254" spans="1:7" ht="21.75" customHeight="1">
      <c r="A254" s="74"/>
      <c r="B254" s="74"/>
      <c r="C254" s="48" t="s">
        <v>29</v>
      </c>
      <c r="D254" s="54">
        <f>G242</f>
        <v>1434</v>
      </c>
      <c r="E254" s="50">
        <v>55</v>
      </c>
      <c r="F254" s="51">
        <v>41</v>
      </c>
      <c r="G254" s="52">
        <f>IFERROR(D254+E254-F254,"")</f>
        <v>1448</v>
      </c>
    </row>
    <row r="255" spans="1:7" ht="21.75" customHeight="1">
      <c r="A255" s="74"/>
      <c r="B255" s="74"/>
      <c r="C255" s="48" t="s">
        <v>31</v>
      </c>
      <c r="D255" s="54">
        <f>G243</f>
        <v>1673</v>
      </c>
      <c r="E255" s="50">
        <v>38</v>
      </c>
      <c r="F255" s="51">
        <v>25</v>
      </c>
      <c r="G255" s="52">
        <f>IFERROR(D255+E255-F255,"")</f>
        <v>1686</v>
      </c>
    </row>
    <row r="256" spans="1:7" ht="21.75" customHeight="1">
      <c r="A256" s="74"/>
      <c r="B256" s="74"/>
      <c r="C256" s="48" t="s">
        <v>33</v>
      </c>
      <c r="D256" s="54">
        <f>G244</f>
        <v>757</v>
      </c>
      <c r="E256" s="50">
        <v>37</v>
      </c>
      <c r="F256" s="51">
        <v>31</v>
      </c>
      <c r="G256" s="52">
        <f>IFERROR(D256+E256-F256,"")</f>
        <v>763</v>
      </c>
    </row>
    <row r="257" spans="1:7" ht="21.75" customHeight="1">
      <c r="A257" s="74"/>
      <c r="B257" s="74"/>
      <c r="C257" s="48" t="s">
        <v>36</v>
      </c>
      <c r="D257" s="54">
        <f>G245</f>
        <v>2189</v>
      </c>
      <c r="E257" s="50">
        <v>66</v>
      </c>
      <c r="F257" s="51">
        <v>46</v>
      </c>
      <c r="G257" s="52">
        <f>IFERROR(D257+E257-F257,"")</f>
        <v>2209</v>
      </c>
    </row>
    <row r="258" spans="1:7" ht="21.75" customHeight="1">
      <c r="A258" s="73" t="s">
        <v>113</v>
      </c>
      <c r="B258" s="73"/>
      <c r="C258" s="73"/>
      <c r="D258" s="53">
        <f>IFERROR(SUM(D247:D257),"")</f>
        <v>16604</v>
      </c>
      <c r="E258" s="53">
        <f>IFERROR(SUM(E247:E257),"")</f>
        <v>552</v>
      </c>
      <c r="F258" s="53">
        <f>IFERROR(SUM(F247:F257),"")</f>
        <v>421</v>
      </c>
      <c r="G258" s="53">
        <f>IFERROR(SUM(G247:G257),"")</f>
        <v>16735</v>
      </c>
    </row>
    <row r="259" spans="1:7" ht="21.75" customHeight="1">
      <c r="A259" s="74">
        <v>46075</v>
      </c>
      <c r="B259" s="75" t="s">
        <v>50</v>
      </c>
      <c r="C259" s="48" t="s">
        <v>26</v>
      </c>
      <c r="D259" s="54">
        <f>G247</f>
        <v>1823</v>
      </c>
      <c r="E259" s="50">
        <v>65</v>
      </c>
      <c r="F259" s="51">
        <v>43</v>
      </c>
      <c r="G259" s="52">
        <f>IFERROR(D259+E259-F259,"")</f>
        <v>1845</v>
      </c>
    </row>
    <row r="260" spans="1:7" ht="21.75" customHeight="1">
      <c r="A260" s="74"/>
      <c r="B260" s="74"/>
      <c r="C260" s="48" t="s">
        <v>27</v>
      </c>
      <c r="D260" s="54">
        <f>G248</f>
        <v>1280</v>
      </c>
      <c r="E260" s="50">
        <v>56</v>
      </c>
      <c r="F260" s="51">
        <v>49</v>
      </c>
      <c r="G260" s="52">
        <f>IFERROR(D260+E260-F260,"")</f>
        <v>1287</v>
      </c>
    </row>
    <row r="261" spans="1:7" ht="21.75" customHeight="1">
      <c r="A261" s="74"/>
      <c r="B261" s="74"/>
      <c r="C261" s="48" t="s">
        <v>30</v>
      </c>
      <c r="D261" s="54">
        <f>G249</f>
        <v>2009</v>
      </c>
      <c r="E261" s="50">
        <v>44</v>
      </c>
      <c r="F261" s="51">
        <v>28</v>
      </c>
      <c r="G261" s="52">
        <f>IFERROR(D261+E261-F261,"")</f>
        <v>2025</v>
      </c>
    </row>
    <row r="262" spans="1:7" ht="21.75" customHeight="1">
      <c r="A262" s="74"/>
      <c r="B262" s="74"/>
      <c r="C262" s="48" t="s">
        <v>32</v>
      </c>
      <c r="D262" s="54">
        <f>G250</f>
        <v>1045</v>
      </c>
      <c r="E262" s="50">
        <v>54</v>
      </c>
      <c r="F262" s="51">
        <v>46</v>
      </c>
      <c r="G262" s="52">
        <f>IFERROR(D262+E262-F262,"")</f>
        <v>1053</v>
      </c>
    </row>
    <row r="263" spans="1:7" ht="21.75" customHeight="1">
      <c r="A263" s="74"/>
      <c r="B263" s="74"/>
      <c r="C263" s="48" t="s">
        <v>34</v>
      </c>
      <c r="D263" s="54">
        <f>G251</f>
        <v>1955</v>
      </c>
      <c r="E263" s="50">
        <v>48</v>
      </c>
      <c r="F263" s="51">
        <v>39</v>
      </c>
      <c r="G263" s="52">
        <f>IFERROR(D263+E263-F263,"")</f>
        <v>1964</v>
      </c>
    </row>
    <row r="264" spans="1:7" ht="21.75" customHeight="1">
      <c r="A264" s="74"/>
      <c r="B264" s="74"/>
      <c r="C264" s="48" t="s">
        <v>25</v>
      </c>
      <c r="D264" s="54">
        <f>G252</f>
        <v>1192</v>
      </c>
      <c r="E264" s="50">
        <v>49</v>
      </c>
      <c r="F264" s="51">
        <v>34</v>
      </c>
      <c r="G264" s="52">
        <f>IFERROR(D264+E264-F264,"")</f>
        <v>1207</v>
      </c>
    </row>
    <row r="265" spans="1:7" ht="21.75" customHeight="1">
      <c r="A265" s="74"/>
      <c r="B265" s="74"/>
      <c r="C265" s="48" t="s">
        <v>35</v>
      </c>
      <c r="D265" s="54">
        <f>G253</f>
        <v>1325</v>
      </c>
      <c r="E265" s="50">
        <v>47</v>
      </c>
      <c r="F265" s="51">
        <v>35</v>
      </c>
      <c r="G265" s="52">
        <f>IFERROR(D265+E265-F265,"")</f>
        <v>1337</v>
      </c>
    </row>
    <row r="266" spans="1:7" ht="21.75" customHeight="1">
      <c r="A266" s="74"/>
      <c r="B266" s="74"/>
      <c r="C266" s="48" t="s">
        <v>29</v>
      </c>
      <c r="D266" s="54">
        <f>G254</f>
        <v>1448</v>
      </c>
      <c r="E266" s="50">
        <v>41</v>
      </c>
      <c r="F266" s="51">
        <v>28</v>
      </c>
      <c r="G266" s="52">
        <f>IFERROR(D266+E266-F266,"")</f>
        <v>1461</v>
      </c>
    </row>
    <row r="267" spans="1:7" ht="21.75" customHeight="1">
      <c r="A267" s="74"/>
      <c r="B267" s="74"/>
      <c r="C267" s="48" t="s">
        <v>31</v>
      </c>
      <c r="D267" s="54">
        <f>G255</f>
        <v>1686</v>
      </c>
      <c r="E267" s="50">
        <v>40</v>
      </c>
      <c r="F267" s="51">
        <v>29</v>
      </c>
      <c r="G267" s="52">
        <f>IFERROR(D267+E267-F267,"")</f>
        <v>1697</v>
      </c>
    </row>
    <row r="268" spans="1:7" ht="21.75" customHeight="1">
      <c r="A268" s="74"/>
      <c r="B268" s="74"/>
      <c r="C268" s="48" t="s">
        <v>33</v>
      </c>
      <c r="D268" s="54">
        <f>G256</f>
        <v>763</v>
      </c>
      <c r="E268" s="50">
        <v>32</v>
      </c>
      <c r="F268" s="51">
        <v>26</v>
      </c>
      <c r="G268" s="52">
        <f>IFERROR(D268+E268-F268,"")</f>
        <v>769</v>
      </c>
    </row>
    <row r="269" spans="1:7" ht="21.75" customHeight="1">
      <c r="A269" s="74"/>
      <c r="B269" s="74"/>
      <c r="C269" s="48" t="s">
        <v>36</v>
      </c>
      <c r="D269" s="54">
        <f>G257</f>
        <v>2209</v>
      </c>
      <c r="E269" s="50">
        <v>58</v>
      </c>
      <c r="F269" s="51">
        <v>45</v>
      </c>
      <c r="G269" s="52">
        <f>IFERROR(D269+E269-F269,"")</f>
        <v>2222</v>
      </c>
    </row>
    <row r="270" spans="1:7" ht="21.75" customHeight="1">
      <c r="A270" s="73" t="s">
        <v>114</v>
      </c>
      <c r="B270" s="73"/>
      <c r="C270" s="73"/>
      <c r="D270" s="53">
        <f>IFERROR(SUM(D259:D269),"")</f>
        <v>16735</v>
      </c>
      <c r="E270" s="53">
        <f>IFERROR(SUM(E259:E269),"")</f>
        <v>534</v>
      </c>
      <c r="F270" s="53">
        <f>IFERROR(SUM(F259:F269),"")</f>
        <v>402</v>
      </c>
      <c r="G270" s="53">
        <f>IFERROR(SUM(G259:G269),"")</f>
        <v>16867</v>
      </c>
    </row>
    <row r="271" spans="1:7" ht="21.75" customHeight="1">
      <c r="A271" s="71">
        <v>46076</v>
      </c>
      <c r="B271" s="72" t="s">
        <v>51</v>
      </c>
      <c r="C271" s="48" t="s">
        <v>26</v>
      </c>
      <c r="D271" s="54">
        <f>G259</f>
        <v>1845</v>
      </c>
      <c r="E271" s="50">
        <v>134</v>
      </c>
      <c r="F271" s="51">
        <v>111</v>
      </c>
      <c r="G271" s="52">
        <f>IFERROR(D271+E271-F271,"")</f>
        <v>1868</v>
      </c>
    </row>
    <row r="272" spans="1:7" ht="21.75" customHeight="1">
      <c r="A272" s="71"/>
      <c r="B272" s="71"/>
      <c r="C272" s="48" t="s">
        <v>27</v>
      </c>
      <c r="D272" s="54">
        <f>G260</f>
        <v>1287</v>
      </c>
      <c r="E272" s="50">
        <v>122</v>
      </c>
      <c r="F272" s="51">
        <v>105</v>
      </c>
      <c r="G272" s="52">
        <f>IFERROR(D272+E272-F272,"")</f>
        <v>1304</v>
      </c>
    </row>
    <row r="273" spans="1:7" ht="21.75" customHeight="1">
      <c r="A273" s="71"/>
      <c r="B273" s="71"/>
      <c r="C273" s="48" t="s">
        <v>30</v>
      </c>
      <c r="D273" s="54">
        <f>G261</f>
        <v>2025</v>
      </c>
      <c r="E273" s="50">
        <v>94</v>
      </c>
      <c r="F273" s="51">
        <v>64</v>
      </c>
      <c r="G273" s="52">
        <f>IFERROR(D273+E273-F273,"")</f>
        <v>2055</v>
      </c>
    </row>
    <row r="274" spans="1:7" ht="21.75" customHeight="1">
      <c r="A274" s="71"/>
      <c r="B274" s="71"/>
      <c r="C274" s="48" t="s">
        <v>32</v>
      </c>
      <c r="D274" s="54">
        <f>G262</f>
        <v>1053</v>
      </c>
      <c r="E274" s="50">
        <v>115</v>
      </c>
      <c r="F274" s="51">
        <v>93</v>
      </c>
      <c r="G274" s="52">
        <f>IFERROR(D274+E274-F274,"")</f>
        <v>1075</v>
      </c>
    </row>
    <row r="275" spans="1:7" ht="21.75" customHeight="1">
      <c r="A275" s="71"/>
      <c r="B275" s="71"/>
      <c r="C275" s="48" t="s">
        <v>34</v>
      </c>
      <c r="D275" s="54">
        <f>G263</f>
        <v>1964</v>
      </c>
      <c r="E275" s="50">
        <v>137</v>
      </c>
      <c r="F275" s="51">
        <v>98</v>
      </c>
      <c r="G275" s="52">
        <f>IFERROR(D275+E275-F275,"")</f>
        <v>2003</v>
      </c>
    </row>
    <row r="276" spans="1:7" ht="21.75" customHeight="1">
      <c r="A276" s="71"/>
      <c r="B276" s="71"/>
      <c r="C276" s="48" t="s">
        <v>25</v>
      </c>
      <c r="D276" s="54">
        <f>G264</f>
        <v>1207</v>
      </c>
      <c r="E276" s="50">
        <v>92</v>
      </c>
      <c r="F276" s="51">
        <v>79</v>
      </c>
      <c r="G276" s="52">
        <f>IFERROR(D276+E276-F276,"")</f>
        <v>1220</v>
      </c>
    </row>
    <row r="277" spans="1:7" ht="21.75" customHeight="1">
      <c r="A277" s="71"/>
      <c r="B277" s="71"/>
      <c r="C277" s="48" t="s">
        <v>35</v>
      </c>
      <c r="D277" s="54">
        <f>G265</f>
        <v>1337</v>
      </c>
      <c r="E277" s="50">
        <v>102</v>
      </c>
      <c r="F277" s="51">
        <v>87</v>
      </c>
      <c r="G277" s="52">
        <f>IFERROR(D277+E277-F277,"")</f>
        <v>1352</v>
      </c>
    </row>
    <row r="278" spans="1:7" ht="21.75" customHeight="1">
      <c r="A278" s="71"/>
      <c r="B278" s="71"/>
      <c r="C278" s="48" t="s">
        <v>29</v>
      </c>
      <c r="D278" s="54">
        <f>G266</f>
        <v>1461</v>
      </c>
      <c r="E278" s="50">
        <v>69</v>
      </c>
      <c r="F278" s="51">
        <v>48</v>
      </c>
      <c r="G278" s="52">
        <f>IFERROR(D278+E278-F278,"")</f>
        <v>1482</v>
      </c>
    </row>
    <row r="279" spans="1:7" ht="21.75" customHeight="1">
      <c r="A279" s="71"/>
      <c r="B279" s="71"/>
      <c r="C279" s="48" t="s">
        <v>31</v>
      </c>
      <c r="D279" s="54">
        <f>G267</f>
        <v>1697</v>
      </c>
      <c r="E279" s="50">
        <v>112</v>
      </c>
      <c r="F279" s="51">
        <v>92</v>
      </c>
      <c r="G279" s="52">
        <f>IFERROR(D279+E279-F279,"")</f>
        <v>1717</v>
      </c>
    </row>
    <row r="280" spans="1:7" ht="21.75" customHeight="1">
      <c r="A280" s="71"/>
      <c r="B280" s="71"/>
      <c r="C280" s="48" t="s">
        <v>33</v>
      </c>
      <c r="D280" s="54">
        <f>G268</f>
        <v>769</v>
      </c>
      <c r="E280" s="50">
        <v>65</v>
      </c>
      <c r="F280" s="51">
        <v>58</v>
      </c>
      <c r="G280" s="52">
        <f>IFERROR(D280+E280-F280,"")</f>
        <v>776</v>
      </c>
    </row>
    <row r="281" spans="1:7" ht="21.75" customHeight="1">
      <c r="A281" s="71"/>
      <c r="B281" s="71"/>
      <c r="C281" s="48" t="s">
        <v>36</v>
      </c>
      <c r="D281" s="54">
        <f>G269</f>
        <v>2222</v>
      </c>
      <c r="E281" s="50">
        <v>133</v>
      </c>
      <c r="F281" s="51">
        <v>85</v>
      </c>
      <c r="G281" s="52">
        <f>IFERROR(D281+E281-F281,"")</f>
        <v>2270</v>
      </c>
    </row>
    <row r="282" spans="1:7" ht="21.75" customHeight="1">
      <c r="A282" s="73" t="s">
        <v>115</v>
      </c>
      <c r="B282" s="73"/>
      <c r="C282" s="73"/>
      <c r="D282" s="53">
        <f>IFERROR(SUM(D271:D281),"")</f>
        <v>16867</v>
      </c>
      <c r="E282" s="53">
        <f>IFERROR(SUM(E271:E281),"")</f>
        <v>1175</v>
      </c>
      <c r="F282" s="53">
        <f>IFERROR(SUM(F271:F281),"")</f>
        <v>920</v>
      </c>
      <c r="G282" s="53">
        <f>IFERROR(SUM(G271:G281),"")</f>
        <v>17122</v>
      </c>
    </row>
    <row r="283" spans="1:7" ht="21.75" customHeight="1">
      <c r="A283" s="71">
        <v>46077</v>
      </c>
      <c r="B283" s="72" t="s">
        <v>52</v>
      </c>
      <c r="C283" s="48" t="s">
        <v>26</v>
      </c>
      <c r="D283" s="54">
        <f>G271</f>
        <v>1868</v>
      </c>
      <c r="E283" s="50">
        <v>137</v>
      </c>
      <c r="F283" s="51">
        <v>113</v>
      </c>
      <c r="G283" s="52">
        <f>IFERROR(D283+E283-F283,"")</f>
        <v>1892</v>
      </c>
    </row>
    <row r="284" spans="1:7" ht="21.75" customHeight="1">
      <c r="A284" s="71"/>
      <c r="B284" s="71"/>
      <c r="C284" s="48" t="s">
        <v>27</v>
      </c>
      <c r="D284" s="54">
        <f>G272</f>
        <v>1304</v>
      </c>
      <c r="E284" s="50">
        <v>80</v>
      </c>
      <c r="F284" s="51">
        <v>56</v>
      </c>
      <c r="G284" s="52">
        <f>IFERROR(D284+E284-F284,"")</f>
        <v>1328</v>
      </c>
    </row>
    <row r="285" spans="1:7" ht="21.75" customHeight="1">
      <c r="A285" s="71"/>
      <c r="B285" s="71"/>
      <c r="C285" s="48" t="s">
        <v>30</v>
      </c>
      <c r="D285" s="54">
        <f>G273</f>
        <v>2055</v>
      </c>
      <c r="E285" s="50">
        <v>127</v>
      </c>
      <c r="F285" s="51">
        <v>92</v>
      </c>
      <c r="G285" s="52">
        <f>IFERROR(D285+E285-F285,"")</f>
        <v>2090</v>
      </c>
    </row>
    <row r="286" spans="1:7" ht="21.75" customHeight="1">
      <c r="A286" s="71"/>
      <c r="B286" s="71"/>
      <c r="C286" s="48" t="s">
        <v>32</v>
      </c>
      <c r="D286" s="54">
        <f>G274</f>
        <v>1075</v>
      </c>
      <c r="E286" s="50">
        <v>99</v>
      </c>
      <c r="F286" s="51">
        <v>74</v>
      </c>
      <c r="G286" s="52">
        <f>IFERROR(D286+E286-F286,"")</f>
        <v>1100</v>
      </c>
    </row>
    <row r="287" spans="1:7" ht="21.75" customHeight="1">
      <c r="A287" s="71"/>
      <c r="B287" s="71"/>
      <c r="C287" s="48" t="s">
        <v>34</v>
      </c>
      <c r="D287" s="54">
        <f>G275</f>
        <v>2003</v>
      </c>
      <c r="E287" s="50">
        <v>128</v>
      </c>
      <c r="F287" s="51">
        <v>93</v>
      </c>
      <c r="G287" s="52">
        <f>IFERROR(D287+E287-F287,"")</f>
        <v>2038</v>
      </c>
    </row>
    <row r="288" spans="1:7" ht="21.75" customHeight="1">
      <c r="A288" s="71"/>
      <c r="B288" s="71"/>
      <c r="C288" s="48" t="s">
        <v>25</v>
      </c>
      <c r="D288" s="54">
        <f>G276</f>
        <v>1220</v>
      </c>
      <c r="E288" s="50">
        <v>77</v>
      </c>
      <c r="F288" s="51">
        <v>57</v>
      </c>
      <c r="G288" s="52">
        <f>IFERROR(D288+E288-F288,"")</f>
        <v>1240</v>
      </c>
    </row>
    <row r="289" spans="1:7" ht="21.75" customHeight="1">
      <c r="A289" s="71"/>
      <c r="B289" s="71"/>
      <c r="C289" s="48" t="s">
        <v>35</v>
      </c>
      <c r="D289" s="54">
        <f>G277</f>
        <v>1352</v>
      </c>
      <c r="E289" s="50">
        <v>112</v>
      </c>
      <c r="F289" s="51">
        <v>89</v>
      </c>
      <c r="G289" s="52">
        <f>IFERROR(D289+E289-F289,"")</f>
        <v>1375</v>
      </c>
    </row>
    <row r="290" spans="1:7" ht="21.75" customHeight="1">
      <c r="A290" s="71"/>
      <c r="B290" s="71"/>
      <c r="C290" s="48" t="s">
        <v>29</v>
      </c>
      <c r="D290" s="54">
        <f>G278</f>
        <v>1482</v>
      </c>
      <c r="E290" s="50">
        <v>84</v>
      </c>
      <c r="F290" s="51">
        <v>56</v>
      </c>
      <c r="G290" s="52">
        <f>IFERROR(D290+E290-F290,"")</f>
        <v>1510</v>
      </c>
    </row>
    <row r="291" spans="1:7" ht="21.75" customHeight="1">
      <c r="A291" s="71"/>
      <c r="B291" s="71"/>
      <c r="C291" s="48" t="s">
        <v>31</v>
      </c>
      <c r="D291" s="54">
        <f>G279</f>
        <v>1717</v>
      </c>
      <c r="E291" s="50">
        <v>115</v>
      </c>
      <c r="F291" s="51">
        <v>87</v>
      </c>
      <c r="G291" s="52">
        <f>IFERROR(D291+E291-F291,"")</f>
        <v>1745</v>
      </c>
    </row>
    <row r="292" spans="1:7" ht="21.75" customHeight="1">
      <c r="A292" s="71"/>
      <c r="B292" s="71"/>
      <c r="C292" s="48" t="s">
        <v>33</v>
      </c>
      <c r="D292" s="54">
        <f>G280</f>
        <v>776</v>
      </c>
      <c r="E292" s="50">
        <v>69</v>
      </c>
      <c r="F292" s="51">
        <v>53</v>
      </c>
      <c r="G292" s="52">
        <f>IFERROR(D292+E292-F292,"")</f>
        <v>792</v>
      </c>
    </row>
    <row r="293" spans="1:7" ht="21.75" customHeight="1">
      <c r="A293" s="71"/>
      <c r="B293" s="71"/>
      <c r="C293" s="48" t="s">
        <v>36</v>
      </c>
      <c r="D293" s="54">
        <f>G281</f>
        <v>2270</v>
      </c>
      <c r="E293" s="50">
        <v>100</v>
      </c>
      <c r="F293" s="51">
        <v>72</v>
      </c>
      <c r="G293" s="52">
        <f>IFERROR(D293+E293-F293,"")</f>
        <v>2298</v>
      </c>
    </row>
    <row r="294" spans="1:7" ht="21.75" customHeight="1">
      <c r="A294" s="73" t="s">
        <v>116</v>
      </c>
      <c r="B294" s="73"/>
      <c r="C294" s="73"/>
      <c r="D294" s="53">
        <f>IFERROR(SUM(D283:D293),"")</f>
        <v>17122</v>
      </c>
      <c r="E294" s="53">
        <f>IFERROR(SUM(E283:E293),"")</f>
        <v>1128</v>
      </c>
      <c r="F294" s="53">
        <f>IFERROR(SUM(F283:F293),"")</f>
        <v>842</v>
      </c>
      <c r="G294" s="53">
        <f>IFERROR(SUM(G283:G293),"")</f>
        <v>17408</v>
      </c>
    </row>
    <row r="295" spans="1:7" ht="21.75" customHeight="1">
      <c r="A295" s="71">
        <v>46078</v>
      </c>
      <c r="B295" s="72" t="s">
        <v>53</v>
      </c>
      <c r="C295" s="48" t="s">
        <v>26</v>
      </c>
      <c r="D295" s="54">
        <f>G283</f>
        <v>1892</v>
      </c>
      <c r="E295" s="50">
        <v>104</v>
      </c>
      <c r="F295" s="51">
        <v>81</v>
      </c>
      <c r="G295" s="52">
        <f>IFERROR(D295+E295-F295,"")</f>
        <v>1915</v>
      </c>
    </row>
    <row r="296" spans="1:7" ht="21.75" customHeight="1">
      <c r="A296" s="71"/>
      <c r="B296" s="71"/>
      <c r="C296" s="48" t="s">
        <v>27</v>
      </c>
      <c r="D296" s="54">
        <f>G284</f>
        <v>1328</v>
      </c>
      <c r="E296" s="50">
        <v>123</v>
      </c>
      <c r="F296" s="51">
        <v>91</v>
      </c>
      <c r="G296" s="52">
        <f>IFERROR(D296+E296-F296,"")</f>
        <v>1360</v>
      </c>
    </row>
    <row r="297" spans="1:7" ht="21.75" customHeight="1">
      <c r="A297" s="71"/>
      <c r="B297" s="71"/>
      <c r="C297" s="48" t="s">
        <v>30</v>
      </c>
      <c r="D297" s="54">
        <f>G285</f>
        <v>2090</v>
      </c>
      <c r="E297" s="50">
        <v>92</v>
      </c>
      <c r="F297" s="51">
        <v>72</v>
      </c>
      <c r="G297" s="52">
        <f>IFERROR(D297+E297-F297,"")</f>
        <v>2110</v>
      </c>
    </row>
    <row r="298" spans="1:7" ht="21.75" customHeight="1">
      <c r="A298" s="71"/>
      <c r="B298" s="71"/>
      <c r="C298" s="48" t="s">
        <v>32</v>
      </c>
      <c r="D298" s="54">
        <f>G286</f>
        <v>1100</v>
      </c>
      <c r="E298" s="50">
        <v>69</v>
      </c>
      <c r="F298" s="51">
        <v>52</v>
      </c>
      <c r="G298" s="52">
        <f>IFERROR(D298+E298-F298,"")</f>
        <v>1117</v>
      </c>
    </row>
    <row r="299" spans="1:7" ht="21.75" customHeight="1">
      <c r="A299" s="71"/>
      <c r="B299" s="71"/>
      <c r="C299" s="48" t="s">
        <v>34</v>
      </c>
      <c r="D299" s="54">
        <f>G287</f>
        <v>2038</v>
      </c>
      <c r="E299" s="50">
        <v>118</v>
      </c>
      <c r="F299" s="51">
        <v>78</v>
      </c>
      <c r="G299" s="52">
        <f>IFERROR(D299+E299-F299,"")</f>
        <v>2078</v>
      </c>
    </row>
    <row r="300" spans="1:7" ht="21.75" customHeight="1">
      <c r="A300" s="71"/>
      <c r="B300" s="71"/>
      <c r="C300" s="48" t="s">
        <v>25</v>
      </c>
      <c r="D300" s="54">
        <f>G288</f>
        <v>1240</v>
      </c>
      <c r="E300" s="50">
        <v>100</v>
      </c>
      <c r="F300" s="51">
        <v>85</v>
      </c>
      <c r="G300" s="52">
        <f>IFERROR(D300+E300-F300,"")</f>
        <v>1255</v>
      </c>
    </row>
    <row r="301" spans="1:7" ht="21.75" customHeight="1">
      <c r="A301" s="71"/>
      <c r="B301" s="71"/>
      <c r="C301" s="48" t="s">
        <v>35</v>
      </c>
      <c r="D301" s="54">
        <f>G289</f>
        <v>1375</v>
      </c>
      <c r="E301" s="50">
        <v>75</v>
      </c>
      <c r="F301" s="51">
        <v>55</v>
      </c>
      <c r="G301" s="52">
        <f>IFERROR(D301+E301-F301,"")</f>
        <v>1395</v>
      </c>
    </row>
    <row r="302" spans="1:7" ht="21.75" customHeight="1">
      <c r="A302" s="71"/>
      <c r="B302" s="71"/>
      <c r="C302" s="48" t="s">
        <v>29</v>
      </c>
      <c r="D302" s="54">
        <f>G290</f>
        <v>1510</v>
      </c>
      <c r="E302" s="50">
        <v>121</v>
      </c>
      <c r="F302" s="51">
        <v>81</v>
      </c>
      <c r="G302" s="52">
        <f>IFERROR(D302+E302-F302,"")</f>
        <v>1550</v>
      </c>
    </row>
    <row r="303" spans="1:7" ht="21.75" customHeight="1">
      <c r="A303" s="71"/>
      <c r="B303" s="71"/>
      <c r="C303" s="48" t="s">
        <v>31</v>
      </c>
      <c r="D303" s="54">
        <f>G291</f>
        <v>1745</v>
      </c>
      <c r="E303" s="50">
        <v>116</v>
      </c>
      <c r="F303" s="51">
        <v>88</v>
      </c>
      <c r="G303" s="52">
        <f>IFERROR(D303+E303-F303,"")</f>
        <v>1773</v>
      </c>
    </row>
    <row r="304" spans="1:7" ht="21.75" customHeight="1">
      <c r="A304" s="71"/>
      <c r="B304" s="71"/>
      <c r="C304" s="48" t="s">
        <v>33</v>
      </c>
      <c r="D304" s="54">
        <f>G292</f>
        <v>792</v>
      </c>
      <c r="E304" s="50">
        <v>85</v>
      </c>
      <c r="F304" s="51">
        <v>82</v>
      </c>
      <c r="G304" s="52">
        <f>IFERROR(D304+E304-F304,"")</f>
        <v>795</v>
      </c>
    </row>
    <row r="305" spans="1:7" ht="21.75" customHeight="1">
      <c r="A305" s="71"/>
      <c r="B305" s="71"/>
      <c r="C305" s="48" t="s">
        <v>36</v>
      </c>
      <c r="D305" s="54">
        <f>G293</f>
        <v>2298</v>
      </c>
      <c r="E305" s="50">
        <v>160</v>
      </c>
      <c r="F305" s="51">
        <v>119</v>
      </c>
      <c r="G305" s="52">
        <f>IFERROR(D305+E305-F305,"")</f>
        <v>2339</v>
      </c>
    </row>
    <row r="306" spans="1:7" ht="21.75" customHeight="1">
      <c r="A306" s="73" t="s">
        <v>117</v>
      </c>
      <c r="B306" s="73"/>
      <c r="C306" s="73"/>
      <c r="D306" s="53">
        <f>IFERROR(SUM(D295:D305),"")</f>
        <v>17408</v>
      </c>
      <c r="E306" s="53">
        <f>IFERROR(SUM(E295:E305),"")</f>
        <v>1163</v>
      </c>
      <c r="F306" s="53">
        <f>IFERROR(SUM(F295:F305),"")</f>
        <v>884</v>
      </c>
      <c r="G306" s="53">
        <f>IFERROR(SUM(G295:G305),"")</f>
        <v>17687</v>
      </c>
    </row>
    <row r="307" spans="1:7" ht="21.75" customHeight="1">
      <c r="A307" s="71">
        <v>46079</v>
      </c>
      <c r="B307" s="72" t="s">
        <v>45</v>
      </c>
      <c r="C307" s="48" t="s">
        <v>26</v>
      </c>
      <c r="D307" s="54">
        <f>G295</f>
        <v>1915</v>
      </c>
      <c r="E307" s="50">
        <v>129</v>
      </c>
      <c r="F307" s="51">
        <v>102</v>
      </c>
      <c r="G307" s="52">
        <f>IFERROR(D307+E307-F307,"")</f>
        <v>1942</v>
      </c>
    </row>
    <row r="308" spans="1:7" ht="21.75" customHeight="1">
      <c r="A308" s="71"/>
      <c r="B308" s="71"/>
      <c r="C308" s="48" t="s">
        <v>27</v>
      </c>
      <c r="D308" s="54">
        <f>G296</f>
        <v>1360</v>
      </c>
      <c r="E308" s="50">
        <v>110</v>
      </c>
      <c r="F308" s="51">
        <v>87</v>
      </c>
      <c r="G308" s="52">
        <f>IFERROR(D308+E308-F308,"")</f>
        <v>1383</v>
      </c>
    </row>
    <row r="309" spans="1:7" ht="21.75" customHeight="1">
      <c r="A309" s="71"/>
      <c r="B309" s="71"/>
      <c r="C309" s="48" t="s">
        <v>30</v>
      </c>
      <c r="D309" s="54">
        <f>G297</f>
        <v>2110</v>
      </c>
      <c r="E309" s="50">
        <v>154</v>
      </c>
      <c r="F309" s="51">
        <v>93</v>
      </c>
      <c r="G309" s="52">
        <f>IFERROR(D309+E309-F309,"")</f>
        <v>2171</v>
      </c>
    </row>
    <row r="310" spans="1:7" ht="21.75" customHeight="1">
      <c r="A310" s="71"/>
      <c r="B310" s="71"/>
      <c r="C310" s="48" t="s">
        <v>32</v>
      </c>
      <c r="D310" s="54">
        <f>G298</f>
        <v>1117</v>
      </c>
      <c r="E310" s="50">
        <v>94</v>
      </c>
      <c r="F310" s="51">
        <v>75</v>
      </c>
      <c r="G310" s="52">
        <f>IFERROR(D310+E310-F310,"")</f>
        <v>1136</v>
      </c>
    </row>
    <row r="311" spans="1:7" ht="21.75" customHeight="1">
      <c r="A311" s="71"/>
      <c r="B311" s="71"/>
      <c r="C311" s="48" t="s">
        <v>34</v>
      </c>
      <c r="D311" s="54">
        <f>G299</f>
        <v>2078</v>
      </c>
      <c r="E311" s="50">
        <v>122</v>
      </c>
      <c r="F311" s="51">
        <v>81</v>
      </c>
      <c r="G311" s="52">
        <f>IFERROR(D311+E311-F311,"")</f>
        <v>2119</v>
      </c>
    </row>
    <row r="312" spans="1:7" ht="21.75" customHeight="1">
      <c r="A312" s="71"/>
      <c r="B312" s="71"/>
      <c r="C312" s="48" t="s">
        <v>25</v>
      </c>
      <c r="D312" s="54">
        <f>G300</f>
        <v>1255</v>
      </c>
      <c r="E312" s="50">
        <v>107</v>
      </c>
      <c r="F312" s="51">
        <v>81</v>
      </c>
      <c r="G312" s="52">
        <f>IFERROR(D312+E312-F312,"")</f>
        <v>1281</v>
      </c>
    </row>
    <row r="313" spans="1:7" ht="21.75" customHeight="1">
      <c r="A313" s="71"/>
      <c r="B313" s="71"/>
      <c r="C313" s="48" t="s">
        <v>35</v>
      </c>
      <c r="D313" s="54">
        <f>G301</f>
        <v>1395</v>
      </c>
      <c r="E313" s="50">
        <v>97</v>
      </c>
      <c r="F313" s="51">
        <v>84</v>
      </c>
      <c r="G313" s="52">
        <f>IFERROR(D313+E313-F313,"")</f>
        <v>1408</v>
      </c>
    </row>
    <row r="314" spans="1:7" ht="21.75" customHeight="1">
      <c r="A314" s="71"/>
      <c r="B314" s="71"/>
      <c r="C314" s="48" t="s">
        <v>29</v>
      </c>
      <c r="D314" s="54">
        <f>G302</f>
        <v>1550</v>
      </c>
      <c r="E314" s="50">
        <v>66</v>
      </c>
      <c r="F314" s="51">
        <v>49</v>
      </c>
      <c r="G314" s="52">
        <f>IFERROR(D314+E314-F314,"")</f>
        <v>1567</v>
      </c>
    </row>
    <row r="315" spans="1:7" ht="21.75" customHeight="1">
      <c r="A315" s="71"/>
      <c r="B315" s="71"/>
      <c r="C315" s="48" t="s">
        <v>31</v>
      </c>
      <c r="D315" s="54">
        <f>G303</f>
        <v>1773</v>
      </c>
      <c r="E315" s="50">
        <v>102</v>
      </c>
      <c r="F315" s="51">
        <v>75</v>
      </c>
      <c r="G315" s="52">
        <f>IFERROR(D315+E315-F315,"")</f>
        <v>1800</v>
      </c>
    </row>
    <row r="316" spans="1:7" ht="21.75" customHeight="1">
      <c r="A316" s="71"/>
      <c r="B316" s="71"/>
      <c r="C316" s="48" t="s">
        <v>33</v>
      </c>
      <c r="D316" s="54">
        <f>G304</f>
        <v>795</v>
      </c>
      <c r="E316" s="50">
        <v>94</v>
      </c>
      <c r="F316" s="51">
        <v>88</v>
      </c>
      <c r="G316" s="52">
        <f>IFERROR(D316+E316-F316,"")</f>
        <v>801</v>
      </c>
    </row>
    <row r="317" spans="1:7" ht="21.75" customHeight="1">
      <c r="A317" s="71"/>
      <c r="B317" s="71"/>
      <c r="C317" s="48" t="s">
        <v>36</v>
      </c>
      <c r="D317" s="54">
        <f>G305</f>
        <v>2339</v>
      </c>
      <c r="E317" s="50">
        <v>163</v>
      </c>
      <c r="F317" s="51">
        <v>128</v>
      </c>
      <c r="G317" s="52">
        <f>IFERROR(D317+E317-F317,"")</f>
        <v>2374</v>
      </c>
    </row>
    <row r="318" spans="1:7" ht="21.75" customHeight="1">
      <c r="A318" s="73" t="s">
        <v>118</v>
      </c>
      <c r="B318" s="73"/>
      <c r="C318" s="73"/>
      <c r="D318" s="53">
        <f>IFERROR(SUM(D307:D317),"")</f>
        <v>17687</v>
      </c>
      <c r="E318" s="53">
        <f>IFERROR(SUM(E307:E317),"")</f>
        <v>1238</v>
      </c>
      <c r="F318" s="53">
        <f>IFERROR(SUM(F307:F317),"")</f>
        <v>943</v>
      </c>
      <c r="G318" s="53">
        <f>IFERROR(SUM(G307:G317),"")</f>
        <v>17982</v>
      </c>
    </row>
    <row r="319" spans="1:7" ht="21.75" customHeight="1">
      <c r="A319" s="71">
        <v>46080</v>
      </c>
      <c r="B319" s="72" t="s">
        <v>47</v>
      </c>
      <c r="C319" s="48" t="s">
        <v>26</v>
      </c>
      <c r="D319" s="54">
        <f>G307</f>
        <v>1942</v>
      </c>
      <c r="E319" s="50">
        <v>121</v>
      </c>
      <c r="F319" s="51">
        <v>80</v>
      </c>
      <c r="G319" s="52">
        <f>IFERROR(D319+E319-F319,"")</f>
        <v>1983</v>
      </c>
    </row>
    <row r="320" spans="1:7" ht="21.75" customHeight="1">
      <c r="A320" s="71"/>
      <c r="B320" s="71"/>
      <c r="C320" s="48" t="s">
        <v>27</v>
      </c>
      <c r="D320" s="54">
        <f>G308</f>
        <v>1383</v>
      </c>
      <c r="E320" s="50">
        <v>126</v>
      </c>
      <c r="F320" s="51">
        <v>94</v>
      </c>
      <c r="G320" s="52">
        <f>IFERROR(D320+E320-F320,"")</f>
        <v>1415</v>
      </c>
    </row>
    <row r="321" spans="1:7" ht="21.75" customHeight="1">
      <c r="A321" s="71"/>
      <c r="B321" s="71"/>
      <c r="C321" s="48" t="s">
        <v>30</v>
      </c>
      <c r="D321" s="54">
        <f>G309</f>
        <v>2171</v>
      </c>
      <c r="E321" s="50">
        <v>137</v>
      </c>
      <c r="F321" s="51">
        <v>103</v>
      </c>
      <c r="G321" s="52">
        <f>IFERROR(D321+E321-F321,"")</f>
        <v>2205</v>
      </c>
    </row>
    <row r="322" spans="1:7" ht="21.75" customHeight="1">
      <c r="A322" s="71"/>
      <c r="B322" s="71"/>
      <c r="C322" s="48" t="s">
        <v>32</v>
      </c>
      <c r="D322" s="54">
        <f>G310</f>
        <v>1136</v>
      </c>
      <c r="E322" s="50">
        <v>106</v>
      </c>
      <c r="F322" s="51">
        <v>79</v>
      </c>
      <c r="G322" s="52">
        <f>IFERROR(D322+E322-F322,"")</f>
        <v>1163</v>
      </c>
    </row>
    <row r="323" spans="1:7" ht="21.75" customHeight="1">
      <c r="A323" s="71"/>
      <c r="B323" s="71"/>
      <c r="C323" s="48" t="s">
        <v>34</v>
      </c>
      <c r="D323" s="54">
        <f>G311</f>
        <v>2119</v>
      </c>
      <c r="E323" s="50">
        <v>126</v>
      </c>
      <c r="F323" s="51">
        <v>87</v>
      </c>
      <c r="G323" s="52">
        <f>IFERROR(D323+E323-F323,"")</f>
        <v>2158</v>
      </c>
    </row>
    <row r="324" spans="1:7" ht="21.75" customHeight="1">
      <c r="A324" s="71"/>
      <c r="B324" s="71"/>
      <c r="C324" s="48" t="s">
        <v>25</v>
      </c>
      <c r="D324" s="54">
        <f>G312</f>
        <v>1281</v>
      </c>
      <c r="E324" s="50">
        <v>81</v>
      </c>
      <c r="F324" s="51">
        <v>68</v>
      </c>
      <c r="G324" s="52">
        <f>IFERROR(D324+E324-F324,"")</f>
        <v>1294</v>
      </c>
    </row>
    <row r="325" spans="1:7" ht="21.75" customHeight="1">
      <c r="A325" s="71"/>
      <c r="B325" s="71"/>
      <c r="C325" s="48" t="s">
        <v>35</v>
      </c>
      <c r="D325" s="54">
        <f>G313</f>
        <v>1408</v>
      </c>
      <c r="E325" s="50">
        <v>79</v>
      </c>
      <c r="F325" s="51">
        <v>71</v>
      </c>
      <c r="G325" s="52">
        <f>IFERROR(D325+E325-F325,"")</f>
        <v>1416</v>
      </c>
    </row>
    <row r="326" spans="1:7" ht="21.75" customHeight="1">
      <c r="A326" s="71"/>
      <c r="B326" s="71"/>
      <c r="C326" s="48" t="s">
        <v>29</v>
      </c>
      <c r="D326" s="54">
        <f>G314</f>
        <v>1567</v>
      </c>
      <c r="E326" s="50">
        <v>94</v>
      </c>
      <c r="F326" s="51">
        <v>69</v>
      </c>
      <c r="G326" s="52">
        <f>IFERROR(D326+E326-F326,"")</f>
        <v>1592</v>
      </c>
    </row>
    <row r="327" spans="1:7" ht="21.75" customHeight="1">
      <c r="A327" s="71"/>
      <c r="B327" s="71"/>
      <c r="C327" s="48" t="s">
        <v>31</v>
      </c>
      <c r="D327" s="54">
        <f>G315</f>
        <v>1800</v>
      </c>
      <c r="E327" s="50">
        <v>111</v>
      </c>
      <c r="F327" s="51">
        <v>83</v>
      </c>
      <c r="G327" s="52">
        <f>IFERROR(D327+E327-F327,"")</f>
        <v>1828</v>
      </c>
    </row>
    <row r="328" spans="1:7" ht="21.75" customHeight="1">
      <c r="A328" s="71"/>
      <c r="B328" s="71"/>
      <c r="C328" s="48" t="s">
        <v>33</v>
      </c>
      <c r="D328" s="54">
        <f>G316</f>
        <v>801</v>
      </c>
      <c r="E328" s="50">
        <v>62</v>
      </c>
      <c r="F328" s="51">
        <v>57</v>
      </c>
      <c r="G328" s="52">
        <f>IFERROR(D328+E328-F328,"")</f>
        <v>806</v>
      </c>
    </row>
    <row r="329" spans="1:7" ht="21.75" customHeight="1">
      <c r="A329" s="71"/>
      <c r="B329" s="71"/>
      <c r="C329" s="48" t="s">
        <v>36</v>
      </c>
      <c r="D329" s="54">
        <f>G317</f>
        <v>2374</v>
      </c>
      <c r="E329" s="50">
        <v>165</v>
      </c>
      <c r="F329" s="51">
        <v>124</v>
      </c>
      <c r="G329" s="52">
        <f>IFERROR(D329+E329-F329,"")</f>
        <v>2415</v>
      </c>
    </row>
    <row r="330" spans="1:7" ht="21.75" customHeight="1">
      <c r="A330" s="73" t="s">
        <v>119</v>
      </c>
      <c r="B330" s="73"/>
      <c r="C330" s="73"/>
      <c r="D330" s="53">
        <f>IFERROR(SUM(D319:D329),"")</f>
        <v>17982</v>
      </c>
      <c r="E330" s="53">
        <f>IFERROR(SUM(E319:E329),"")</f>
        <v>1208</v>
      </c>
      <c r="F330" s="53">
        <f>IFERROR(SUM(F319:F329),"")</f>
        <v>915</v>
      </c>
      <c r="G330" s="53">
        <f>IFERROR(SUM(G319:G329),"")</f>
        <v>18275</v>
      </c>
    </row>
    <row r="331" spans="1:7" ht="21.75" customHeight="1">
      <c r="A331" s="74">
        <v>46081</v>
      </c>
      <c r="B331" s="75" t="s">
        <v>48</v>
      </c>
      <c r="C331" s="48" t="s">
        <v>26</v>
      </c>
      <c r="D331" s="54">
        <f>G319</f>
        <v>1983</v>
      </c>
      <c r="E331" s="50">
        <v>43</v>
      </c>
      <c r="F331" s="51">
        <v>31</v>
      </c>
      <c r="G331" s="52">
        <f>IFERROR(D331+E331-F331,"")</f>
        <v>1995</v>
      </c>
    </row>
    <row r="332" spans="1:7" ht="21.75" customHeight="1">
      <c r="A332" s="74"/>
      <c r="B332" s="74"/>
      <c r="C332" s="48" t="s">
        <v>27</v>
      </c>
      <c r="D332" s="54">
        <f>G320</f>
        <v>1415</v>
      </c>
      <c r="E332" s="50">
        <v>54</v>
      </c>
      <c r="F332" s="51">
        <v>41</v>
      </c>
      <c r="G332" s="52">
        <f>IFERROR(D332+E332-F332,"")</f>
        <v>1428</v>
      </c>
    </row>
    <row r="333" spans="1:7" ht="21.75" customHeight="1">
      <c r="A333" s="74"/>
      <c r="B333" s="74"/>
      <c r="C333" s="48" t="s">
        <v>30</v>
      </c>
      <c r="D333" s="54">
        <f>G321</f>
        <v>2205</v>
      </c>
      <c r="E333" s="50">
        <v>78</v>
      </c>
      <c r="F333" s="51">
        <v>51</v>
      </c>
      <c r="G333" s="52">
        <f>IFERROR(D333+E333-F333,"")</f>
        <v>2232</v>
      </c>
    </row>
    <row r="334" spans="1:7" ht="21.75" customHeight="1">
      <c r="A334" s="74"/>
      <c r="B334" s="74"/>
      <c r="C334" s="48" t="s">
        <v>32</v>
      </c>
      <c r="D334" s="54">
        <f>G322</f>
        <v>1163</v>
      </c>
      <c r="E334" s="50">
        <v>30</v>
      </c>
      <c r="F334" s="51">
        <v>22</v>
      </c>
      <c r="G334" s="52">
        <f>IFERROR(D334+E334-F334,"")</f>
        <v>1171</v>
      </c>
    </row>
    <row r="335" spans="1:7" ht="21.75" customHeight="1">
      <c r="A335" s="74"/>
      <c r="B335" s="74"/>
      <c r="C335" s="48" t="s">
        <v>34</v>
      </c>
      <c r="D335" s="54">
        <f>G323</f>
        <v>2158</v>
      </c>
      <c r="E335" s="50">
        <v>59</v>
      </c>
      <c r="F335" s="51">
        <v>44</v>
      </c>
      <c r="G335" s="52">
        <f>IFERROR(D335+E335-F335,"")</f>
        <v>2173</v>
      </c>
    </row>
    <row r="336" spans="1:7" ht="21.75" customHeight="1">
      <c r="A336" s="74"/>
      <c r="B336" s="74"/>
      <c r="C336" s="48" t="s">
        <v>25</v>
      </c>
      <c r="D336" s="54">
        <f>G324</f>
        <v>1294</v>
      </c>
      <c r="E336" s="50">
        <v>36</v>
      </c>
      <c r="F336" s="51">
        <v>30</v>
      </c>
      <c r="G336" s="52">
        <f>IFERROR(D336+E336-F336,"")</f>
        <v>1300</v>
      </c>
    </row>
    <row r="337" spans="1:7" ht="21.75" customHeight="1">
      <c r="A337" s="74"/>
      <c r="B337" s="74"/>
      <c r="C337" s="48" t="s">
        <v>35</v>
      </c>
      <c r="D337" s="54">
        <f>G325</f>
        <v>1416</v>
      </c>
      <c r="E337" s="50">
        <v>35</v>
      </c>
      <c r="F337" s="51">
        <v>25</v>
      </c>
      <c r="G337" s="52">
        <f>IFERROR(D337+E337-F337,"")</f>
        <v>1426</v>
      </c>
    </row>
    <row r="338" spans="1:7" ht="21.75" customHeight="1">
      <c r="A338" s="74"/>
      <c r="B338" s="74"/>
      <c r="C338" s="48" t="s">
        <v>29</v>
      </c>
      <c r="D338" s="54">
        <f>G326</f>
        <v>1592</v>
      </c>
      <c r="E338" s="50">
        <v>46</v>
      </c>
      <c r="F338" s="51">
        <v>36</v>
      </c>
      <c r="G338" s="52">
        <f>IFERROR(D338+E338-F338,"")</f>
        <v>1602</v>
      </c>
    </row>
    <row r="339" spans="1:7" ht="21.75" customHeight="1">
      <c r="A339" s="74"/>
      <c r="B339" s="74"/>
      <c r="C339" s="48" t="s">
        <v>31</v>
      </c>
      <c r="D339" s="54">
        <f>G327</f>
        <v>1828</v>
      </c>
      <c r="E339" s="50">
        <v>60</v>
      </c>
      <c r="F339" s="51">
        <v>48</v>
      </c>
      <c r="G339" s="52">
        <f>IFERROR(D339+E339-F339,"")</f>
        <v>1840</v>
      </c>
    </row>
    <row r="340" spans="1:7" ht="21.75" customHeight="1">
      <c r="A340" s="74"/>
      <c r="B340" s="74"/>
      <c r="C340" s="48" t="s">
        <v>33</v>
      </c>
      <c r="D340" s="54">
        <f>G328</f>
        <v>806</v>
      </c>
      <c r="E340" s="50">
        <v>40</v>
      </c>
      <c r="F340" s="51">
        <v>36</v>
      </c>
      <c r="G340" s="52">
        <f>IFERROR(D340+E340-F340,"")</f>
        <v>810</v>
      </c>
    </row>
    <row r="341" spans="1:7" ht="21.75" customHeight="1">
      <c r="A341" s="74"/>
      <c r="B341" s="74"/>
      <c r="C341" s="48" t="s">
        <v>36</v>
      </c>
      <c r="D341" s="54">
        <f>G329</f>
        <v>2415</v>
      </c>
      <c r="E341" s="50">
        <v>74</v>
      </c>
      <c r="F341" s="51">
        <v>49</v>
      </c>
      <c r="G341" s="52">
        <f>IFERROR(D341+E341-F341,"")</f>
        <v>2440</v>
      </c>
    </row>
    <row r="342" spans="1:7" ht="21.75" customHeight="1">
      <c r="A342" s="73" t="s">
        <v>120</v>
      </c>
      <c r="B342" s="73"/>
      <c r="C342" s="73"/>
      <c r="D342" s="53">
        <f>IFERROR(SUM(D331:D341),"")</f>
        <v>18275</v>
      </c>
      <c r="E342" s="53">
        <f>IFERROR(SUM(E331:E341),"")</f>
        <v>555</v>
      </c>
      <c r="F342" s="53">
        <f>IFERROR(SUM(F331:F341),"")</f>
        <v>413</v>
      </c>
      <c r="G342" s="53">
        <f>IFERROR(SUM(G331:G341),"")</f>
        <v>18417</v>
      </c>
    </row>
    <row r="343" spans="1:7" ht="25.5" customHeight="1">
      <c r="A343" s="76" t="s">
        <v>121</v>
      </c>
      <c r="B343" s="76"/>
      <c r="C343" s="76"/>
      <c r="D343" s="55">
        <f>IFERROR(SUM(D7:D17),"")</f>
        <v>11574</v>
      </c>
      <c r="E343" s="55">
        <f>IFERROR(E18+E30+E42+E54+E66+E78+E90+E102+E114+E126+E138+E150+E162+E174+E186+E198+E210+E222+E234+E246+E258+E270+E282+E294+E306+E318+E330+E342,"")</f>
        <v>28180</v>
      </c>
      <c r="F343" s="55">
        <f>IFERROR(F18+F30+F42+F54+F66+F78+F90+F102+F114+F126+F138+F150+F162+F174+F186+F198+F210+F222+F234+F246+F258+F270+F282+F294+F306+F318+F330+F342,"")</f>
        <v>21337</v>
      </c>
      <c r="G343" s="55">
        <f>IFERROR(G342,"")</f>
        <v>18417</v>
      </c>
    </row>
  </sheetData>
  <mergeCells count="87">
    <mergeCell ref="A330:C330"/>
    <mergeCell ref="A331:A341"/>
    <mergeCell ref="B331:B341"/>
    <mergeCell ref="A342:C342"/>
    <mergeCell ref="A343:C34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G379"/>
  <sheetViews>
    <sheetView zoomScaleNormal="100" workbookViewId="0">
      <pane ySplit="6" topLeftCell="A376" activePane="bottomLeft" state="frozen"/>
      <selection pane="bottomLeft" activeCell="A7" sqref="A7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122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4">
        <v>46082</v>
      </c>
      <c r="B7" s="75" t="s">
        <v>50</v>
      </c>
      <c r="C7" s="48" t="s">
        <v>26</v>
      </c>
      <c r="D7" s="49">
        <f>'Feb 2026'!G331</f>
        <v>1995</v>
      </c>
      <c r="E7" s="50">
        <v>75</v>
      </c>
      <c r="F7" s="51">
        <v>50</v>
      </c>
      <c r="G7" s="52">
        <f>IFERROR(D7+E7-F7,"")</f>
        <v>2020</v>
      </c>
    </row>
    <row r="8" spans="1:7" ht="21.75" customHeight="1">
      <c r="A8" s="74"/>
      <c r="B8" s="74"/>
      <c r="C8" s="48" t="s">
        <v>27</v>
      </c>
      <c r="D8" s="49">
        <f>'Feb 2026'!G332</f>
        <v>1428</v>
      </c>
      <c r="E8" s="50">
        <v>51</v>
      </c>
      <c r="F8" s="51">
        <v>38</v>
      </c>
      <c r="G8" s="52">
        <f>IFERROR(D8+E8-F8,"")</f>
        <v>1441</v>
      </c>
    </row>
    <row r="9" spans="1:7" ht="21.75" customHeight="1">
      <c r="A9" s="74"/>
      <c r="B9" s="74"/>
      <c r="C9" s="48" t="s">
        <v>30</v>
      </c>
      <c r="D9" s="49">
        <f>'Feb 2026'!G333</f>
        <v>2232</v>
      </c>
      <c r="E9" s="50">
        <v>39</v>
      </c>
      <c r="F9" s="51">
        <v>23</v>
      </c>
      <c r="G9" s="52">
        <f>IFERROR(D9+E9-F9,"")</f>
        <v>2248</v>
      </c>
    </row>
    <row r="10" spans="1:7" ht="21.75" customHeight="1">
      <c r="A10" s="74"/>
      <c r="B10" s="74"/>
      <c r="C10" s="48" t="s">
        <v>32</v>
      </c>
      <c r="D10" s="49">
        <f>'Feb 2026'!G334</f>
        <v>1171</v>
      </c>
      <c r="E10" s="50">
        <v>50</v>
      </c>
      <c r="F10" s="51">
        <v>39</v>
      </c>
      <c r="G10" s="52">
        <f>IFERROR(D10+E10-F10,"")</f>
        <v>1182</v>
      </c>
    </row>
    <row r="11" spans="1:7" ht="21.75" customHeight="1">
      <c r="A11" s="74"/>
      <c r="B11" s="74"/>
      <c r="C11" s="48" t="s">
        <v>34</v>
      </c>
      <c r="D11" s="49">
        <f>'Feb 2026'!G335</f>
        <v>2173</v>
      </c>
      <c r="E11" s="50">
        <v>78</v>
      </c>
      <c r="F11" s="51">
        <v>51</v>
      </c>
      <c r="G11" s="52">
        <f>IFERROR(D11+E11-F11,"")</f>
        <v>2200</v>
      </c>
    </row>
    <row r="12" spans="1:7" ht="21.75" customHeight="1">
      <c r="A12" s="74"/>
      <c r="B12" s="74"/>
      <c r="C12" s="48" t="s">
        <v>25</v>
      </c>
      <c r="D12" s="49">
        <f>'Feb 2026'!G336</f>
        <v>1300</v>
      </c>
      <c r="E12" s="50">
        <v>34</v>
      </c>
      <c r="F12" s="51">
        <v>25</v>
      </c>
      <c r="G12" s="52">
        <f>IFERROR(D12+E12-F12,"")</f>
        <v>1309</v>
      </c>
    </row>
    <row r="13" spans="1:7" ht="21.75" customHeight="1">
      <c r="A13" s="74"/>
      <c r="B13" s="74"/>
      <c r="C13" s="48" t="s">
        <v>35</v>
      </c>
      <c r="D13" s="49">
        <f>'Feb 2026'!G337</f>
        <v>1426</v>
      </c>
      <c r="E13" s="50">
        <v>53</v>
      </c>
      <c r="F13" s="51">
        <v>47</v>
      </c>
      <c r="G13" s="52">
        <f>IFERROR(D13+E13-F13,"")</f>
        <v>1432</v>
      </c>
    </row>
    <row r="14" spans="1:7" ht="21.75" customHeight="1">
      <c r="A14" s="74"/>
      <c r="B14" s="74"/>
      <c r="C14" s="48" t="s">
        <v>29</v>
      </c>
      <c r="D14" s="49">
        <f>'Feb 2026'!G338</f>
        <v>1602</v>
      </c>
      <c r="E14" s="50">
        <v>43</v>
      </c>
      <c r="F14" s="51">
        <v>30</v>
      </c>
      <c r="G14" s="52">
        <f>IFERROR(D14+E14-F14,"")</f>
        <v>1615</v>
      </c>
    </row>
    <row r="15" spans="1:7" ht="21.75" customHeight="1">
      <c r="A15" s="74"/>
      <c r="B15" s="74"/>
      <c r="C15" s="48" t="s">
        <v>31</v>
      </c>
      <c r="D15" s="49">
        <f>'Feb 2026'!G339</f>
        <v>1840</v>
      </c>
      <c r="E15" s="50">
        <v>53</v>
      </c>
      <c r="F15" s="51">
        <v>41</v>
      </c>
      <c r="G15" s="52">
        <f>IFERROR(D15+E15-F15,"")</f>
        <v>1852</v>
      </c>
    </row>
    <row r="16" spans="1:7" ht="21.75" customHeight="1">
      <c r="A16" s="74"/>
      <c r="B16" s="74"/>
      <c r="C16" s="48" t="s">
        <v>33</v>
      </c>
      <c r="D16" s="49">
        <f>'Feb 2026'!G340</f>
        <v>810</v>
      </c>
      <c r="E16" s="50">
        <v>27</v>
      </c>
      <c r="F16" s="51">
        <v>25</v>
      </c>
      <c r="G16" s="52">
        <f>IFERROR(D16+E16-F16,"")</f>
        <v>812</v>
      </c>
    </row>
    <row r="17" spans="1:7" ht="21.75" customHeight="1">
      <c r="A17" s="74"/>
      <c r="B17" s="74"/>
      <c r="C17" s="48" t="s">
        <v>36</v>
      </c>
      <c r="D17" s="49">
        <f>'Feb 2026'!G341</f>
        <v>2440</v>
      </c>
      <c r="E17" s="50">
        <v>68</v>
      </c>
      <c r="F17" s="51">
        <v>54</v>
      </c>
      <c r="G17" s="52">
        <f>IFERROR(D17+E17-F17,"")</f>
        <v>2454</v>
      </c>
    </row>
    <row r="18" spans="1:7" ht="21.75" customHeight="1">
      <c r="A18" s="73" t="s">
        <v>123</v>
      </c>
      <c r="B18" s="73"/>
      <c r="C18" s="73"/>
      <c r="D18" s="53">
        <f>IFERROR(SUM(D7:D17),"")</f>
        <v>18417</v>
      </c>
      <c r="E18" s="53">
        <f>IFERROR(SUM(E7:E17),"")</f>
        <v>571</v>
      </c>
      <c r="F18" s="53">
        <f>IFERROR(SUM(F7:F17),"")</f>
        <v>423</v>
      </c>
      <c r="G18" s="53">
        <f>IFERROR(SUM(G7:G17),"")</f>
        <v>18565</v>
      </c>
    </row>
    <row r="19" spans="1:7" ht="21.75" customHeight="1">
      <c r="A19" s="71">
        <v>46083</v>
      </c>
      <c r="B19" s="72" t="s">
        <v>51</v>
      </c>
      <c r="C19" s="48" t="s">
        <v>26</v>
      </c>
      <c r="D19" s="54">
        <f>G7</f>
        <v>2020</v>
      </c>
      <c r="E19" s="50">
        <v>149</v>
      </c>
      <c r="F19" s="51">
        <v>97</v>
      </c>
      <c r="G19" s="52">
        <f>IFERROR(D19+E19-F19,"")</f>
        <v>2072</v>
      </c>
    </row>
    <row r="20" spans="1:7" ht="21.75" customHeight="1">
      <c r="A20" s="71"/>
      <c r="B20" s="71"/>
      <c r="C20" s="48" t="s">
        <v>27</v>
      </c>
      <c r="D20" s="54">
        <f>G8</f>
        <v>1441</v>
      </c>
      <c r="E20" s="50">
        <v>92</v>
      </c>
      <c r="F20" s="51">
        <v>66</v>
      </c>
      <c r="G20" s="52">
        <f>IFERROR(D20+E20-F20,"")</f>
        <v>1467</v>
      </c>
    </row>
    <row r="21" spans="1:7" ht="21.75" customHeight="1">
      <c r="A21" s="71"/>
      <c r="B21" s="71"/>
      <c r="C21" s="48" t="s">
        <v>30</v>
      </c>
      <c r="D21" s="54">
        <f>G9</f>
        <v>2248</v>
      </c>
      <c r="E21" s="50">
        <v>123</v>
      </c>
      <c r="F21" s="51">
        <v>75</v>
      </c>
      <c r="G21" s="52">
        <f>IFERROR(D21+E21-F21,"")</f>
        <v>2296</v>
      </c>
    </row>
    <row r="22" spans="1:7" ht="21.75" customHeight="1">
      <c r="A22" s="71"/>
      <c r="B22" s="71"/>
      <c r="C22" s="48" t="s">
        <v>32</v>
      </c>
      <c r="D22" s="54">
        <f>G10</f>
        <v>1182</v>
      </c>
      <c r="E22" s="50">
        <v>94</v>
      </c>
      <c r="F22" s="51">
        <v>76</v>
      </c>
      <c r="G22" s="52">
        <f>IFERROR(D22+E22-F22,"")</f>
        <v>1200</v>
      </c>
    </row>
    <row r="23" spans="1:7" ht="21.75" customHeight="1">
      <c r="A23" s="71"/>
      <c r="B23" s="71"/>
      <c r="C23" s="48" t="s">
        <v>34</v>
      </c>
      <c r="D23" s="54">
        <f>G11</f>
        <v>2200</v>
      </c>
      <c r="E23" s="50">
        <v>105</v>
      </c>
      <c r="F23" s="51">
        <v>82</v>
      </c>
      <c r="G23" s="52">
        <f>IFERROR(D23+E23-F23,"")</f>
        <v>2223</v>
      </c>
    </row>
    <row r="24" spans="1:7" ht="21.75" customHeight="1">
      <c r="A24" s="71"/>
      <c r="B24" s="71"/>
      <c r="C24" s="48" t="s">
        <v>25</v>
      </c>
      <c r="D24" s="54">
        <f>G12</f>
        <v>1309</v>
      </c>
      <c r="E24" s="50">
        <v>107</v>
      </c>
      <c r="F24" s="51">
        <v>88</v>
      </c>
      <c r="G24" s="52">
        <f>IFERROR(D24+E24-F24,"")</f>
        <v>1328</v>
      </c>
    </row>
    <row r="25" spans="1:7" ht="21.75" customHeight="1">
      <c r="A25" s="71"/>
      <c r="B25" s="71"/>
      <c r="C25" s="48" t="s">
        <v>35</v>
      </c>
      <c r="D25" s="54">
        <f>G13</f>
        <v>1432</v>
      </c>
      <c r="E25" s="50">
        <v>133</v>
      </c>
      <c r="F25" s="51">
        <v>111</v>
      </c>
      <c r="G25" s="52">
        <f>IFERROR(D25+E25-F25,"")</f>
        <v>1454</v>
      </c>
    </row>
    <row r="26" spans="1:7" ht="21.75" customHeight="1">
      <c r="A26" s="71"/>
      <c r="B26" s="71"/>
      <c r="C26" s="48" t="s">
        <v>29</v>
      </c>
      <c r="D26" s="54">
        <f>G14</f>
        <v>1615</v>
      </c>
      <c r="E26" s="50">
        <v>67</v>
      </c>
      <c r="F26" s="51">
        <v>46</v>
      </c>
      <c r="G26" s="52">
        <f>IFERROR(D26+E26-F26,"")</f>
        <v>1636</v>
      </c>
    </row>
    <row r="27" spans="1:7" ht="21.75" customHeight="1">
      <c r="A27" s="71"/>
      <c r="B27" s="71"/>
      <c r="C27" s="48" t="s">
        <v>31</v>
      </c>
      <c r="D27" s="54">
        <f>G15</f>
        <v>1852</v>
      </c>
      <c r="E27" s="50">
        <v>121</v>
      </c>
      <c r="F27" s="51">
        <v>85</v>
      </c>
      <c r="G27" s="52">
        <f>IFERROR(D27+E27-F27,"")</f>
        <v>1888</v>
      </c>
    </row>
    <row r="28" spans="1:7" ht="21.75" customHeight="1">
      <c r="A28" s="71"/>
      <c r="B28" s="71"/>
      <c r="C28" s="48" t="s">
        <v>33</v>
      </c>
      <c r="D28" s="54">
        <f>G16</f>
        <v>812</v>
      </c>
      <c r="E28" s="50">
        <v>76</v>
      </c>
      <c r="F28" s="51">
        <v>72</v>
      </c>
      <c r="G28" s="52">
        <f>IFERROR(D28+E28-F28,"")</f>
        <v>816</v>
      </c>
    </row>
    <row r="29" spans="1:7" ht="21.75" customHeight="1">
      <c r="A29" s="71"/>
      <c r="B29" s="71"/>
      <c r="C29" s="48" t="s">
        <v>36</v>
      </c>
      <c r="D29" s="54">
        <f>G17</f>
        <v>2454</v>
      </c>
      <c r="E29" s="50">
        <v>129</v>
      </c>
      <c r="F29" s="51">
        <v>97</v>
      </c>
      <c r="G29" s="52">
        <f>IFERROR(D29+E29-F29,"")</f>
        <v>2486</v>
      </c>
    </row>
    <row r="30" spans="1:7" ht="21.75" customHeight="1">
      <c r="A30" s="73" t="s">
        <v>124</v>
      </c>
      <c r="B30" s="73"/>
      <c r="C30" s="73"/>
      <c r="D30" s="53">
        <f>IFERROR(SUM(D19:D29),"")</f>
        <v>18565</v>
      </c>
      <c r="E30" s="53">
        <f>IFERROR(SUM(E19:E29),"")</f>
        <v>1196</v>
      </c>
      <c r="F30" s="53">
        <f>IFERROR(SUM(F19:F29),"")</f>
        <v>895</v>
      </c>
      <c r="G30" s="53">
        <f>IFERROR(SUM(G19:G29),"")</f>
        <v>18866</v>
      </c>
    </row>
    <row r="31" spans="1:7" ht="21.75" customHeight="1">
      <c r="A31" s="71">
        <v>46084</v>
      </c>
      <c r="B31" s="72" t="s">
        <v>52</v>
      </c>
      <c r="C31" s="48" t="s">
        <v>26</v>
      </c>
      <c r="D31" s="54">
        <f>G19</f>
        <v>2072</v>
      </c>
      <c r="E31" s="50">
        <v>82</v>
      </c>
      <c r="F31" s="51">
        <v>58</v>
      </c>
      <c r="G31" s="52">
        <f>IFERROR(D31+E31-F31,"")</f>
        <v>2096</v>
      </c>
    </row>
    <row r="32" spans="1:7" ht="21.75" customHeight="1">
      <c r="A32" s="71"/>
      <c r="B32" s="71"/>
      <c r="C32" s="48" t="s">
        <v>27</v>
      </c>
      <c r="D32" s="54">
        <f>G20</f>
        <v>1467</v>
      </c>
      <c r="E32" s="50">
        <v>129</v>
      </c>
      <c r="F32" s="51">
        <v>98</v>
      </c>
      <c r="G32" s="52">
        <f>IFERROR(D32+E32-F32,"")</f>
        <v>1498</v>
      </c>
    </row>
    <row r="33" spans="1:7" ht="21.75" customHeight="1">
      <c r="A33" s="71"/>
      <c r="B33" s="71"/>
      <c r="C33" s="48" t="s">
        <v>30</v>
      </c>
      <c r="D33" s="54">
        <f>G21</f>
        <v>2296</v>
      </c>
      <c r="E33" s="50">
        <v>143</v>
      </c>
      <c r="F33" s="51">
        <v>104</v>
      </c>
      <c r="G33" s="52">
        <f>IFERROR(D33+E33-F33,"")</f>
        <v>2335</v>
      </c>
    </row>
    <row r="34" spans="1:7" ht="21.75" customHeight="1">
      <c r="A34" s="71"/>
      <c r="B34" s="71"/>
      <c r="C34" s="48" t="s">
        <v>32</v>
      </c>
      <c r="D34" s="54">
        <f>G22</f>
        <v>1200</v>
      </c>
      <c r="E34" s="50">
        <v>91</v>
      </c>
      <c r="F34" s="51">
        <v>69</v>
      </c>
      <c r="G34" s="52">
        <f>IFERROR(D34+E34-F34,"")</f>
        <v>1222</v>
      </c>
    </row>
    <row r="35" spans="1:7" ht="21.75" customHeight="1">
      <c r="A35" s="71"/>
      <c r="B35" s="71"/>
      <c r="C35" s="48" t="s">
        <v>34</v>
      </c>
      <c r="D35" s="54">
        <f>G23</f>
        <v>2223</v>
      </c>
      <c r="E35" s="50">
        <v>143</v>
      </c>
      <c r="F35" s="51">
        <v>97</v>
      </c>
      <c r="G35" s="52">
        <f>IFERROR(D35+E35-F35,"")</f>
        <v>2269</v>
      </c>
    </row>
    <row r="36" spans="1:7" ht="21.75" customHeight="1">
      <c r="A36" s="71"/>
      <c r="B36" s="71"/>
      <c r="C36" s="48" t="s">
        <v>25</v>
      </c>
      <c r="D36" s="54">
        <f>G24</f>
        <v>1328</v>
      </c>
      <c r="E36" s="50">
        <v>83</v>
      </c>
      <c r="F36" s="51">
        <v>57</v>
      </c>
      <c r="G36" s="52">
        <f>IFERROR(D36+E36-F36,"")</f>
        <v>1354</v>
      </c>
    </row>
    <row r="37" spans="1:7" ht="21.75" customHeight="1">
      <c r="A37" s="71"/>
      <c r="B37" s="71"/>
      <c r="C37" s="48" t="s">
        <v>35</v>
      </c>
      <c r="D37" s="54">
        <f>G25</f>
        <v>1454</v>
      </c>
      <c r="E37" s="50">
        <v>100</v>
      </c>
      <c r="F37" s="51">
        <v>87</v>
      </c>
      <c r="G37" s="52">
        <f>IFERROR(D37+E37-F37,"")</f>
        <v>1467</v>
      </c>
    </row>
    <row r="38" spans="1:7" ht="21.75" customHeight="1">
      <c r="A38" s="71"/>
      <c r="B38" s="71"/>
      <c r="C38" s="48" t="s">
        <v>29</v>
      </c>
      <c r="D38" s="54">
        <f>G26</f>
        <v>1636</v>
      </c>
      <c r="E38" s="50">
        <v>73</v>
      </c>
      <c r="F38" s="51">
        <v>62</v>
      </c>
      <c r="G38" s="52">
        <f>IFERROR(D38+E38-F38,"")</f>
        <v>1647</v>
      </c>
    </row>
    <row r="39" spans="1:7" ht="21.75" customHeight="1">
      <c r="A39" s="71"/>
      <c r="B39" s="71"/>
      <c r="C39" s="48" t="s">
        <v>31</v>
      </c>
      <c r="D39" s="54">
        <f>G27</f>
        <v>1888</v>
      </c>
      <c r="E39" s="50">
        <v>131</v>
      </c>
      <c r="F39" s="51">
        <v>105</v>
      </c>
      <c r="G39" s="52">
        <f>IFERROR(D39+E39-F39,"")</f>
        <v>1914</v>
      </c>
    </row>
    <row r="40" spans="1:7" ht="21.75" customHeight="1">
      <c r="A40" s="71"/>
      <c r="B40" s="71"/>
      <c r="C40" s="48" t="s">
        <v>33</v>
      </c>
      <c r="D40" s="54">
        <f>G28</f>
        <v>816</v>
      </c>
      <c r="E40" s="50">
        <v>77</v>
      </c>
      <c r="F40" s="51">
        <v>71</v>
      </c>
      <c r="G40" s="52">
        <f>IFERROR(D40+E40-F40,"")</f>
        <v>822</v>
      </c>
    </row>
    <row r="41" spans="1:7" ht="21.75" customHeight="1">
      <c r="A41" s="71"/>
      <c r="B41" s="71"/>
      <c r="C41" s="48" t="s">
        <v>36</v>
      </c>
      <c r="D41" s="54">
        <f>G29</f>
        <v>2486</v>
      </c>
      <c r="E41" s="50">
        <v>136</v>
      </c>
      <c r="F41" s="51">
        <v>109</v>
      </c>
      <c r="G41" s="52">
        <f>IFERROR(D41+E41-F41,"")</f>
        <v>2513</v>
      </c>
    </row>
    <row r="42" spans="1:7" ht="21.75" customHeight="1">
      <c r="A42" s="73" t="s">
        <v>125</v>
      </c>
      <c r="B42" s="73"/>
      <c r="C42" s="73"/>
      <c r="D42" s="53">
        <f>IFERROR(SUM(D31:D41),"")</f>
        <v>18866</v>
      </c>
      <c r="E42" s="53">
        <f>IFERROR(SUM(E31:E41),"")</f>
        <v>1188</v>
      </c>
      <c r="F42" s="53">
        <f>IFERROR(SUM(F31:F41),"")</f>
        <v>917</v>
      </c>
      <c r="G42" s="53">
        <f>IFERROR(SUM(G31:G41),"")</f>
        <v>19137</v>
      </c>
    </row>
    <row r="43" spans="1:7" ht="21.75" customHeight="1">
      <c r="A43" s="71">
        <v>46085</v>
      </c>
      <c r="B43" s="72" t="s">
        <v>53</v>
      </c>
      <c r="C43" s="48" t="s">
        <v>26</v>
      </c>
      <c r="D43" s="54">
        <f>G31</f>
        <v>2096</v>
      </c>
      <c r="E43" s="50">
        <v>121</v>
      </c>
      <c r="F43" s="51">
        <v>86</v>
      </c>
      <c r="G43" s="52">
        <f>IFERROR(D43+E43-F43,"")</f>
        <v>2131</v>
      </c>
    </row>
    <row r="44" spans="1:7" ht="21.75" customHeight="1">
      <c r="A44" s="71"/>
      <c r="B44" s="71"/>
      <c r="C44" s="48" t="s">
        <v>27</v>
      </c>
      <c r="D44" s="54">
        <f>G32</f>
        <v>1498</v>
      </c>
      <c r="E44" s="50">
        <v>82</v>
      </c>
      <c r="F44" s="51">
        <v>73</v>
      </c>
      <c r="G44" s="52">
        <f>IFERROR(D44+E44-F44,"")</f>
        <v>1507</v>
      </c>
    </row>
    <row r="45" spans="1:7" ht="21.75" customHeight="1">
      <c r="A45" s="71"/>
      <c r="B45" s="71"/>
      <c r="C45" s="48" t="s">
        <v>30</v>
      </c>
      <c r="D45" s="54">
        <f>G33</f>
        <v>2335</v>
      </c>
      <c r="E45" s="50">
        <v>132</v>
      </c>
      <c r="F45" s="51">
        <v>100</v>
      </c>
      <c r="G45" s="52">
        <f>IFERROR(D45+E45-F45,"")</f>
        <v>2367</v>
      </c>
    </row>
    <row r="46" spans="1:7" ht="21.75" customHeight="1">
      <c r="A46" s="71"/>
      <c r="B46" s="71"/>
      <c r="C46" s="48" t="s">
        <v>32</v>
      </c>
      <c r="D46" s="54">
        <f>G34</f>
        <v>1222</v>
      </c>
      <c r="E46" s="50">
        <v>106</v>
      </c>
      <c r="F46" s="51">
        <v>100</v>
      </c>
      <c r="G46" s="52">
        <f>IFERROR(D46+E46-F46,"")</f>
        <v>1228</v>
      </c>
    </row>
    <row r="47" spans="1:7" ht="21.75" customHeight="1">
      <c r="A47" s="71"/>
      <c r="B47" s="71"/>
      <c r="C47" s="48" t="s">
        <v>34</v>
      </c>
      <c r="D47" s="54">
        <f>G35</f>
        <v>2269</v>
      </c>
      <c r="E47" s="50">
        <v>131</v>
      </c>
      <c r="F47" s="51">
        <v>96</v>
      </c>
      <c r="G47" s="52">
        <f>IFERROR(D47+E47-F47,"")</f>
        <v>2304</v>
      </c>
    </row>
    <row r="48" spans="1:7" ht="21.75" customHeight="1">
      <c r="A48" s="71"/>
      <c r="B48" s="71"/>
      <c r="C48" s="48" t="s">
        <v>25</v>
      </c>
      <c r="D48" s="54">
        <f>G36</f>
        <v>1354</v>
      </c>
      <c r="E48" s="50">
        <v>68</v>
      </c>
      <c r="F48" s="51">
        <v>57</v>
      </c>
      <c r="G48" s="52">
        <f>IFERROR(D48+E48-F48,"")</f>
        <v>1365</v>
      </c>
    </row>
    <row r="49" spans="1:7" ht="21.75" customHeight="1">
      <c r="A49" s="71"/>
      <c r="B49" s="71"/>
      <c r="C49" s="48" t="s">
        <v>35</v>
      </c>
      <c r="D49" s="54">
        <f>G37</f>
        <v>1467</v>
      </c>
      <c r="E49" s="50">
        <v>103</v>
      </c>
      <c r="F49" s="51">
        <v>84</v>
      </c>
      <c r="G49" s="52">
        <f>IFERROR(D49+E49-F49,"")</f>
        <v>1486</v>
      </c>
    </row>
    <row r="50" spans="1:7" ht="21.75" customHeight="1">
      <c r="A50" s="71"/>
      <c r="B50" s="71"/>
      <c r="C50" s="48" t="s">
        <v>29</v>
      </c>
      <c r="D50" s="54">
        <f>G38</f>
        <v>1647</v>
      </c>
      <c r="E50" s="50">
        <v>108</v>
      </c>
      <c r="F50" s="51">
        <v>86</v>
      </c>
      <c r="G50" s="52">
        <f>IFERROR(D50+E50-F50,"")</f>
        <v>1669</v>
      </c>
    </row>
    <row r="51" spans="1:7" ht="21.75" customHeight="1">
      <c r="A51" s="71"/>
      <c r="B51" s="71"/>
      <c r="C51" s="48" t="s">
        <v>31</v>
      </c>
      <c r="D51" s="54">
        <f>G39</f>
        <v>1914</v>
      </c>
      <c r="E51" s="50">
        <v>129</v>
      </c>
      <c r="F51" s="51">
        <v>105</v>
      </c>
      <c r="G51" s="52">
        <f>IFERROR(D51+E51-F51,"")</f>
        <v>1938</v>
      </c>
    </row>
    <row r="52" spans="1:7" ht="21.75" customHeight="1">
      <c r="A52" s="71"/>
      <c r="B52" s="71"/>
      <c r="C52" s="48" t="s">
        <v>33</v>
      </c>
      <c r="D52" s="54">
        <f>G40</f>
        <v>822</v>
      </c>
      <c r="E52" s="50">
        <v>82</v>
      </c>
      <c r="F52" s="51">
        <v>74</v>
      </c>
      <c r="G52" s="52">
        <f>IFERROR(D52+E52-F52,"")</f>
        <v>830</v>
      </c>
    </row>
    <row r="53" spans="1:7" ht="21.75" customHeight="1">
      <c r="A53" s="71"/>
      <c r="B53" s="71"/>
      <c r="C53" s="48" t="s">
        <v>36</v>
      </c>
      <c r="D53" s="54">
        <f>G41</f>
        <v>2513</v>
      </c>
      <c r="E53" s="50">
        <v>158</v>
      </c>
      <c r="F53" s="51">
        <v>127</v>
      </c>
      <c r="G53" s="52">
        <f>IFERROR(D53+E53-F53,"")</f>
        <v>2544</v>
      </c>
    </row>
    <row r="54" spans="1:7" ht="21.75" customHeight="1">
      <c r="A54" s="73" t="s">
        <v>126</v>
      </c>
      <c r="B54" s="73"/>
      <c r="C54" s="73"/>
      <c r="D54" s="53">
        <f>IFERROR(SUM(D43:D53),"")</f>
        <v>19137</v>
      </c>
      <c r="E54" s="53">
        <f>IFERROR(SUM(E43:E53),"")</f>
        <v>1220</v>
      </c>
      <c r="F54" s="53">
        <f>IFERROR(SUM(F43:F53),"")</f>
        <v>988</v>
      </c>
      <c r="G54" s="53">
        <f>IFERROR(SUM(G43:G53),"")</f>
        <v>19369</v>
      </c>
    </row>
    <row r="55" spans="1:7" ht="21.75" customHeight="1">
      <c r="A55" s="71">
        <v>46086</v>
      </c>
      <c r="B55" s="72" t="s">
        <v>45</v>
      </c>
      <c r="C55" s="48" t="s">
        <v>26</v>
      </c>
      <c r="D55" s="54">
        <f>G43</f>
        <v>2131</v>
      </c>
      <c r="E55" s="50">
        <v>88</v>
      </c>
      <c r="F55" s="51">
        <v>65</v>
      </c>
      <c r="G55" s="52">
        <f>IFERROR(D55+E55-F55,"")</f>
        <v>2154</v>
      </c>
    </row>
    <row r="56" spans="1:7" ht="21.75" customHeight="1">
      <c r="A56" s="71"/>
      <c r="B56" s="71"/>
      <c r="C56" s="48" t="s">
        <v>27</v>
      </c>
      <c r="D56" s="54">
        <f>G44</f>
        <v>1507</v>
      </c>
      <c r="E56" s="50">
        <v>88</v>
      </c>
      <c r="F56" s="51">
        <v>64</v>
      </c>
      <c r="G56" s="52">
        <f>IFERROR(D56+E56-F56,"")</f>
        <v>1531</v>
      </c>
    </row>
    <row r="57" spans="1:7" ht="21.75" customHeight="1">
      <c r="A57" s="71"/>
      <c r="B57" s="71"/>
      <c r="C57" s="48" t="s">
        <v>30</v>
      </c>
      <c r="D57" s="54">
        <f>G45</f>
        <v>2367</v>
      </c>
      <c r="E57" s="50">
        <v>105</v>
      </c>
      <c r="F57" s="51">
        <v>68</v>
      </c>
      <c r="G57" s="52">
        <f>IFERROR(D57+E57-F57,"")</f>
        <v>2404</v>
      </c>
    </row>
    <row r="58" spans="1:7" ht="21.75" customHeight="1">
      <c r="A58" s="71"/>
      <c r="B58" s="71"/>
      <c r="C58" s="48" t="s">
        <v>32</v>
      </c>
      <c r="D58" s="54">
        <f>G46</f>
        <v>1228</v>
      </c>
      <c r="E58" s="50">
        <v>91</v>
      </c>
      <c r="F58" s="51">
        <v>79</v>
      </c>
      <c r="G58" s="52">
        <f>IFERROR(D58+E58-F58,"")</f>
        <v>1240</v>
      </c>
    </row>
    <row r="59" spans="1:7" ht="21.75" customHeight="1">
      <c r="A59" s="71"/>
      <c r="B59" s="71"/>
      <c r="C59" s="48" t="s">
        <v>34</v>
      </c>
      <c r="D59" s="54">
        <f>G47</f>
        <v>2304</v>
      </c>
      <c r="E59" s="50">
        <v>118</v>
      </c>
      <c r="F59" s="51">
        <v>94</v>
      </c>
      <c r="G59" s="52">
        <f>IFERROR(D59+E59-F59,"")</f>
        <v>2328</v>
      </c>
    </row>
    <row r="60" spans="1:7" ht="21.75" customHeight="1">
      <c r="A60" s="71"/>
      <c r="B60" s="71"/>
      <c r="C60" s="48" t="s">
        <v>25</v>
      </c>
      <c r="D60" s="54">
        <f>G48</f>
        <v>1365</v>
      </c>
      <c r="E60" s="50">
        <v>90</v>
      </c>
      <c r="F60" s="51">
        <v>72</v>
      </c>
      <c r="G60" s="52">
        <f>IFERROR(D60+E60-F60,"")</f>
        <v>1383</v>
      </c>
    </row>
    <row r="61" spans="1:7" ht="21.75" customHeight="1">
      <c r="A61" s="71"/>
      <c r="B61" s="71"/>
      <c r="C61" s="48" t="s">
        <v>35</v>
      </c>
      <c r="D61" s="54">
        <f>G49</f>
        <v>1486</v>
      </c>
      <c r="E61" s="50">
        <v>83</v>
      </c>
      <c r="F61" s="51">
        <v>65</v>
      </c>
      <c r="G61" s="52">
        <f>IFERROR(D61+E61-F61,"")</f>
        <v>1504</v>
      </c>
    </row>
    <row r="62" spans="1:7" ht="21.75" customHeight="1">
      <c r="A62" s="71"/>
      <c r="B62" s="71"/>
      <c r="C62" s="48" t="s">
        <v>29</v>
      </c>
      <c r="D62" s="54">
        <f>G50</f>
        <v>1669</v>
      </c>
      <c r="E62" s="50">
        <v>87</v>
      </c>
      <c r="F62" s="51">
        <v>59</v>
      </c>
      <c r="G62" s="52">
        <f>IFERROR(D62+E62-F62,"")</f>
        <v>1697</v>
      </c>
    </row>
    <row r="63" spans="1:7" ht="21.75" customHeight="1">
      <c r="A63" s="71"/>
      <c r="B63" s="71"/>
      <c r="C63" s="48" t="s">
        <v>31</v>
      </c>
      <c r="D63" s="54">
        <f>G51</f>
        <v>1938</v>
      </c>
      <c r="E63" s="50">
        <v>140</v>
      </c>
      <c r="F63" s="51">
        <v>92</v>
      </c>
      <c r="G63" s="52">
        <f>IFERROR(D63+E63-F63,"")</f>
        <v>1986</v>
      </c>
    </row>
    <row r="64" spans="1:7" ht="21.75" customHeight="1">
      <c r="A64" s="71"/>
      <c r="B64" s="71"/>
      <c r="C64" s="48" t="s">
        <v>33</v>
      </c>
      <c r="D64" s="54">
        <f>G52</f>
        <v>830</v>
      </c>
      <c r="E64" s="50">
        <v>97</v>
      </c>
      <c r="F64" s="51">
        <v>95</v>
      </c>
      <c r="G64" s="52">
        <f>IFERROR(D64+E64-F64,"")</f>
        <v>832</v>
      </c>
    </row>
    <row r="65" spans="1:7" ht="21.75" customHeight="1">
      <c r="A65" s="71"/>
      <c r="B65" s="71"/>
      <c r="C65" s="48" t="s">
        <v>36</v>
      </c>
      <c r="D65" s="54">
        <f>G53</f>
        <v>2544</v>
      </c>
      <c r="E65" s="50">
        <v>150</v>
      </c>
      <c r="F65" s="51">
        <v>92</v>
      </c>
      <c r="G65" s="52">
        <f>IFERROR(D65+E65-F65,"")</f>
        <v>2602</v>
      </c>
    </row>
    <row r="66" spans="1:7" ht="21.75" customHeight="1">
      <c r="A66" s="73" t="s">
        <v>127</v>
      </c>
      <c r="B66" s="73"/>
      <c r="C66" s="73"/>
      <c r="D66" s="53">
        <f>IFERROR(SUM(D55:D65),"")</f>
        <v>19369</v>
      </c>
      <c r="E66" s="53">
        <f>IFERROR(SUM(E55:E65),"")</f>
        <v>1137</v>
      </c>
      <c r="F66" s="53">
        <f>IFERROR(SUM(F55:F65),"")</f>
        <v>845</v>
      </c>
      <c r="G66" s="53">
        <f>IFERROR(SUM(G55:G65),"")</f>
        <v>19661</v>
      </c>
    </row>
    <row r="67" spans="1:7" ht="21.75" customHeight="1">
      <c r="A67" s="71">
        <v>46087</v>
      </c>
      <c r="B67" s="72" t="s">
        <v>47</v>
      </c>
      <c r="C67" s="48" t="s">
        <v>26</v>
      </c>
      <c r="D67" s="54">
        <f>G55</f>
        <v>2154</v>
      </c>
      <c r="E67" s="50">
        <v>100</v>
      </c>
      <c r="F67" s="51">
        <v>70</v>
      </c>
      <c r="G67" s="52">
        <f>IFERROR(D67+E67-F67,"")</f>
        <v>2184</v>
      </c>
    </row>
    <row r="68" spans="1:7" ht="21.75" customHeight="1">
      <c r="A68" s="71"/>
      <c r="B68" s="71"/>
      <c r="C68" s="48" t="s">
        <v>27</v>
      </c>
      <c r="D68" s="54">
        <f>G56</f>
        <v>1531</v>
      </c>
      <c r="E68" s="50">
        <v>72</v>
      </c>
      <c r="F68" s="51">
        <v>60</v>
      </c>
      <c r="G68" s="52">
        <f>IFERROR(D68+E68-F68,"")</f>
        <v>1543</v>
      </c>
    </row>
    <row r="69" spans="1:7" ht="21.75" customHeight="1">
      <c r="A69" s="71"/>
      <c r="B69" s="71"/>
      <c r="C69" s="48" t="s">
        <v>30</v>
      </c>
      <c r="D69" s="54">
        <f>G57</f>
        <v>2404</v>
      </c>
      <c r="E69" s="50">
        <v>90</v>
      </c>
      <c r="F69" s="51">
        <v>71</v>
      </c>
      <c r="G69" s="52">
        <f>IFERROR(D69+E69-F69,"")</f>
        <v>2423</v>
      </c>
    </row>
    <row r="70" spans="1:7" ht="21.75" customHeight="1">
      <c r="A70" s="71"/>
      <c r="B70" s="71"/>
      <c r="C70" s="48" t="s">
        <v>32</v>
      </c>
      <c r="D70" s="54">
        <f>G58</f>
        <v>1240</v>
      </c>
      <c r="E70" s="50">
        <v>70</v>
      </c>
      <c r="F70" s="51">
        <v>64</v>
      </c>
      <c r="G70" s="52">
        <f>IFERROR(D70+E70-F70,"")</f>
        <v>1246</v>
      </c>
    </row>
    <row r="71" spans="1:7" ht="21.75" customHeight="1">
      <c r="A71" s="71"/>
      <c r="B71" s="71"/>
      <c r="C71" s="48" t="s">
        <v>34</v>
      </c>
      <c r="D71" s="54">
        <f>G59</f>
        <v>2328</v>
      </c>
      <c r="E71" s="50">
        <v>115</v>
      </c>
      <c r="F71" s="51">
        <v>78</v>
      </c>
      <c r="G71" s="52">
        <f>IFERROR(D71+E71-F71,"")</f>
        <v>2365</v>
      </c>
    </row>
    <row r="72" spans="1:7" ht="21.75" customHeight="1">
      <c r="A72" s="71"/>
      <c r="B72" s="71"/>
      <c r="C72" s="48" t="s">
        <v>25</v>
      </c>
      <c r="D72" s="54">
        <f>G60</f>
        <v>1383</v>
      </c>
      <c r="E72" s="50">
        <v>71</v>
      </c>
      <c r="F72" s="51">
        <v>48</v>
      </c>
      <c r="G72" s="52">
        <f>IFERROR(D72+E72-F72,"")</f>
        <v>1406</v>
      </c>
    </row>
    <row r="73" spans="1:7" ht="21.75" customHeight="1">
      <c r="A73" s="71"/>
      <c r="B73" s="71"/>
      <c r="C73" s="48" t="s">
        <v>35</v>
      </c>
      <c r="D73" s="54">
        <f>G61</f>
        <v>1504</v>
      </c>
      <c r="E73" s="50">
        <v>105</v>
      </c>
      <c r="F73" s="51">
        <v>90</v>
      </c>
      <c r="G73" s="52">
        <f>IFERROR(D73+E73-F73,"")</f>
        <v>1519</v>
      </c>
    </row>
    <row r="74" spans="1:7" ht="21.75" customHeight="1">
      <c r="A74" s="71"/>
      <c r="B74" s="71"/>
      <c r="C74" s="48" t="s">
        <v>29</v>
      </c>
      <c r="D74" s="54">
        <f>G62</f>
        <v>1697</v>
      </c>
      <c r="E74" s="50">
        <v>116</v>
      </c>
      <c r="F74" s="51">
        <v>88</v>
      </c>
      <c r="G74" s="52">
        <f>IFERROR(D74+E74-F74,"")</f>
        <v>1725</v>
      </c>
    </row>
    <row r="75" spans="1:7" ht="21.75" customHeight="1">
      <c r="A75" s="71"/>
      <c r="B75" s="71"/>
      <c r="C75" s="48" t="s">
        <v>31</v>
      </c>
      <c r="D75" s="54">
        <f>G63</f>
        <v>1986</v>
      </c>
      <c r="E75" s="50">
        <v>129</v>
      </c>
      <c r="F75" s="51">
        <v>87</v>
      </c>
      <c r="G75" s="52">
        <f>IFERROR(D75+E75-F75,"")</f>
        <v>2028</v>
      </c>
    </row>
    <row r="76" spans="1:7" ht="21.75" customHeight="1">
      <c r="A76" s="71"/>
      <c r="B76" s="71"/>
      <c r="C76" s="48" t="s">
        <v>33</v>
      </c>
      <c r="D76" s="54">
        <f>G64</f>
        <v>832</v>
      </c>
      <c r="E76" s="50">
        <v>75</v>
      </c>
      <c r="F76" s="51">
        <v>59</v>
      </c>
      <c r="G76" s="52">
        <f>IFERROR(D76+E76-F76,"")</f>
        <v>848</v>
      </c>
    </row>
    <row r="77" spans="1:7" ht="21.75" customHeight="1">
      <c r="A77" s="71"/>
      <c r="B77" s="71"/>
      <c r="C77" s="48" t="s">
        <v>36</v>
      </c>
      <c r="D77" s="54">
        <f>G65</f>
        <v>2602</v>
      </c>
      <c r="E77" s="50">
        <v>112</v>
      </c>
      <c r="F77" s="51">
        <v>81</v>
      </c>
      <c r="G77" s="52">
        <f>IFERROR(D77+E77-F77,"")</f>
        <v>2633</v>
      </c>
    </row>
    <row r="78" spans="1:7" ht="21.75" customHeight="1">
      <c r="A78" s="73" t="s">
        <v>128</v>
      </c>
      <c r="B78" s="73"/>
      <c r="C78" s="73"/>
      <c r="D78" s="53">
        <f>IFERROR(SUM(D67:D77),"")</f>
        <v>19661</v>
      </c>
      <c r="E78" s="53">
        <f>IFERROR(SUM(E67:E77),"")</f>
        <v>1055</v>
      </c>
      <c r="F78" s="53">
        <f>IFERROR(SUM(F67:F77),"")</f>
        <v>796</v>
      </c>
      <c r="G78" s="53">
        <f>IFERROR(SUM(G67:G77),"")</f>
        <v>19920</v>
      </c>
    </row>
    <row r="79" spans="1:7" ht="21.75" customHeight="1">
      <c r="A79" s="74">
        <v>46088</v>
      </c>
      <c r="B79" s="75" t="s">
        <v>48</v>
      </c>
      <c r="C79" s="48" t="s">
        <v>26</v>
      </c>
      <c r="D79" s="54">
        <f>G67</f>
        <v>2184</v>
      </c>
      <c r="E79" s="50">
        <v>33</v>
      </c>
      <c r="F79" s="51">
        <v>22</v>
      </c>
      <c r="G79" s="52">
        <f>IFERROR(D79+E79-F79,"")</f>
        <v>2195</v>
      </c>
    </row>
    <row r="80" spans="1:7" ht="21.75" customHeight="1">
      <c r="A80" s="74"/>
      <c r="B80" s="74"/>
      <c r="C80" s="48" t="s">
        <v>27</v>
      </c>
      <c r="D80" s="54">
        <f>G68</f>
        <v>1543</v>
      </c>
      <c r="E80" s="50">
        <v>50</v>
      </c>
      <c r="F80" s="51">
        <v>37</v>
      </c>
      <c r="G80" s="52">
        <f>IFERROR(D80+E80-F80,"")</f>
        <v>1556</v>
      </c>
    </row>
    <row r="81" spans="1:7" ht="21.75" customHeight="1">
      <c r="A81" s="74"/>
      <c r="B81" s="74"/>
      <c r="C81" s="48" t="s">
        <v>30</v>
      </c>
      <c r="D81" s="54">
        <f>G69</f>
        <v>2423</v>
      </c>
      <c r="E81" s="50">
        <v>79</v>
      </c>
      <c r="F81" s="51">
        <v>61</v>
      </c>
      <c r="G81" s="52">
        <f>IFERROR(D81+E81-F81,"")</f>
        <v>2441</v>
      </c>
    </row>
    <row r="82" spans="1:7" ht="21.75" customHeight="1">
      <c r="A82" s="74"/>
      <c r="B82" s="74"/>
      <c r="C82" s="48" t="s">
        <v>32</v>
      </c>
      <c r="D82" s="54">
        <f>G70</f>
        <v>1246</v>
      </c>
      <c r="E82" s="50">
        <v>57</v>
      </c>
      <c r="F82" s="51">
        <v>48</v>
      </c>
      <c r="G82" s="52">
        <f>IFERROR(D82+E82-F82,"")</f>
        <v>1255</v>
      </c>
    </row>
    <row r="83" spans="1:7" ht="21.75" customHeight="1">
      <c r="A83" s="74"/>
      <c r="B83" s="74"/>
      <c r="C83" s="48" t="s">
        <v>34</v>
      </c>
      <c r="D83" s="54">
        <f>G71</f>
        <v>2365</v>
      </c>
      <c r="E83" s="50">
        <v>69</v>
      </c>
      <c r="F83" s="51">
        <v>42</v>
      </c>
      <c r="G83" s="52">
        <f>IFERROR(D83+E83-F83,"")</f>
        <v>2392</v>
      </c>
    </row>
    <row r="84" spans="1:7" ht="21.75" customHeight="1">
      <c r="A84" s="74"/>
      <c r="B84" s="74"/>
      <c r="C84" s="48" t="s">
        <v>25</v>
      </c>
      <c r="D84" s="54">
        <f>G72</f>
        <v>1406</v>
      </c>
      <c r="E84" s="50">
        <v>23</v>
      </c>
      <c r="F84" s="51">
        <v>16</v>
      </c>
      <c r="G84" s="52">
        <f>IFERROR(D84+E84-F84,"")</f>
        <v>1413</v>
      </c>
    </row>
    <row r="85" spans="1:7" ht="21.75" customHeight="1">
      <c r="A85" s="74"/>
      <c r="B85" s="74"/>
      <c r="C85" s="48" t="s">
        <v>35</v>
      </c>
      <c r="D85" s="54">
        <f>G73</f>
        <v>1519</v>
      </c>
      <c r="E85" s="50">
        <v>34</v>
      </c>
      <c r="F85" s="51">
        <v>26</v>
      </c>
      <c r="G85" s="52">
        <f>IFERROR(D85+E85-F85,"")</f>
        <v>1527</v>
      </c>
    </row>
    <row r="86" spans="1:7" ht="21.75" customHeight="1">
      <c r="A86" s="74"/>
      <c r="B86" s="74"/>
      <c r="C86" s="48" t="s">
        <v>29</v>
      </c>
      <c r="D86" s="54">
        <f>G74</f>
        <v>1725</v>
      </c>
      <c r="E86" s="50">
        <v>27</v>
      </c>
      <c r="F86" s="51">
        <v>23</v>
      </c>
      <c r="G86" s="52">
        <f>IFERROR(D86+E86-F86,"")</f>
        <v>1729</v>
      </c>
    </row>
    <row r="87" spans="1:7" ht="21.75" customHeight="1">
      <c r="A87" s="74"/>
      <c r="B87" s="74"/>
      <c r="C87" s="48" t="s">
        <v>31</v>
      </c>
      <c r="D87" s="54">
        <f>G75</f>
        <v>2028</v>
      </c>
      <c r="E87" s="50">
        <v>58</v>
      </c>
      <c r="F87" s="51">
        <v>40</v>
      </c>
      <c r="G87" s="52">
        <f>IFERROR(D87+E87-F87,"")</f>
        <v>2046</v>
      </c>
    </row>
    <row r="88" spans="1:7" ht="21.75" customHeight="1">
      <c r="A88" s="74"/>
      <c r="B88" s="74"/>
      <c r="C88" s="48" t="s">
        <v>33</v>
      </c>
      <c r="D88" s="54">
        <f>G76</f>
        <v>848</v>
      </c>
      <c r="E88" s="50">
        <v>28</v>
      </c>
      <c r="F88" s="51">
        <v>25</v>
      </c>
      <c r="G88" s="52">
        <f>IFERROR(D88+E88-F88,"")</f>
        <v>851</v>
      </c>
    </row>
    <row r="89" spans="1:7" ht="21.75" customHeight="1">
      <c r="A89" s="74"/>
      <c r="B89" s="74"/>
      <c r="C89" s="48" t="s">
        <v>36</v>
      </c>
      <c r="D89" s="54">
        <f>G77</f>
        <v>2633</v>
      </c>
      <c r="E89" s="50">
        <v>43</v>
      </c>
      <c r="F89" s="51">
        <v>30</v>
      </c>
      <c r="G89" s="52">
        <f>IFERROR(D89+E89-F89,"")</f>
        <v>2646</v>
      </c>
    </row>
    <row r="90" spans="1:7" ht="21.75" customHeight="1">
      <c r="A90" s="73" t="s">
        <v>129</v>
      </c>
      <c r="B90" s="73"/>
      <c r="C90" s="73"/>
      <c r="D90" s="53">
        <f>IFERROR(SUM(D79:D89),"")</f>
        <v>19920</v>
      </c>
      <c r="E90" s="53">
        <f>IFERROR(SUM(E79:E89),"")</f>
        <v>501</v>
      </c>
      <c r="F90" s="53">
        <f>IFERROR(SUM(F79:F89),"")</f>
        <v>370</v>
      </c>
      <c r="G90" s="53">
        <f>IFERROR(SUM(G79:G89),"")</f>
        <v>20051</v>
      </c>
    </row>
    <row r="91" spans="1:7" ht="21.75" customHeight="1">
      <c r="A91" s="74">
        <v>46089</v>
      </c>
      <c r="B91" s="75" t="s">
        <v>50</v>
      </c>
      <c r="C91" s="48" t="s">
        <v>26</v>
      </c>
      <c r="D91" s="54">
        <f>G79</f>
        <v>2195</v>
      </c>
      <c r="E91" s="50">
        <v>40</v>
      </c>
      <c r="F91" s="51">
        <v>32</v>
      </c>
      <c r="G91" s="52">
        <f>IFERROR(D91+E91-F91,"")</f>
        <v>2203</v>
      </c>
    </row>
    <row r="92" spans="1:7" ht="21.75" customHeight="1">
      <c r="A92" s="74"/>
      <c r="B92" s="74"/>
      <c r="C92" s="48" t="s">
        <v>27</v>
      </c>
      <c r="D92" s="54">
        <f>G80</f>
        <v>1556</v>
      </c>
      <c r="E92" s="50">
        <v>59</v>
      </c>
      <c r="F92" s="51">
        <v>52</v>
      </c>
      <c r="G92" s="52">
        <f>IFERROR(D92+E92-F92,"")</f>
        <v>1563</v>
      </c>
    </row>
    <row r="93" spans="1:7" ht="21.75" customHeight="1">
      <c r="A93" s="74"/>
      <c r="B93" s="74"/>
      <c r="C93" s="48" t="s">
        <v>30</v>
      </c>
      <c r="D93" s="54">
        <f>G81</f>
        <v>2441</v>
      </c>
      <c r="E93" s="50">
        <v>51</v>
      </c>
      <c r="F93" s="51">
        <v>31</v>
      </c>
      <c r="G93" s="52">
        <f>IFERROR(D93+E93-F93,"")</f>
        <v>2461</v>
      </c>
    </row>
    <row r="94" spans="1:7" ht="21.75" customHeight="1">
      <c r="A94" s="74"/>
      <c r="B94" s="74"/>
      <c r="C94" s="48" t="s">
        <v>32</v>
      </c>
      <c r="D94" s="54">
        <f>G82</f>
        <v>1255</v>
      </c>
      <c r="E94" s="50">
        <v>51</v>
      </c>
      <c r="F94" s="51">
        <v>43</v>
      </c>
      <c r="G94" s="52">
        <f>IFERROR(D94+E94-F94,"")</f>
        <v>1263</v>
      </c>
    </row>
    <row r="95" spans="1:7" ht="21.75" customHeight="1">
      <c r="A95" s="74"/>
      <c r="B95" s="74"/>
      <c r="C95" s="48" t="s">
        <v>34</v>
      </c>
      <c r="D95" s="54">
        <f>G83</f>
        <v>2392</v>
      </c>
      <c r="E95" s="50">
        <v>72</v>
      </c>
      <c r="F95" s="51">
        <v>50</v>
      </c>
      <c r="G95" s="52">
        <f>IFERROR(D95+E95-F95,"")</f>
        <v>2414</v>
      </c>
    </row>
    <row r="96" spans="1:7" ht="21.75" customHeight="1">
      <c r="A96" s="74"/>
      <c r="B96" s="74"/>
      <c r="C96" s="48" t="s">
        <v>25</v>
      </c>
      <c r="D96" s="54">
        <f>G84</f>
        <v>1413</v>
      </c>
      <c r="E96" s="50">
        <v>44</v>
      </c>
      <c r="F96" s="51">
        <v>34</v>
      </c>
      <c r="G96" s="52">
        <f>IFERROR(D96+E96-F96,"")</f>
        <v>1423</v>
      </c>
    </row>
    <row r="97" spans="1:7" ht="21.75" customHeight="1">
      <c r="A97" s="74"/>
      <c r="B97" s="74"/>
      <c r="C97" s="48" t="s">
        <v>35</v>
      </c>
      <c r="D97" s="54">
        <f>G85</f>
        <v>1527</v>
      </c>
      <c r="E97" s="50">
        <v>52</v>
      </c>
      <c r="F97" s="51">
        <v>39</v>
      </c>
      <c r="G97" s="52">
        <f>IFERROR(D97+E97-F97,"")</f>
        <v>1540</v>
      </c>
    </row>
    <row r="98" spans="1:7" ht="21.75" customHeight="1">
      <c r="A98" s="74"/>
      <c r="B98" s="74"/>
      <c r="C98" s="48" t="s">
        <v>29</v>
      </c>
      <c r="D98" s="54">
        <f>G86</f>
        <v>1729</v>
      </c>
      <c r="E98" s="50">
        <v>48</v>
      </c>
      <c r="F98" s="51">
        <v>32</v>
      </c>
      <c r="G98" s="52">
        <f>IFERROR(D98+E98-F98,"")</f>
        <v>1745</v>
      </c>
    </row>
    <row r="99" spans="1:7" ht="21.75" customHeight="1">
      <c r="A99" s="74"/>
      <c r="B99" s="74"/>
      <c r="C99" s="48" t="s">
        <v>31</v>
      </c>
      <c r="D99" s="54">
        <f>G87</f>
        <v>2046</v>
      </c>
      <c r="E99" s="50">
        <v>74</v>
      </c>
      <c r="F99" s="51">
        <v>48</v>
      </c>
      <c r="G99" s="52">
        <f>IFERROR(D99+E99-F99,"")</f>
        <v>2072</v>
      </c>
    </row>
    <row r="100" spans="1:7" ht="21.75" customHeight="1">
      <c r="A100" s="74"/>
      <c r="B100" s="74"/>
      <c r="C100" s="48" t="s">
        <v>33</v>
      </c>
      <c r="D100" s="54">
        <f>G88</f>
        <v>851</v>
      </c>
      <c r="E100" s="50">
        <v>46</v>
      </c>
      <c r="F100" s="51">
        <v>41</v>
      </c>
      <c r="G100" s="52">
        <f>IFERROR(D100+E100-F100,"")</f>
        <v>856</v>
      </c>
    </row>
    <row r="101" spans="1:7" ht="21.75" customHeight="1">
      <c r="A101" s="74"/>
      <c r="B101" s="74"/>
      <c r="C101" s="48" t="s">
        <v>36</v>
      </c>
      <c r="D101" s="54">
        <f>G89</f>
        <v>2646</v>
      </c>
      <c r="E101" s="50">
        <v>85</v>
      </c>
      <c r="F101" s="51">
        <v>53</v>
      </c>
      <c r="G101" s="52">
        <f>IFERROR(D101+E101-F101,"")</f>
        <v>2678</v>
      </c>
    </row>
    <row r="102" spans="1:7" ht="21.75" customHeight="1">
      <c r="A102" s="73" t="s">
        <v>130</v>
      </c>
      <c r="B102" s="73"/>
      <c r="C102" s="73"/>
      <c r="D102" s="53">
        <f>IFERROR(SUM(D91:D101),"")</f>
        <v>20051</v>
      </c>
      <c r="E102" s="53">
        <f>IFERROR(SUM(E91:E101),"")</f>
        <v>622</v>
      </c>
      <c r="F102" s="53">
        <f>IFERROR(SUM(F91:F101),"")</f>
        <v>455</v>
      </c>
      <c r="G102" s="53">
        <f>IFERROR(SUM(G91:G101),"")</f>
        <v>20218</v>
      </c>
    </row>
    <row r="103" spans="1:7" ht="21.75" customHeight="1">
      <c r="A103" s="71">
        <v>46090</v>
      </c>
      <c r="B103" s="72" t="s">
        <v>51</v>
      </c>
      <c r="C103" s="48" t="s">
        <v>26</v>
      </c>
      <c r="D103" s="54">
        <f>G91</f>
        <v>2203</v>
      </c>
      <c r="E103" s="50">
        <v>89</v>
      </c>
      <c r="F103" s="51">
        <v>74</v>
      </c>
      <c r="G103" s="52">
        <f>IFERROR(D103+E103-F103,"")</f>
        <v>2218</v>
      </c>
    </row>
    <row r="104" spans="1:7" ht="21.75" customHeight="1">
      <c r="A104" s="71"/>
      <c r="B104" s="71"/>
      <c r="C104" s="48" t="s">
        <v>27</v>
      </c>
      <c r="D104" s="54">
        <f>G92</f>
        <v>1563</v>
      </c>
      <c r="E104" s="50">
        <v>91</v>
      </c>
      <c r="F104" s="51">
        <v>63</v>
      </c>
      <c r="G104" s="52">
        <f>IFERROR(D104+E104-F104,"")</f>
        <v>1591</v>
      </c>
    </row>
    <row r="105" spans="1:7" ht="21.75" customHeight="1">
      <c r="A105" s="71"/>
      <c r="B105" s="71"/>
      <c r="C105" s="48" t="s">
        <v>30</v>
      </c>
      <c r="D105" s="54">
        <f>G93</f>
        <v>2461</v>
      </c>
      <c r="E105" s="50">
        <v>113</v>
      </c>
      <c r="F105" s="51">
        <v>80</v>
      </c>
      <c r="G105" s="52">
        <f>IFERROR(D105+E105-F105,"")</f>
        <v>2494</v>
      </c>
    </row>
    <row r="106" spans="1:7" ht="21.75" customHeight="1">
      <c r="A106" s="71"/>
      <c r="B106" s="71"/>
      <c r="C106" s="48" t="s">
        <v>32</v>
      </c>
      <c r="D106" s="54">
        <f>G94</f>
        <v>1263</v>
      </c>
      <c r="E106" s="50">
        <v>86</v>
      </c>
      <c r="F106" s="51">
        <v>76</v>
      </c>
      <c r="G106" s="52">
        <f>IFERROR(D106+E106-F106,"")</f>
        <v>1273</v>
      </c>
    </row>
    <row r="107" spans="1:7" ht="21.75" customHeight="1">
      <c r="A107" s="71"/>
      <c r="B107" s="71"/>
      <c r="C107" s="48" t="s">
        <v>34</v>
      </c>
      <c r="D107" s="54">
        <f>G95</f>
        <v>2414</v>
      </c>
      <c r="E107" s="50">
        <v>157</v>
      </c>
      <c r="F107" s="51">
        <v>115</v>
      </c>
      <c r="G107" s="52">
        <f>IFERROR(D107+E107-F107,"")</f>
        <v>2456</v>
      </c>
    </row>
    <row r="108" spans="1:7" ht="21.75" customHeight="1">
      <c r="A108" s="71"/>
      <c r="B108" s="71"/>
      <c r="C108" s="48" t="s">
        <v>25</v>
      </c>
      <c r="D108" s="54">
        <f>G96</f>
        <v>1423</v>
      </c>
      <c r="E108" s="50">
        <v>69</v>
      </c>
      <c r="F108" s="51">
        <v>58</v>
      </c>
      <c r="G108" s="52">
        <f>IFERROR(D108+E108-F108,"")</f>
        <v>1434</v>
      </c>
    </row>
    <row r="109" spans="1:7" ht="21.75" customHeight="1">
      <c r="A109" s="71"/>
      <c r="B109" s="71"/>
      <c r="C109" s="48" t="s">
        <v>35</v>
      </c>
      <c r="D109" s="54">
        <f>G97</f>
        <v>1540</v>
      </c>
      <c r="E109" s="50">
        <v>122</v>
      </c>
      <c r="F109" s="51">
        <v>103</v>
      </c>
      <c r="G109" s="52">
        <f>IFERROR(D109+E109-F109,"")</f>
        <v>1559</v>
      </c>
    </row>
    <row r="110" spans="1:7" ht="21.75" customHeight="1">
      <c r="A110" s="71"/>
      <c r="B110" s="71"/>
      <c r="C110" s="48" t="s">
        <v>29</v>
      </c>
      <c r="D110" s="54">
        <f>G98</f>
        <v>1745</v>
      </c>
      <c r="E110" s="50">
        <v>95</v>
      </c>
      <c r="F110" s="51">
        <v>69</v>
      </c>
      <c r="G110" s="52">
        <f>IFERROR(D110+E110-F110,"")</f>
        <v>1771</v>
      </c>
    </row>
    <row r="111" spans="1:7" ht="21.75" customHeight="1">
      <c r="A111" s="71"/>
      <c r="B111" s="71"/>
      <c r="C111" s="48" t="s">
        <v>31</v>
      </c>
      <c r="D111" s="54">
        <f>G99</f>
        <v>2072</v>
      </c>
      <c r="E111" s="50">
        <v>145</v>
      </c>
      <c r="F111" s="51">
        <v>102</v>
      </c>
      <c r="G111" s="52">
        <f>IFERROR(D111+E111-F111,"")</f>
        <v>2115</v>
      </c>
    </row>
    <row r="112" spans="1:7" ht="21.75" customHeight="1">
      <c r="A112" s="71"/>
      <c r="B112" s="71"/>
      <c r="C112" s="48" t="s">
        <v>33</v>
      </c>
      <c r="D112" s="54">
        <f>G100</f>
        <v>856</v>
      </c>
      <c r="E112" s="50">
        <v>97</v>
      </c>
      <c r="F112" s="51">
        <v>87</v>
      </c>
      <c r="G112" s="52">
        <f>IFERROR(D112+E112-F112,"")</f>
        <v>866</v>
      </c>
    </row>
    <row r="113" spans="1:7" ht="21.75" customHeight="1">
      <c r="A113" s="71"/>
      <c r="B113" s="71"/>
      <c r="C113" s="48" t="s">
        <v>36</v>
      </c>
      <c r="D113" s="54">
        <f>G101</f>
        <v>2678</v>
      </c>
      <c r="E113" s="50">
        <v>105</v>
      </c>
      <c r="F113" s="51">
        <v>72</v>
      </c>
      <c r="G113" s="52">
        <f>IFERROR(D113+E113-F113,"")</f>
        <v>2711</v>
      </c>
    </row>
    <row r="114" spans="1:7" ht="21.75" customHeight="1">
      <c r="A114" s="73" t="s">
        <v>131</v>
      </c>
      <c r="B114" s="73"/>
      <c r="C114" s="73"/>
      <c r="D114" s="53">
        <f>IFERROR(SUM(D103:D113),"")</f>
        <v>20218</v>
      </c>
      <c r="E114" s="53">
        <f>IFERROR(SUM(E103:E113),"")</f>
        <v>1169</v>
      </c>
      <c r="F114" s="53">
        <f>IFERROR(SUM(F103:F113),"")</f>
        <v>899</v>
      </c>
      <c r="G114" s="53">
        <f>IFERROR(SUM(G103:G113),"")</f>
        <v>20488</v>
      </c>
    </row>
    <row r="115" spans="1:7" ht="21.75" customHeight="1">
      <c r="A115" s="71">
        <v>46091</v>
      </c>
      <c r="B115" s="72" t="s">
        <v>52</v>
      </c>
      <c r="C115" s="48" t="s">
        <v>26</v>
      </c>
      <c r="D115" s="54">
        <f>G103</f>
        <v>2218</v>
      </c>
      <c r="E115" s="50">
        <v>134</v>
      </c>
      <c r="F115" s="51">
        <v>110</v>
      </c>
      <c r="G115" s="52">
        <f>IFERROR(D115+E115-F115,"")</f>
        <v>2242</v>
      </c>
    </row>
    <row r="116" spans="1:7" ht="21.75" customHeight="1">
      <c r="A116" s="71"/>
      <c r="B116" s="71"/>
      <c r="C116" s="48" t="s">
        <v>27</v>
      </c>
      <c r="D116" s="54">
        <f>G104</f>
        <v>1591</v>
      </c>
      <c r="E116" s="50">
        <v>72</v>
      </c>
      <c r="F116" s="51">
        <v>57</v>
      </c>
      <c r="G116" s="52">
        <f>IFERROR(D116+E116-F116,"")</f>
        <v>1606</v>
      </c>
    </row>
    <row r="117" spans="1:7" ht="21.75" customHeight="1">
      <c r="A117" s="71"/>
      <c r="B117" s="71"/>
      <c r="C117" s="48" t="s">
        <v>30</v>
      </c>
      <c r="D117" s="54">
        <f>G105</f>
        <v>2494</v>
      </c>
      <c r="E117" s="50">
        <v>113</v>
      </c>
      <c r="F117" s="51">
        <v>81</v>
      </c>
      <c r="G117" s="52">
        <f>IFERROR(D117+E117-F117,"")</f>
        <v>2526</v>
      </c>
    </row>
    <row r="118" spans="1:7" ht="21.75" customHeight="1">
      <c r="A118" s="71"/>
      <c r="B118" s="71"/>
      <c r="C118" s="48" t="s">
        <v>32</v>
      </c>
      <c r="D118" s="54">
        <f>G106</f>
        <v>1273</v>
      </c>
      <c r="E118" s="50">
        <v>119</v>
      </c>
      <c r="F118" s="51">
        <v>99</v>
      </c>
      <c r="G118" s="52">
        <f>IFERROR(D118+E118-F118,"")</f>
        <v>1293</v>
      </c>
    </row>
    <row r="119" spans="1:7" ht="21.75" customHeight="1">
      <c r="A119" s="71"/>
      <c r="B119" s="71"/>
      <c r="C119" s="48" t="s">
        <v>34</v>
      </c>
      <c r="D119" s="54">
        <f>G107</f>
        <v>2456</v>
      </c>
      <c r="E119" s="50">
        <v>107</v>
      </c>
      <c r="F119" s="51">
        <v>66</v>
      </c>
      <c r="G119" s="52">
        <f>IFERROR(D119+E119-F119,"")</f>
        <v>2497</v>
      </c>
    </row>
    <row r="120" spans="1:7" ht="21.75" customHeight="1">
      <c r="A120" s="71"/>
      <c r="B120" s="71"/>
      <c r="C120" s="48" t="s">
        <v>25</v>
      </c>
      <c r="D120" s="54">
        <f>G108</f>
        <v>1434</v>
      </c>
      <c r="E120" s="50">
        <v>78</v>
      </c>
      <c r="F120" s="51">
        <v>54</v>
      </c>
      <c r="G120" s="52">
        <f>IFERROR(D120+E120-F120,"")</f>
        <v>1458</v>
      </c>
    </row>
    <row r="121" spans="1:7" ht="21.75" customHeight="1">
      <c r="A121" s="71"/>
      <c r="B121" s="71"/>
      <c r="C121" s="48" t="s">
        <v>35</v>
      </c>
      <c r="D121" s="54">
        <f>G109</f>
        <v>1559</v>
      </c>
      <c r="E121" s="50">
        <v>114</v>
      </c>
      <c r="F121" s="51">
        <v>84</v>
      </c>
      <c r="G121" s="52">
        <f>IFERROR(D121+E121-F121,"")</f>
        <v>1589</v>
      </c>
    </row>
    <row r="122" spans="1:7" ht="21.75" customHeight="1">
      <c r="A122" s="71"/>
      <c r="B122" s="71"/>
      <c r="C122" s="48" t="s">
        <v>29</v>
      </c>
      <c r="D122" s="54">
        <f>G110</f>
        <v>1771</v>
      </c>
      <c r="E122" s="50">
        <v>90</v>
      </c>
      <c r="F122" s="51">
        <v>75</v>
      </c>
      <c r="G122" s="52">
        <f>IFERROR(D122+E122-F122,"")</f>
        <v>1786</v>
      </c>
    </row>
    <row r="123" spans="1:7" ht="21.75" customHeight="1">
      <c r="A123" s="71"/>
      <c r="B123" s="71"/>
      <c r="C123" s="48" t="s">
        <v>31</v>
      </c>
      <c r="D123" s="54">
        <f>G111</f>
        <v>2115</v>
      </c>
      <c r="E123" s="50">
        <v>102</v>
      </c>
      <c r="F123" s="51">
        <v>75</v>
      </c>
      <c r="G123" s="52">
        <f>IFERROR(D123+E123-F123,"")</f>
        <v>2142</v>
      </c>
    </row>
    <row r="124" spans="1:7" ht="21.75" customHeight="1">
      <c r="A124" s="71"/>
      <c r="B124" s="71"/>
      <c r="C124" s="48" t="s">
        <v>33</v>
      </c>
      <c r="D124" s="54">
        <f>G112</f>
        <v>866</v>
      </c>
      <c r="E124" s="50">
        <v>66</v>
      </c>
      <c r="F124" s="51">
        <v>55</v>
      </c>
      <c r="G124" s="52">
        <f>IFERROR(D124+E124-F124,"")</f>
        <v>877</v>
      </c>
    </row>
    <row r="125" spans="1:7" ht="21.75" customHeight="1">
      <c r="A125" s="71"/>
      <c r="B125" s="71"/>
      <c r="C125" s="48" t="s">
        <v>36</v>
      </c>
      <c r="D125" s="54">
        <f>G113</f>
        <v>2711</v>
      </c>
      <c r="E125" s="50">
        <v>112</v>
      </c>
      <c r="F125" s="51">
        <v>89</v>
      </c>
      <c r="G125" s="52">
        <f>IFERROR(D125+E125-F125,"")</f>
        <v>2734</v>
      </c>
    </row>
    <row r="126" spans="1:7" ht="21.75" customHeight="1">
      <c r="A126" s="73" t="s">
        <v>132</v>
      </c>
      <c r="B126" s="73"/>
      <c r="C126" s="73"/>
      <c r="D126" s="53">
        <f>IFERROR(SUM(D115:D125),"")</f>
        <v>20488</v>
      </c>
      <c r="E126" s="53">
        <f>IFERROR(SUM(E115:E125),"")</f>
        <v>1107</v>
      </c>
      <c r="F126" s="53">
        <f>IFERROR(SUM(F115:F125),"")</f>
        <v>845</v>
      </c>
      <c r="G126" s="53">
        <f>IFERROR(SUM(G115:G125),"")</f>
        <v>20750</v>
      </c>
    </row>
    <row r="127" spans="1:7" ht="21.75" customHeight="1">
      <c r="A127" s="71">
        <v>46092</v>
      </c>
      <c r="B127" s="72" t="s">
        <v>53</v>
      </c>
      <c r="C127" s="48" t="s">
        <v>26</v>
      </c>
      <c r="D127" s="54">
        <f>G115</f>
        <v>2242</v>
      </c>
      <c r="E127" s="50">
        <v>128</v>
      </c>
      <c r="F127" s="51">
        <v>98</v>
      </c>
      <c r="G127" s="52">
        <f>IFERROR(D127+E127-F127,"")</f>
        <v>2272</v>
      </c>
    </row>
    <row r="128" spans="1:7" ht="21.75" customHeight="1">
      <c r="A128" s="71"/>
      <c r="B128" s="71"/>
      <c r="C128" s="48" t="s">
        <v>27</v>
      </c>
      <c r="D128" s="54">
        <f>G116</f>
        <v>1606</v>
      </c>
      <c r="E128" s="50">
        <v>89</v>
      </c>
      <c r="F128" s="51">
        <v>68</v>
      </c>
      <c r="G128" s="52">
        <f>IFERROR(D128+E128-F128,"")</f>
        <v>1627</v>
      </c>
    </row>
    <row r="129" spans="1:7" ht="21.75" customHeight="1">
      <c r="A129" s="71"/>
      <c r="B129" s="71"/>
      <c r="C129" s="48" t="s">
        <v>30</v>
      </c>
      <c r="D129" s="54">
        <f>G117</f>
        <v>2526</v>
      </c>
      <c r="E129" s="50">
        <v>158</v>
      </c>
      <c r="F129" s="51">
        <v>99</v>
      </c>
      <c r="G129" s="52">
        <f>IFERROR(D129+E129-F129,"")</f>
        <v>2585</v>
      </c>
    </row>
    <row r="130" spans="1:7" ht="21.75" customHeight="1">
      <c r="A130" s="71"/>
      <c r="B130" s="71"/>
      <c r="C130" s="48" t="s">
        <v>32</v>
      </c>
      <c r="D130" s="54">
        <f>G118</f>
        <v>1293</v>
      </c>
      <c r="E130" s="50">
        <v>78</v>
      </c>
      <c r="F130" s="51">
        <v>66</v>
      </c>
      <c r="G130" s="52">
        <f>IFERROR(D130+E130-F130,"")</f>
        <v>1305</v>
      </c>
    </row>
    <row r="131" spans="1:7" ht="21.75" customHeight="1">
      <c r="A131" s="71"/>
      <c r="B131" s="71"/>
      <c r="C131" s="48" t="s">
        <v>34</v>
      </c>
      <c r="D131" s="54">
        <f>G119</f>
        <v>2497</v>
      </c>
      <c r="E131" s="50">
        <v>117</v>
      </c>
      <c r="F131" s="51">
        <v>84</v>
      </c>
      <c r="G131" s="52">
        <f>IFERROR(D131+E131-F131,"")</f>
        <v>2530</v>
      </c>
    </row>
    <row r="132" spans="1:7" ht="21.75" customHeight="1">
      <c r="A132" s="71"/>
      <c r="B132" s="71"/>
      <c r="C132" s="48" t="s">
        <v>25</v>
      </c>
      <c r="D132" s="54">
        <f>G120</f>
        <v>1458</v>
      </c>
      <c r="E132" s="50">
        <v>67</v>
      </c>
      <c r="F132" s="51">
        <v>54</v>
      </c>
      <c r="G132" s="52">
        <f>IFERROR(D132+E132-F132,"")</f>
        <v>1471</v>
      </c>
    </row>
    <row r="133" spans="1:7" ht="21.75" customHeight="1">
      <c r="A133" s="71"/>
      <c r="B133" s="71"/>
      <c r="C133" s="48" t="s">
        <v>35</v>
      </c>
      <c r="D133" s="54">
        <f>G121</f>
        <v>1589</v>
      </c>
      <c r="E133" s="50">
        <v>81</v>
      </c>
      <c r="F133" s="51">
        <v>61</v>
      </c>
      <c r="G133" s="52">
        <f>IFERROR(D133+E133-F133,"")</f>
        <v>1609</v>
      </c>
    </row>
    <row r="134" spans="1:7" ht="21.75" customHeight="1">
      <c r="A134" s="71"/>
      <c r="B134" s="71"/>
      <c r="C134" s="48" t="s">
        <v>29</v>
      </c>
      <c r="D134" s="54">
        <f>G122</f>
        <v>1786</v>
      </c>
      <c r="E134" s="50">
        <v>72</v>
      </c>
      <c r="F134" s="51">
        <v>50</v>
      </c>
      <c r="G134" s="52">
        <f>IFERROR(D134+E134-F134,"")</f>
        <v>1808</v>
      </c>
    </row>
    <row r="135" spans="1:7" ht="21.75" customHeight="1">
      <c r="A135" s="71"/>
      <c r="B135" s="71"/>
      <c r="C135" s="48" t="s">
        <v>31</v>
      </c>
      <c r="D135" s="54">
        <f>G123</f>
        <v>2142</v>
      </c>
      <c r="E135" s="50">
        <v>144</v>
      </c>
      <c r="F135" s="51">
        <v>117</v>
      </c>
      <c r="G135" s="52">
        <f>IFERROR(D135+E135-F135,"")</f>
        <v>2169</v>
      </c>
    </row>
    <row r="136" spans="1:7" ht="21.75" customHeight="1">
      <c r="A136" s="71"/>
      <c r="B136" s="71"/>
      <c r="C136" s="48" t="s">
        <v>33</v>
      </c>
      <c r="D136" s="54">
        <f>G124</f>
        <v>877</v>
      </c>
      <c r="E136" s="50">
        <v>58</v>
      </c>
      <c r="F136" s="51">
        <v>48</v>
      </c>
      <c r="G136" s="52">
        <f>IFERROR(D136+E136-F136,"")</f>
        <v>887</v>
      </c>
    </row>
    <row r="137" spans="1:7" ht="21.75" customHeight="1">
      <c r="A137" s="71"/>
      <c r="B137" s="71"/>
      <c r="C137" s="48" t="s">
        <v>36</v>
      </c>
      <c r="D137" s="54">
        <f>G125</f>
        <v>2734</v>
      </c>
      <c r="E137" s="50">
        <v>111</v>
      </c>
      <c r="F137" s="51">
        <v>79</v>
      </c>
      <c r="G137" s="52">
        <f>IFERROR(D137+E137-F137,"")</f>
        <v>2766</v>
      </c>
    </row>
    <row r="138" spans="1:7" ht="21.75" customHeight="1">
      <c r="A138" s="73" t="s">
        <v>133</v>
      </c>
      <c r="B138" s="73"/>
      <c r="C138" s="73"/>
      <c r="D138" s="53">
        <f>IFERROR(SUM(D127:D137),"")</f>
        <v>20750</v>
      </c>
      <c r="E138" s="53">
        <f>IFERROR(SUM(E127:E137),"")</f>
        <v>1103</v>
      </c>
      <c r="F138" s="53">
        <f>IFERROR(SUM(F127:F137),"")</f>
        <v>824</v>
      </c>
      <c r="G138" s="53">
        <f>IFERROR(SUM(G127:G137),"")</f>
        <v>21029</v>
      </c>
    </row>
    <row r="139" spans="1:7" ht="21.75" customHeight="1">
      <c r="A139" s="71">
        <v>46093</v>
      </c>
      <c r="B139" s="72" t="s">
        <v>45</v>
      </c>
      <c r="C139" s="48" t="s">
        <v>26</v>
      </c>
      <c r="D139" s="54">
        <f>G127</f>
        <v>2272</v>
      </c>
      <c r="E139" s="50">
        <v>104</v>
      </c>
      <c r="F139" s="51">
        <v>72</v>
      </c>
      <c r="G139" s="52">
        <f>IFERROR(D139+E139-F139,"")</f>
        <v>2304</v>
      </c>
    </row>
    <row r="140" spans="1:7" ht="21.75" customHeight="1">
      <c r="A140" s="71"/>
      <c r="B140" s="71"/>
      <c r="C140" s="48" t="s">
        <v>27</v>
      </c>
      <c r="D140" s="54">
        <f>G128</f>
        <v>1627</v>
      </c>
      <c r="E140" s="50">
        <v>91</v>
      </c>
      <c r="F140" s="51">
        <v>80</v>
      </c>
      <c r="G140" s="52">
        <f>IFERROR(D140+E140-F140,"")</f>
        <v>1638</v>
      </c>
    </row>
    <row r="141" spans="1:7" ht="21.75" customHeight="1">
      <c r="A141" s="71"/>
      <c r="B141" s="71"/>
      <c r="C141" s="48" t="s">
        <v>30</v>
      </c>
      <c r="D141" s="54">
        <f>G129</f>
        <v>2585</v>
      </c>
      <c r="E141" s="50">
        <v>124</v>
      </c>
      <c r="F141" s="51">
        <v>97</v>
      </c>
      <c r="G141" s="52">
        <f>IFERROR(D141+E141-F141,"")</f>
        <v>2612</v>
      </c>
    </row>
    <row r="142" spans="1:7" ht="21.75" customHeight="1">
      <c r="A142" s="71"/>
      <c r="B142" s="71"/>
      <c r="C142" s="48" t="s">
        <v>32</v>
      </c>
      <c r="D142" s="54">
        <f>G130</f>
        <v>1305</v>
      </c>
      <c r="E142" s="50">
        <v>83</v>
      </c>
      <c r="F142" s="51">
        <v>73</v>
      </c>
      <c r="G142" s="52">
        <f>IFERROR(D142+E142-F142,"")</f>
        <v>1315</v>
      </c>
    </row>
    <row r="143" spans="1:7" ht="21.75" customHeight="1">
      <c r="A143" s="71"/>
      <c r="B143" s="71"/>
      <c r="C143" s="48" t="s">
        <v>34</v>
      </c>
      <c r="D143" s="54">
        <f>G131</f>
        <v>2530</v>
      </c>
      <c r="E143" s="50">
        <v>174</v>
      </c>
      <c r="F143" s="51">
        <v>128</v>
      </c>
      <c r="G143" s="52">
        <f>IFERROR(D143+E143-F143,"")</f>
        <v>2576</v>
      </c>
    </row>
    <row r="144" spans="1:7" ht="21.75" customHeight="1">
      <c r="A144" s="71"/>
      <c r="B144" s="71"/>
      <c r="C144" s="48" t="s">
        <v>25</v>
      </c>
      <c r="D144" s="54">
        <f>G132</f>
        <v>1471</v>
      </c>
      <c r="E144" s="50">
        <v>76</v>
      </c>
      <c r="F144" s="51">
        <v>65</v>
      </c>
      <c r="G144" s="52">
        <f>IFERROR(D144+E144-F144,"")</f>
        <v>1482</v>
      </c>
    </row>
    <row r="145" spans="1:7" ht="21.75" customHeight="1">
      <c r="A145" s="71"/>
      <c r="B145" s="71"/>
      <c r="C145" s="48" t="s">
        <v>35</v>
      </c>
      <c r="D145" s="54">
        <f>G133</f>
        <v>1609</v>
      </c>
      <c r="E145" s="50">
        <v>109</v>
      </c>
      <c r="F145" s="51">
        <v>94</v>
      </c>
      <c r="G145" s="52">
        <f>IFERROR(D145+E145-F145,"")</f>
        <v>1624</v>
      </c>
    </row>
    <row r="146" spans="1:7" ht="21.75" customHeight="1">
      <c r="A146" s="71"/>
      <c r="B146" s="71"/>
      <c r="C146" s="48" t="s">
        <v>29</v>
      </c>
      <c r="D146" s="54">
        <f>G134</f>
        <v>1808</v>
      </c>
      <c r="E146" s="50">
        <v>69</v>
      </c>
      <c r="F146" s="51">
        <v>45</v>
      </c>
      <c r="G146" s="52">
        <f>IFERROR(D146+E146-F146,"")</f>
        <v>1832</v>
      </c>
    </row>
    <row r="147" spans="1:7" ht="21.75" customHeight="1">
      <c r="A147" s="71"/>
      <c r="B147" s="71"/>
      <c r="C147" s="48" t="s">
        <v>31</v>
      </c>
      <c r="D147" s="54">
        <f>G135</f>
        <v>2169</v>
      </c>
      <c r="E147" s="50">
        <v>139</v>
      </c>
      <c r="F147" s="51">
        <v>97</v>
      </c>
      <c r="G147" s="52">
        <f>IFERROR(D147+E147-F147,"")</f>
        <v>2211</v>
      </c>
    </row>
    <row r="148" spans="1:7" ht="21.75" customHeight="1">
      <c r="A148" s="71"/>
      <c r="B148" s="71"/>
      <c r="C148" s="48" t="s">
        <v>33</v>
      </c>
      <c r="D148" s="54">
        <f>G136</f>
        <v>887</v>
      </c>
      <c r="E148" s="50">
        <v>58</v>
      </c>
      <c r="F148" s="51">
        <v>48</v>
      </c>
      <c r="G148" s="52">
        <f>IFERROR(D148+E148-F148,"")</f>
        <v>897</v>
      </c>
    </row>
    <row r="149" spans="1:7" ht="21.75" customHeight="1">
      <c r="A149" s="71"/>
      <c r="B149" s="71"/>
      <c r="C149" s="48" t="s">
        <v>36</v>
      </c>
      <c r="D149" s="54">
        <f>G137</f>
        <v>2766</v>
      </c>
      <c r="E149" s="50">
        <v>127</v>
      </c>
      <c r="F149" s="51">
        <v>90</v>
      </c>
      <c r="G149" s="52">
        <f>IFERROR(D149+E149-F149,"")</f>
        <v>2803</v>
      </c>
    </row>
    <row r="150" spans="1:7" ht="21.75" customHeight="1">
      <c r="A150" s="73" t="s">
        <v>134</v>
      </c>
      <c r="B150" s="73"/>
      <c r="C150" s="73"/>
      <c r="D150" s="53">
        <f>IFERROR(SUM(D139:D149),"")</f>
        <v>21029</v>
      </c>
      <c r="E150" s="53">
        <f>IFERROR(SUM(E139:E149),"")</f>
        <v>1154</v>
      </c>
      <c r="F150" s="53">
        <f>IFERROR(SUM(F139:F149),"")</f>
        <v>889</v>
      </c>
      <c r="G150" s="53">
        <f>IFERROR(SUM(G139:G149),"")</f>
        <v>21294</v>
      </c>
    </row>
    <row r="151" spans="1:7" ht="21.75" customHeight="1">
      <c r="A151" s="71">
        <v>46094</v>
      </c>
      <c r="B151" s="72" t="s">
        <v>47</v>
      </c>
      <c r="C151" s="48" t="s">
        <v>26</v>
      </c>
      <c r="D151" s="54">
        <f>G139</f>
        <v>2304</v>
      </c>
      <c r="E151" s="50">
        <v>123</v>
      </c>
      <c r="F151" s="51">
        <v>88</v>
      </c>
      <c r="G151" s="52">
        <f>IFERROR(D151+E151-F151,"")</f>
        <v>2339</v>
      </c>
    </row>
    <row r="152" spans="1:7" ht="21.75" customHeight="1">
      <c r="A152" s="71"/>
      <c r="B152" s="71"/>
      <c r="C152" s="48" t="s">
        <v>27</v>
      </c>
      <c r="D152" s="54">
        <f>G140</f>
        <v>1638</v>
      </c>
      <c r="E152" s="50">
        <v>82</v>
      </c>
      <c r="F152" s="51">
        <v>70</v>
      </c>
      <c r="G152" s="52">
        <f>IFERROR(D152+E152-F152,"")</f>
        <v>1650</v>
      </c>
    </row>
    <row r="153" spans="1:7" ht="21.75" customHeight="1">
      <c r="A153" s="71"/>
      <c r="B153" s="71"/>
      <c r="C153" s="48" t="s">
        <v>30</v>
      </c>
      <c r="D153" s="54">
        <f>G141</f>
        <v>2612</v>
      </c>
      <c r="E153" s="50">
        <v>147</v>
      </c>
      <c r="F153" s="51">
        <v>104</v>
      </c>
      <c r="G153" s="52">
        <f>IFERROR(D153+E153-F153,"")</f>
        <v>2655</v>
      </c>
    </row>
    <row r="154" spans="1:7" ht="21.75" customHeight="1">
      <c r="A154" s="71"/>
      <c r="B154" s="71"/>
      <c r="C154" s="48" t="s">
        <v>32</v>
      </c>
      <c r="D154" s="54">
        <f>G142</f>
        <v>1315</v>
      </c>
      <c r="E154" s="50">
        <v>76</v>
      </c>
      <c r="F154" s="51">
        <v>68</v>
      </c>
      <c r="G154" s="52">
        <f>IFERROR(D154+E154-F154,"")</f>
        <v>1323</v>
      </c>
    </row>
    <row r="155" spans="1:7" ht="21.75" customHeight="1">
      <c r="A155" s="71"/>
      <c r="B155" s="71"/>
      <c r="C155" s="48" t="s">
        <v>34</v>
      </c>
      <c r="D155" s="54">
        <f>G143</f>
        <v>2576</v>
      </c>
      <c r="E155" s="50">
        <v>132</v>
      </c>
      <c r="F155" s="51">
        <v>108</v>
      </c>
      <c r="G155" s="52">
        <f>IFERROR(D155+E155-F155,"")</f>
        <v>2600</v>
      </c>
    </row>
    <row r="156" spans="1:7" ht="21.75" customHeight="1">
      <c r="A156" s="71"/>
      <c r="B156" s="71"/>
      <c r="C156" s="48" t="s">
        <v>25</v>
      </c>
      <c r="D156" s="54">
        <f>G144</f>
        <v>1482</v>
      </c>
      <c r="E156" s="50">
        <v>73</v>
      </c>
      <c r="F156" s="51">
        <v>56</v>
      </c>
      <c r="G156" s="52">
        <f>IFERROR(D156+E156-F156,"")</f>
        <v>1499</v>
      </c>
    </row>
    <row r="157" spans="1:7" ht="21.75" customHeight="1">
      <c r="A157" s="71"/>
      <c r="B157" s="71"/>
      <c r="C157" s="48" t="s">
        <v>35</v>
      </c>
      <c r="D157" s="54">
        <f>G145</f>
        <v>1624</v>
      </c>
      <c r="E157" s="50">
        <v>81</v>
      </c>
      <c r="F157" s="51">
        <v>69</v>
      </c>
      <c r="G157" s="52">
        <f>IFERROR(D157+E157-F157,"")</f>
        <v>1636</v>
      </c>
    </row>
    <row r="158" spans="1:7" ht="21.75" customHeight="1">
      <c r="A158" s="71"/>
      <c r="B158" s="71"/>
      <c r="C158" s="48" t="s">
        <v>29</v>
      </c>
      <c r="D158" s="54">
        <f>G146</f>
        <v>1832</v>
      </c>
      <c r="E158" s="50">
        <v>108</v>
      </c>
      <c r="F158" s="51">
        <v>71</v>
      </c>
      <c r="G158" s="52">
        <f>IFERROR(D158+E158-F158,"")</f>
        <v>1869</v>
      </c>
    </row>
    <row r="159" spans="1:7" ht="21.75" customHeight="1">
      <c r="A159" s="71"/>
      <c r="B159" s="71"/>
      <c r="C159" s="48" t="s">
        <v>31</v>
      </c>
      <c r="D159" s="54">
        <f>G147</f>
        <v>2211</v>
      </c>
      <c r="E159" s="50">
        <v>107</v>
      </c>
      <c r="F159" s="51">
        <v>82</v>
      </c>
      <c r="G159" s="52">
        <f>IFERROR(D159+E159-F159,"")</f>
        <v>2236</v>
      </c>
    </row>
    <row r="160" spans="1:7" ht="21.75" customHeight="1">
      <c r="A160" s="71"/>
      <c r="B160" s="71"/>
      <c r="C160" s="48" t="s">
        <v>33</v>
      </c>
      <c r="D160" s="54">
        <f>G148</f>
        <v>897</v>
      </c>
      <c r="E160" s="50">
        <v>57</v>
      </c>
      <c r="F160" s="51">
        <v>46</v>
      </c>
      <c r="G160" s="52">
        <f>IFERROR(D160+E160-F160,"")</f>
        <v>908</v>
      </c>
    </row>
    <row r="161" spans="1:7" ht="21.75" customHeight="1">
      <c r="A161" s="71"/>
      <c r="B161" s="71"/>
      <c r="C161" s="48" t="s">
        <v>36</v>
      </c>
      <c r="D161" s="54">
        <f>G149</f>
        <v>2803</v>
      </c>
      <c r="E161" s="50">
        <v>98</v>
      </c>
      <c r="F161" s="51">
        <v>61</v>
      </c>
      <c r="G161" s="52">
        <f>IFERROR(D161+E161-F161,"")</f>
        <v>2840</v>
      </c>
    </row>
    <row r="162" spans="1:7" ht="21.75" customHeight="1">
      <c r="A162" s="73" t="s">
        <v>135</v>
      </c>
      <c r="B162" s="73"/>
      <c r="C162" s="73"/>
      <c r="D162" s="53">
        <f>IFERROR(SUM(D151:D161),"")</f>
        <v>21294</v>
      </c>
      <c r="E162" s="53">
        <f>IFERROR(SUM(E151:E161),"")</f>
        <v>1084</v>
      </c>
      <c r="F162" s="53">
        <f>IFERROR(SUM(F151:F161),"")</f>
        <v>823</v>
      </c>
      <c r="G162" s="53">
        <f>IFERROR(SUM(G151:G161),"")</f>
        <v>21555</v>
      </c>
    </row>
    <row r="163" spans="1:7" ht="21.75" customHeight="1">
      <c r="A163" s="74">
        <v>46095</v>
      </c>
      <c r="B163" s="75" t="s">
        <v>48</v>
      </c>
      <c r="C163" s="48" t="s">
        <v>26</v>
      </c>
      <c r="D163" s="54">
        <f>G151</f>
        <v>2339</v>
      </c>
      <c r="E163" s="50">
        <v>64</v>
      </c>
      <c r="F163" s="51">
        <v>41</v>
      </c>
      <c r="G163" s="52">
        <f>IFERROR(D163+E163-F163,"")</f>
        <v>2362</v>
      </c>
    </row>
    <row r="164" spans="1:7" ht="21.75" customHeight="1">
      <c r="A164" s="74"/>
      <c r="B164" s="74"/>
      <c r="C164" s="48" t="s">
        <v>27</v>
      </c>
      <c r="D164" s="54">
        <f>G152</f>
        <v>1650</v>
      </c>
      <c r="E164" s="50">
        <v>28</v>
      </c>
      <c r="F164" s="51">
        <v>23</v>
      </c>
      <c r="G164" s="52">
        <f>IFERROR(D164+E164-F164,"")</f>
        <v>1655</v>
      </c>
    </row>
    <row r="165" spans="1:7" ht="21.75" customHeight="1">
      <c r="A165" s="74"/>
      <c r="B165" s="74"/>
      <c r="C165" s="48" t="s">
        <v>30</v>
      </c>
      <c r="D165" s="54">
        <f>G153</f>
        <v>2655</v>
      </c>
      <c r="E165" s="50">
        <v>69</v>
      </c>
      <c r="F165" s="51">
        <v>53</v>
      </c>
      <c r="G165" s="52">
        <f>IFERROR(D165+E165-F165,"")</f>
        <v>2671</v>
      </c>
    </row>
    <row r="166" spans="1:7" ht="21.75" customHeight="1">
      <c r="A166" s="74"/>
      <c r="B166" s="74"/>
      <c r="C166" s="48" t="s">
        <v>32</v>
      </c>
      <c r="D166" s="54">
        <f>G154</f>
        <v>1323</v>
      </c>
      <c r="E166" s="50">
        <v>32</v>
      </c>
      <c r="F166" s="51">
        <v>25</v>
      </c>
      <c r="G166" s="52">
        <f>IFERROR(D166+E166-F166,"")</f>
        <v>1330</v>
      </c>
    </row>
    <row r="167" spans="1:7" ht="21.75" customHeight="1">
      <c r="A167" s="74"/>
      <c r="B167" s="74"/>
      <c r="C167" s="48" t="s">
        <v>34</v>
      </c>
      <c r="D167" s="54">
        <f>G155</f>
        <v>2600</v>
      </c>
      <c r="E167" s="50">
        <v>82</v>
      </c>
      <c r="F167" s="51">
        <v>53</v>
      </c>
      <c r="G167" s="52">
        <f>IFERROR(D167+E167-F167,"")</f>
        <v>2629</v>
      </c>
    </row>
    <row r="168" spans="1:7" ht="21.75" customHeight="1">
      <c r="A168" s="74"/>
      <c r="B168" s="74"/>
      <c r="C168" s="48" t="s">
        <v>25</v>
      </c>
      <c r="D168" s="54">
        <f>G156</f>
        <v>1499</v>
      </c>
      <c r="E168" s="50">
        <v>45</v>
      </c>
      <c r="F168" s="51">
        <v>39</v>
      </c>
      <c r="G168" s="52">
        <f>IFERROR(D168+E168-F168,"")</f>
        <v>1505</v>
      </c>
    </row>
    <row r="169" spans="1:7" ht="21.75" customHeight="1">
      <c r="A169" s="74"/>
      <c r="B169" s="74"/>
      <c r="C169" s="48" t="s">
        <v>35</v>
      </c>
      <c r="D169" s="54">
        <f>G157</f>
        <v>1636</v>
      </c>
      <c r="E169" s="50">
        <v>44</v>
      </c>
      <c r="F169" s="51">
        <v>40</v>
      </c>
      <c r="G169" s="52">
        <f>IFERROR(D169+E169-F169,"")</f>
        <v>1640</v>
      </c>
    </row>
    <row r="170" spans="1:7" ht="21.75" customHeight="1">
      <c r="A170" s="74"/>
      <c r="B170" s="74"/>
      <c r="C170" s="48" t="s">
        <v>29</v>
      </c>
      <c r="D170" s="54">
        <f>G158</f>
        <v>1869</v>
      </c>
      <c r="E170" s="50">
        <v>38</v>
      </c>
      <c r="F170" s="51">
        <v>32</v>
      </c>
      <c r="G170" s="52">
        <f>IFERROR(D170+E170-F170,"")</f>
        <v>1875</v>
      </c>
    </row>
    <row r="171" spans="1:7" ht="21.75" customHeight="1">
      <c r="A171" s="74"/>
      <c r="B171" s="74"/>
      <c r="C171" s="48" t="s">
        <v>31</v>
      </c>
      <c r="D171" s="54">
        <f>G159</f>
        <v>2236</v>
      </c>
      <c r="E171" s="50">
        <v>45</v>
      </c>
      <c r="F171" s="51">
        <v>28</v>
      </c>
      <c r="G171" s="52">
        <f>IFERROR(D171+E171-F171,"")</f>
        <v>2253</v>
      </c>
    </row>
    <row r="172" spans="1:7" ht="21.75" customHeight="1">
      <c r="A172" s="74"/>
      <c r="B172" s="74"/>
      <c r="C172" s="48" t="s">
        <v>33</v>
      </c>
      <c r="D172" s="54">
        <f>G160</f>
        <v>908</v>
      </c>
      <c r="E172" s="50">
        <v>50</v>
      </c>
      <c r="F172" s="51">
        <v>40</v>
      </c>
      <c r="G172" s="52">
        <f>IFERROR(D172+E172-F172,"")</f>
        <v>918</v>
      </c>
    </row>
    <row r="173" spans="1:7" ht="21.75" customHeight="1">
      <c r="A173" s="74"/>
      <c r="B173" s="74"/>
      <c r="C173" s="48" t="s">
        <v>36</v>
      </c>
      <c r="D173" s="54">
        <f>G161</f>
        <v>2840</v>
      </c>
      <c r="E173" s="50">
        <v>68</v>
      </c>
      <c r="F173" s="51">
        <v>51</v>
      </c>
      <c r="G173" s="52">
        <f>IFERROR(D173+E173-F173,"")</f>
        <v>2857</v>
      </c>
    </row>
    <row r="174" spans="1:7" ht="21.75" customHeight="1">
      <c r="A174" s="73" t="s">
        <v>136</v>
      </c>
      <c r="B174" s="73"/>
      <c r="C174" s="73"/>
      <c r="D174" s="53">
        <f>IFERROR(SUM(D163:D173),"")</f>
        <v>21555</v>
      </c>
      <c r="E174" s="53">
        <f>IFERROR(SUM(E163:E173),"")</f>
        <v>565</v>
      </c>
      <c r="F174" s="53">
        <f>IFERROR(SUM(F163:F173),"")</f>
        <v>425</v>
      </c>
      <c r="G174" s="53">
        <f>IFERROR(SUM(G163:G173),"")</f>
        <v>21695</v>
      </c>
    </row>
    <row r="175" spans="1:7" ht="21.75" customHeight="1">
      <c r="A175" s="74">
        <v>46096</v>
      </c>
      <c r="B175" s="75" t="s">
        <v>50</v>
      </c>
      <c r="C175" s="48" t="s">
        <v>26</v>
      </c>
      <c r="D175" s="54">
        <f>G163</f>
        <v>2362</v>
      </c>
      <c r="E175" s="50">
        <v>34</v>
      </c>
      <c r="F175" s="51">
        <v>22</v>
      </c>
      <c r="G175" s="52">
        <f>IFERROR(D175+E175-F175,"")</f>
        <v>2374</v>
      </c>
    </row>
    <row r="176" spans="1:7" ht="21.75" customHeight="1">
      <c r="A176" s="74"/>
      <c r="B176" s="74"/>
      <c r="C176" s="48" t="s">
        <v>27</v>
      </c>
      <c r="D176" s="54">
        <f>G164</f>
        <v>1655</v>
      </c>
      <c r="E176" s="50">
        <v>29</v>
      </c>
      <c r="F176" s="51">
        <v>25</v>
      </c>
      <c r="G176" s="52">
        <f>IFERROR(D176+E176-F176,"")</f>
        <v>1659</v>
      </c>
    </row>
    <row r="177" spans="1:7" ht="21.75" customHeight="1">
      <c r="A177" s="74"/>
      <c r="B177" s="74"/>
      <c r="C177" s="48" t="s">
        <v>30</v>
      </c>
      <c r="D177" s="54">
        <f>G165</f>
        <v>2671</v>
      </c>
      <c r="E177" s="50">
        <v>68</v>
      </c>
      <c r="F177" s="51">
        <v>54</v>
      </c>
      <c r="G177" s="52">
        <f>IFERROR(D177+E177-F177,"")</f>
        <v>2685</v>
      </c>
    </row>
    <row r="178" spans="1:7" ht="21.75" customHeight="1">
      <c r="A178" s="74"/>
      <c r="B178" s="74"/>
      <c r="C178" s="48" t="s">
        <v>32</v>
      </c>
      <c r="D178" s="54">
        <f>G166</f>
        <v>1330</v>
      </c>
      <c r="E178" s="50">
        <v>41</v>
      </c>
      <c r="F178" s="51">
        <v>38</v>
      </c>
      <c r="G178" s="52">
        <f>IFERROR(D178+E178-F178,"")</f>
        <v>1333</v>
      </c>
    </row>
    <row r="179" spans="1:7" ht="21.75" customHeight="1">
      <c r="A179" s="74"/>
      <c r="B179" s="74"/>
      <c r="C179" s="48" t="s">
        <v>34</v>
      </c>
      <c r="D179" s="54">
        <f>G167</f>
        <v>2629</v>
      </c>
      <c r="E179" s="50">
        <v>82</v>
      </c>
      <c r="F179" s="51">
        <v>65</v>
      </c>
      <c r="G179" s="52">
        <f>IFERROR(D179+E179-F179,"")</f>
        <v>2646</v>
      </c>
    </row>
    <row r="180" spans="1:7" ht="21.75" customHeight="1">
      <c r="A180" s="74"/>
      <c r="B180" s="74"/>
      <c r="C180" s="48" t="s">
        <v>25</v>
      </c>
      <c r="D180" s="54">
        <f>G168</f>
        <v>1505</v>
      </c>
      <c r="E180" s="50">
        <v>37</v>
      </c>
      <c r="F180" s="51">
        <v>25</v>
      </c>
      <c r="G180" s="52">
        <f>IFERROR(D180+E180-F180,"")</f>
        <v>1517</v>
      </c>
    </row>
    <row r="181" spans="1:7" ht="21.75" customHeight="1">
      <c r="A181" s="74"/>
      <c r="B181" s="74"/>
      <c r="C181" s="48" t="s">
        <v>35</v>
      </c>
      <c r="D181" s="54">
        <f>G169</f>
        <v>1640</v>
      </c>
      <c r="E181" s="50">
        <v>60</v>
      </c>
      <c r="F181" s="51">
        <v>54</v>
      </c>
      <c r="G181" s="52">
        <f>IFERROR(D181+E181-F181,"")</f>
        <v>1646</v>
      </c>
    </row>
    <row r="182" spans="1:7" ht="21.75" customHeight="1">
      <c r="A182" s="74"/>
      <c r="B182" s="74"/>
      <c r="C182" s="48" t="s">
        <v>29</v>
      </c>
      <c r="D182" s="54">
        <f>G170</f>
        <v>1875</v>
      </c>
      <c r="E182" s="50">
        <v>60</v>
      </c>
      <c r="F182" s="51">
        <v>44</v>
      </c>
      <c r="G182" s="52">
        <f>IFERROR(D182+E182-F182,"")</f>
        <v>1891</v>
      </c>
    </row>
    <row r="183" spans="1:7" ht="21.75" customHeight="1">
      <c r="A183" s="74"/>
      <c r="B183" s="74"/>
      <c r="C183" s="48" t="s">
        <v>31</v>
      </c>
      <c r="D183" s="54">
        <f>G171</f>
        <v>2253</v>
      </c>
      <c r="E183" s="50">
        <v>77</v>
      </c>
      <c r="F183" s="51">
        <v>61</v>
      </c>
      <c r="G183" s="52">
        <f>IFERROR(D183+E183-F183,"")</f>
        <v>2269</v>
      </c>
    </row>
    <row r="184" spans="1:7" ht="21.75" customHeight="1">
      <c r="A184" s="74"/>
      <c r="B184" s="74"/>
      <c r="C184" s="48" t="s">
        <v>33</v>
      </c>
      <c r="D184" s="54">
        <f>G172</f>
        <v>918</v>
      </c>
      <c r="E184" s="50">
        <v>45</v>
      </c>
      <c r="F184" s="51">
        <v>35</v>
      </c>
      <c r="G184" s="52">
        <f>IFERROR(D184+E184-F184,"")</f>
        <v>928</v>
      </c>
    </row>
    <row r="185" spans="1:7" ht="21.75" customHeight="1">
      <c r="A185" s="74"/>
      <c r="B185" s="74"/>
      <c r="C185" s="48" t="s">
        <v>36</v>
      </c>
      <c r="D185" s="54">
        <f>G173</f>
        <v>2857</v>
      </c>
      <c r="E185" s="50">
        <v>58</v>
      </c>
      <c r="F185" s="51">
        <v>40</v>
      </c>
      <c r="G185" s="52">
        <f>IFERROR(D185+E185-F185,"")</f>
        <v>2875</v>
      </c>
    </row>
    <row r="186" spans="1:7" ht="21.75" customHeight="1">
      <c r="A186" s="73" t="s">
        <v>137</v>
      </c>
      <c r="B186" s="73"/>
      <c r="C186" s="73"/>
      <c r="D186" s="53">
        <f>IFERROR(SUM(D175:D185),"")</f>
        <v>21695</v>
      </c>
      <c r="E186" s="53">
        <f>IFERROR(SUM(E175:E185),"")</f>
        <v>591</v>
      </c>
      <c r="F186" s="53">
        <f>IFERROR(SUM(F175:F185),"")</f>
        <v>463</v>
      </c>
      <c r="G186" s="53">
        <f>IFERROR(SUM(G175:G185),"")</f>
        <v>21823</v>
      </c>
    </row>
    <row r="187" spans="1:7" ht="21.75" customHeight="1">
      <c r="A187" s="71">
        <v>46097</v>
      </c>
      <c r="B187" s="72" t="s">
        <v>51</v>
      </c>
      <c r="C187" s="48" t="s">
        <v>26</v>
      </c>
      <c r="D187" s="54">
        <f>G175</f>
        <v>2374</v>
      </c>
      <c r="E187" s="50">
        <v>82</v>
      </c>
      <c r="F187" s="51">
        <v>58</v>
      </c>
      <c r="G187" s="52">
        <f>IFERROR(D187+E187-F187,"")</f>
        <v>2398</v>
      </c>
    </row>
    <row r="188" spans="1:7" ht="21.75" customHeight="1">
      <c r="A188" s="71"/>
      <c r="B188" s="71"/>
      <c r="C188" s="48" t="s">
        <v>27</v>
      </c>
      <c r="D188" s="54">
        <f>G176</f>
        <v>1659</v>
      </c>
      <c r="E188" s="50">
        <v>125</v>
      </c>
      <c r="F188" s="51">
        <v>101</v>
      </c>
      <c r="G188" s="52">
        <f>IFERROR(D188+E188-F188,"")</f>
        <v>1683</v>
      </c>
    </row>
    <row r="189" spans="1:7" ht="21.75" customHeight="1">
      <c r="A189" s="71"/>
      <c r="B189" s="71"/>
      <c r="C189" s="48" t="s">
        <v>30</v>
      </c>
      <c r="D189" s="54">
        <f>G177</f>
        <v>2685</v>
      </c>
      <c r="E189" s="50">
        <v>91</v>
      </c>
      <c r="F189" s="51">
        <v>69</v>
      </c>
      <c r="G189" s="52">
        <f>IFERROR(D189+E189-F189,"")</f>
        <v>2707</v>
      </c>
    </row>
    <row r="190" spans="1:7" ht="21.75" customHeight="1">
      <c r="A190" s="71"/>
      <c r="B190" s="71"/>
      <c r="C190" s="48" t="s">
        <v>32</v>
      </c>
      <c r="D190" s="54">
        <f>G178</f>
        <v>1333</v>
      </c>
      <c r="E190" s="50">
        <v>107</v>
      </c>
      <c r="F190" s="51">
        <v>100</v>
      </c>
      <c r="G190" s="52">
        <f>IFERROR(D190+E190-F190,"")</f>
        <v>1340</v>
      </c>
    </row>
    <row r="191" spans="1:7" ht="21.75" customHeight="1">
      <c r="A191" s="71"/>
      <c r="B191" s="71"/>
      <c r="C191" s="48" t="s">
        <v>34</v>
      </c>
      <c r="D191" s="54">
        <f>G179</f>
        <v>2646</v>
      </c>
      <c r="E191" s="50">
        <v>158</v>
      </c>
      <c r="F191" s="51">
        <v>129</v>
      </c>
      <c r="G191" s="52">
        <f>IFERROR(D191+E191-F191,"")</f>
        <v>2675</v>
      </c>
    </row>
    <row r="192" spans="1:7" ht="21.75" customHeight="1">
      <c r="A192" s="71"/>
      <c r="B192" s="71"/>
      <c r="C192" s="48" t="s">
        <v>25</v>
      </c>
      <c r="D192" s="54">
        <f>G180</f>
        <v>1517</v>
      </c>
      <c r="E192" s="50">
        <v>109</v>
      </c>
      <c r="F192" s="51">
        <v>79</v>
      </c>
      <c r="G192" s="52">
        <f>IFERROR(D192+E192-F192,"")</f>
        <v>1547</v>
      </c>
    </row>
    <row r="193" spans="1:7" ht="21.75" customHeight="1">
      <c r="A193" s="71"/>
      <c r="B193" s="71"/>
      <c r="C193" s="48" t="s">
        <v>35</v>
      </c>
      <c r="D193" s="54">
        <f>G181</f>
        <v>1646</v>
      </c>
      <c r="E193" s="50">
        <v>128</v>
      </c>
      <c r="F193" s="51">
        <v>112</v>
      </c>
      <c r="G193" s="52">
        <f>IFERROR(D193+E193-F193,"")</f>
        <v>1662</v>
      </c>
    </row>
    <row r="194" spans="1:7" ht="21.75" customHeight="1">
      <c r="A194" s="71"/>
      <c r="B194" s="71"/>
      <c r="C194" s="48" t="s">
        <v>29</v>
      </c>
      <c r="D194" s="54">
        <f>G182</f>
        <v>1891</v>
      </c>
      <c r="E194" s="50">
        <v>113</v>
      </c>
      <c r="F194" s="51">
        <v>86</v>
      </c>
      <c r="G194" s="52">
        <f>IFERROR(D194+E194-F194,"")</f>
        <v>1918</v>
      </c>
    </row>
    <row r="195" spans="1:7" ht="21.75" customHeight="1">
      <c r="A195" s="71"/>
      <c r="B195" s="71"/>
      <c r="C195" s="48" t="s">
        <v>31</v>
      </c>
      <c r="D195" s="54">
        <f>G183</f>
        <v>2269</v>
      </c>
      <c r="E195" s="50">
        <v>131</v>
      </c>
      <c r="F195" s="51">
        <v>105</v>
      </c>
      <c r="G195" s="52">
        <f>IFERROR(D195+E195-F195,"")</f>
        <v>2295</v>
      </c>
    </row>
    <row r="196" spans="1:7" ht="21.75" customHeight="1">
      <c r="A196" s="71"/>
      <c r="B196" s="71"/>
      <c r="C196" s="48" t="s">
        <v>33</v>
      </c>
      <c r="D196" s="54">
        <f>G184</f>
        <v>928</v>
      </c>
      <c r="E196" s="50">
        <v>94</v>
      </c>
      <c r="F196" s="51">
        <v>88</v>
      </c>
      <c r="G196" s="52">
        <f>IFERROR(D196+E196-F196,"")</f>
        <v>934</v>
      </c>
    </row>
    <row r="197" spans="1:7" ht="21.75" customHeight="1">
      <c r="A197" s="71"/>
      <c r="B197" s="71"/>
      <c r="C197" s="48" t="s">
        <v>36</v>
      </c>
      <c r="D197" s="54">
        <f>G185</f>
        <v>2875</v>
      </c>
      <c r="E197" s="50">
        <v>163</v>
      </c>
      <c r="F197" s="51">
        <v>122</v>
      </c>
      <c r="G197" s="52">
        <f>IFERROR(D197+E197-F197,"")</f>
        <v>2916</v>
      </c>
    </row>
    <row r="198" spans="1:7" ht="21.75" customHeight="1">
      <c r="A198" s="73" t="s">
        <v>138</v>
      </c>
      <c r="B198" s="73"/>
      <c r="C198" s="73"/>
      <c r="D198" s="53">
        <f>IFERROR(SUM(D187:D197),"")</f>
        <v>21823</v>
      </c>
      <c r="E198" s="53">
        <f>IFERROR(SUM(E187:E197),"")</f>
        <v>1301</v>
      </c>
      <c r="F198" s="53">
        <f>IFERROR(SUM(F187:F197),"")</f>
        <v>1049</v>
      </c>
      <c r="G198" s="53">
        <f>IFERROR(SUM(G187:G197),"")</f>
        <v>22075</v>
      </c>
    </row>
    <row r="199" spans="1:7" ht="21.75" customHeight="1">
      <c r="A199" s="71">
        <v>46098</v>
      </c>
      <c r="B199" s="72" t="s">
        <v>52</v>
      </c>
      <c r="C199" s="48" t="s">
        <v>26</v>
      </c>
      <c r="D199" s="54">
        <f>G187</f>
        <v>2398</v>
      </c>
      <c r="E199" s="50">
        <v>128</v>
      </c>
      <c r="F199" s="51">
        <v>107</v>
      </c>
      <c r="G199" s="52">
        <f>IFERROR(D199+E199-F199,"")</f>
        <v>2419</v>
      </c>
    </row>
    <row r="200" spans="1:7" ht="21.75" customHeight="1">
      <c r="A200" s="71"/>
      <c r="B200" s="71"/>
      <c r="C200" s="48" t="s">
        <v>27</v>
      </c>
      <c r="D200" s="54">
        <f>G188</f>
        <v>1683</v>
      </c>
      <c r="E200" s="50">
        <v>82</v>
      </c>
      <c r="F200" s="51">
        <v>62</v>
      </c>
      <c r="G200" s="52">
        <f>IFERROR(D200+E200-F200,"")</f>
        <v>1703</v>
      </c>
    </row>
    <row r="201" spans="1:7" ht="21.75" customHeight="1">
      <c r="A201" s="71"/>
      <c r="B201" s="71"/>
      <c r="C201" s="48" t="s">
        <v>30</v>
      </c>
      <c r="D201" s="54">
        <f>G189</f>
        <v>2707</v>
      </c>
      <c r="E201" s="50">
        <v>93</v>
      </c>
      <c r="F201" s="51">
        <v>60</v>
      </c>
      <c r="G201" s="52">
        <f>IFERROR(D201+E201-F201,"")</f>
        <v>2740</v>
      </c>
    </row>
    <row r="202" spans="1:7" ht="21.75" customHeight="1">
      <c r="A202" s="71"/>
      <c r="B202" s="71"/>
      <c r="C202" s="48" t="s">
        <v>32</v>
      </c>
      <c r="D202" s="54">
        <f>G190</f>
        <v>1340</v>
      </c>
      <c r="E202" s="50">
        <v>119</v>
      </c>
      <c r="F202" s="51">
        <v>110</v>
      </c>
      <c r="G202" s="52">
        <f>IFERROR(D202+E202-F202,"")</f>
        <v>1349</v>
      </c>
    </row>
    <row r="203" spans="1:7" ht="21.75" customHeight="1">
      <c r="A203" s="71"/>
      <c r="B203" s="71"/>
      <c r="C203" s="48" t="s">
        <v>34</v>
      </c>
      <c r="D203" s="54">
        <f>G191</f>
        <v>2675</v>
      </c>
      <c r="E203" s="50">
        <v>140</v>
      </c>
      <c r="F203" s="51">
        <v>112</v>
      </c>
      <c r="G203" s="52">
        <f>IFERROR(D203+E203-F203,"")</f>
        <v>2703</v>
      </c>
    </row>
    <row r="204" spans="1:7" ht="21.75" customHeight="1">
      <c r="A204" s="71"/>
      <c r="B204" s="71"/>
      <c r="C204" s="48" t="s">
        <v>25</v>
      </c>
      <c r="D204" s="54">
        <f>G192</f>
        <v>1547</v>
      </c>
      <c r="E204" s="50">
        <v>56</v>
      </c>
      <c r="F204" s="51">
        <v>47</v>
      </c>
      <c r="G204" s="52">
        <f>IFERROR(D204+E204-F204,"")</f>
        <v>1556</v>
      </c>
    </row>
    <row r="205" spans="1:7" ht="21.75" customHeight="1">
      <c r="A205" s="71"/>
      <c r="B205" s="71"/>
      <c r="C205" s="48" t="s">
        <v>35</v>
      </c>
      <c r="D205" s="54">
        <f>G193</f>
        <v>1662</v>
      </c>
      <c r="E205" s="50">
        <v>136</v>
      </c>
      <c r="F205" s="51">
        <v>119</v>
      </c>
      <c r="G205" s="52">
        <f>IFERROR(D205+E205-F205,"")</f>
        <v>1679</v>
      </c>
    </row>
    <row r="206" spans="1:7" ht="21.75" customHeight="1">
      <c r="A206" s="71"/>
      <c r="B206" s="71"/>
      <c r="C206" s="48" t="s">
        <v>29</v>
      </c>
      <c r="D206" s="54">
        <f>G194</f>
        <v>1918</v>
      </c>
      <c r="E206" s="50">
        <v>82</v>
      </c>
      <c r="F206" s="51">
        <v>56</v>
      </c>
      <c r="G206" s="52">
        <f>IFERROR(D206+E206-F206,"")</f>
        <v>1944</v>
      </c>
    </row>
    <row r="207" spans="1:7" ht="21.75" customHeight="1">
      <c r="A207" s="71"/>
      <c r="B207" s="71"/>
      <c r="C207" s="48" t="s">
        <v>31</v>
      </c>
      <c r="D207" s="54">
        <f>G195</f>
        <v>2295</v>
      </c>
      <c r="E207" s="50">
        <v>123</v>
      </c>
      <c r="F207" s="51">
        <v>88</v>
      </c>
      <c r="G207" s="52">
        <f>IFERROR(D207+E207-F207,"")</f>
        <v>2330</v>
      </c>
    </row>
    <row r="208" spans="1:7" ht="21.75" customHeight="1">
      <c r="A208" s="71"/>
      <c r="B208" s="71"/>
      <c r="C208" s="48" t="s">
        <v>33</v>
      </c>
      <c r="D208" s="54">
        <f>G196</f>
        <v>934</v>
      </c>
      <c r="E208" s="50">
        <v>104</v>
      </c>
      <c r="F208" s="51">
        <v>99</v>
      </c>
      <c r="G208" s="52">
        <f>IFERROR(D208+E208-F208,"")</f>
        <v>939</v>
      </c>
    </row>
    <row r="209" spans="1:7" ht="21.75" customHeight="1">
      <c r="A209" s="71"/>
      <c r="B209" s="71"/>
      <c r="C209" s="48" t="s">
        <v>36</v>
      </c>
      <c r="D209" s="54">
        <f>G197</f>
        <v>2916</v>
      </c>
      <c r="E209" s="50">
        <v>108</v>
      </c>
      <c r="F209" s="51">
        <v>73</v>
      </c>
      <c r="G209" s="52">
        <f>IFERROR(D209+E209-F209,"")</f>
        <v>2951</v>
      </c>
    </row>
    <row r="210" spans="1:7" ht="21.75" customHeight="1">
      <c r="A210" s="73" t="s">
        <v>139</v>
      </c>
      <c r="B210" s="73"/>
      <c r="C210" s="73"/>
      <c r="D210" s="53">
        <f>IFERROR(SUM(D199:D209),"")</f>
        <v>22075</v>
      </c>
      <c r="E210" s="53">
        <f>IFERROR(SUM(E199:E209),"")</f>
        <v>1171</v>
      </c>
      <c r="F210" s="53">
        <f>IFERROR(SUM(F199:F209),"")</f>
        <v>933</v>
      </c>
      <c r="G210" s="53">
        <f>IFERROR(SUM(G199:G209),"")</f>
        <v>22313</v>
      </c>
    </row>
    <row r="211" spans="1:7" ht="21.75" customHeight="1">
      <c r="A211" s="71">
        <v>46099</v>
      </c>
      <c r="B211" s="72" t="s">
        <v>53</v>
      </c>
      <c r="C211" s="48" t="s">
        <v>26</v>
      </c>
      <c r="D211" s="54">
        <f>G199</f>
        <v>2419</v>
      </c>
      <c r="E211" s="50">
        <v>150</v>
      </c>
      <c r="F211" s="51">
        <v>121</v>
      </c>
      <c r="G211" s="52">
        <f>IFERROR(D211+E211-F211,"")</f>
        <v>2448</v>
      </c>
    </row>
    <row r="212" spans="1:7" ht="21.75" customHeight="1">
      <c r="A212" s="71"/>
      <c r="B212" s="71"/>
      <c r="C212" s="48" t="s">
        <v>27</v>
      </c>
      <c r="D212" s="54">
        <f>G200</f>
        <v>1703</v>
      </c>
      <c r="E212" s="50">
        <v>92</v>
      </c>
      <c r="F212" s="51">
        <v>68</v>
      </c>
      <c r="G212" s="52">
        <f>IFERROR(D212+E212-F212,"")</f>
        <v>1727</v>
      </c>
    </row>
    <row r="213" spans="1:7" ht="21.75" customHeight="1">
      <c r="A213" s="71"/>
      <c r="B213" s="71"/>
      <c r="C213" s="48" t="s">
        <v>30</v>
      </c>
      <c r="D213" s="54">
        <f>G201</f>
        <v>2740</v>
      </c>
      <c r="E213" s="50">
        <v>142</v>
      </c>
      <c r="F213" s="51">
        <v>108</v>
      </c>
      <c r="G213" s="52">
        <f>IFERROR(D213+E213-F213,"")</f>
        <v>2774</v>
      </c>
    </row>
    <row r="214" spans="1:7" ht="21.75" customHeight="1">
      <c r="A214" s="71"/>
      <c r="B214" s="71"/>
      <c r="C214" s="48" t="s">
        <v>32</v>
      </c>
      <c r="D214" s="54">
        <f>G202</f>
        <v>1349</v>
      </c>
      <c r="E214" s="50">
        <v>63</v>
      </c>
      <c r="F214" s="51">
        <v>47</v>
      </c>
      <c r="G214" s="52">
        <f>IFERROR(D214+E214-F214,"")</f>
        <v>1365</v>
      </c>
    </row>
    <row r="215" spans="1:7" ht="21.75" customHeight="1">
      <c r="A215" s="71"/>
      <c r="B215" s="71"/>
      <c r="C215" s="48" t="s">
        <v>34</v>
      </c>
      <c r="D215" s="54">
        <f>G203</f>
        <v>2703</v>
      </c>
      <c r="E215" s="50">
        <v>178</v>
      </c>
      <c r="F215" s="51">
        <v>136</v>
      </c>
      <c r="G215" s="52">
        <f>IFERROR(D215+E215-F215,"")</f>
        <v>2745</v>
      </c>
    </row>
    <row r="216" spans="1:7" ht="21.75" customHeight="1">
      <c r="A216" s="71"/>
      <c r="B216" s="71"/>
      <c r="C216" s="48" t="s">
        <v>25</v>
      </c>
      <c r="D216" s="54">
        <f>G204</f>
        <v>1556</v>
      </c>
      <c r="E216" s="50">
        <v>92</v>
      </c>
      <c r="F216" s="51">
        <v>64</v>
      </c>
      <c r="G216" s="52">
        <f>IFERROR(D216+E216-F216,"")</f>
        <v>1584</v>
      </c>
    </row>
    <row r="217" spans="1:7" ht="21.75" customHeight="1">
      <c r="A217" s="71"/>
      <c r="B217" s="71"/>
      <c r="C217" s="48" t="s">
        <v>35</v>
      </c>
      <c r="D217" s="54">
        <f>G205</f>
        <v>1679</v>
      </c>
      <c r="E217" s="50">
        <v>109</v>
      </c>
      <c r="F217" s="51">
        <v>83</v>
      </c>
      <c r="G217" s="52">
        <f>IFERROR(D217+E217-F217,"")</f>
        <v>1705</v>
      </c>
    </row>
    <row r="218" spans="1:7" ht="21.75" customHeight="1">
      <c r="A218" s="71"/>
      <c r="B218" s="71"/>
      <c r="C218" s="48" t="s">
        <v>29</v>
      </c>
      <c r="D218" s="54">
        <f>G206</f>
        <v>1944</v>
      </c>
      <c r="E218" s="50">
        <v>106</v>
      </c>
      <c r="F218" s="51">
        <v>73</v>
      </c>
      <c r="G218" s="52">
        <f>IFERROR(D218+E218-F218,"")</f>
        <v>1977</v>
      </c>
    </row>
    <row r="219" spans="1:7" ht="21.75" customHeight="1">
      <c r="A219" s="71"/>
      <c r="B219" s="71"/>
      <c r="C219" s="48" t="s">
        <v>31</v>
      </c>
      <c r="D219" s="54">
        <f>G207</f>
        <v>2330</v>
      </c>
      <c r="E219" s="50">
        <v>111</v>
      </c>
      <c r="F219" s="51">
        <v>79</v>
      </c>
      <c r="G219" s="52">
        <f>IFERROR(D219+E219-F219,"")</f>
        <v>2362</v>
      </c>
    </row>
    <row r="220" spans="1:7" ht="21.75" customHeight="1">
      <c r="A220" s="71"/>
      <c r="B220" s="71"/>
      <c r="C220" s="48" t="s">
        <v>33</v>
      </c>
      <c r="D220" s="54">
        <f>G208</f>
        <v>939</v>
      </c>
      <c r="E220" s="50">
        <v>85</v>
      </c>
      <c r="F220" s="51">
        <v>68</v>
      </c>
      <c r="G220" s="52">
        <f>IFERROR(D220+E220-F220,"")</f>
        <v>956</v>
      </c>
    </row>
    <row r="221" spans="1:7" ht="21.75" customHeight="1">
      <c r="A221" s="71"/>
      <c r="B221" s="71"/>
      <c r="C221" s="48" t="s">
        <v>36</v>
      </c>
      <c r="D221" s="54">
        <f>G209</f>
        <v>2951</v>
      </c>
      <c r="E221" s="50">
        <v>140</v>
      </c>
      <c r="F221" s="51">
        <v>109</v>
      </c>
      <c r="G221" s="52">
        <f>IFERROR(D221+E221-F221,"")</f>
        <v>2982</v>
      </c>
    </row>
    <row r="222" spans="1:7" ht="21.75" customHeight="1">
      <c r="A222" s="73" t="s">
        <v>140</v>
      </c>
      <c r="B222" s="73"/>
      <c r="C222" s="73"/>
      <c r="D222" s="53">
        <f>IFERROR(SUM(D211:D221),"")</f>
        <v>22313</v>
      </c>
      <c r="E222" s="53">
        <f>IFERROR(SUM(E211:E221),"")</f>
        <v>1268</v>
      </c>
      <c r="F222" s="53">
        <f>IFERROR(SUM(F211:F221),"")</f>
        <v>956</v>
      </c>
      <c r="G222" s="53">
        <f>IFERROR(SUM(G211:G221),"")</f>
        <v>22625</v>
      </c>
    </row>
    <row r="223" spans="1:7" ht="21.75" customHeight="1">
      <c r="A223" s="71">
        <v>46100</v>
      </c>
      <c r="B223" s="72" t="s">
        <v>45</v>
      </c>
      <c r="C223" s="48" t="s">
        <v>26</v>
      </c>
      <c r="D223" s="54">
        <f>G211</f>
        <v>2448</v>
      </c>
      <c r="E223" s="50">
        <v>137</v>
      </c>
      <c r="F223" s="51">
        <v>108</v>
      </c>
      <c r="G223" s="52">
        <f>IFERROR(D223+E223-F223,"")</f>
        <v>2477</v>
      </c>
    </row>
    <row r="224" spans="1:7" ht="21.75" customHeight="1">
      <c r="A224" s="71"/>
      <c r="B224" s="71"/>
      <c r="C224" s="48" t="s">
        <v>27</v>
      </c>
      <c r="D224" s="54">
        <f>G212</f>
        <v>1727</v>
      </c>
      <c r="E224" s="50">
        <v>83</v>
      </c>
      <c r="F224" s="51">
        <v>68</v>
      </c>
      <c r="G224" s="52">
        <f>IFERROR(D224+E224-F224,"")</f>
        <v>1742</v>
      </c>
    </row>
    <row r="225" spans="1:7" ht="21.75" customHeight="1">
      <c r="A225" s="71"/>
      <c r="B225" s="71"/>
      <c r="C225" s="48" t="s">
        <v>30</v>
      </c>
      <c r="D225" s="54">
        <f>G213</f>
        <v>2774</v>
      </c>
      <c r="E225" s="50">
        <v>120</v>
      </c>
      <c r="F225" s="51">
        <v>82</v>
      </c>
      <c r="G225" s="52">
        <f>IFERROR(D225+E225-F225,"")</f>
        <v>2812</v>
      </c>
    </row>
    <row r="226" spans="1:7" ht="21.75" customHeight="1">
      <c r="A226" s="71"/>
      <c r="B226" s="71"/>
      <c r="C226" s="48" t="s">
        <v>32</v>
      </c>
      <c r="D226" s="54">
        <f>G214</f>
        <v>1365</v>
      </c>
      <c r="E226" s="50">
        <v>64</v>
      </c>
      <c r="F226" s="51">
        <v>58</v>
      </c>
      <c r="G226" s="52">
        <f>IFERROR(D226+E226-F226,"")</f>
        <v>1371</v>
      </c>
    </row>
    <row r="227" spans="1:7" ht="21.75" customHeight="1">
      <c r="A227" s="71"/>
      <c r="B227" s="71"/>
      <c r="C227" s="48" t="s">
        <v>34</v>
      </c>
      <c r="D227" s="54">
        <f>G215</f>
        <v>2745</v>
      </c>
      <c r="E227" s="50">
        <v>137</v>
      </c>
      <c r="F227" s="51">
        <v>103</v>
      </c>
      <c r="G227" s="52">
        <f>IFERROR(D227+E227-F227,"")</f>
        <v>2779</v>
      </c>
    </row>
    <row r="228" spans="1:7" ht="21.75" customHeight="1">
      <c r="A228" s="71"/>
      <c r="B228" s="71"/>
      <c r="C228" s="48" t="s">
        <v>25</v>
      </c>
      <c r="D228" s="54">
        <f>G216</f>
        <v>1584</v>
      </c>
      <c r="E228" s="50">
        <v>97</v>
      </c>
      <c r="F228" s="51">
        <v>78</v>
      </c>
      <c r="G228" s="52">
        <f>IFERROR(D228+E228-F228,"")</f>
        <v>1603</v>
      </c>
    </row>
    <row r="229" spans="1:7" ht="21.75" customHeight="1">
      <c r="A229" s="71"/>
      <c r="B229" s="71"/>
      <c r="C229" s="48" t="s">
        <v>35</v>
      </c>
      <c r="D229" s="54">
        <f>G217</f>
        <v>1705</v>
      </c>
      <c r="E229" s="50">
        <v>127</v>
      </c>
      <c r="F229" s="51">
        <v>114</v>
      </c>
      <c r="G229" s="52">
        <f>IFERROR(D229+E229-F229,"")</f>
        <v>1718</v>
      </c>
    </row>
    <row r="230" spans="1:7" ht="21.75" customHeight="1">
      <c r="A230" s="71"/>
      <c r="B230" s="71"/>
      <c r="C230" s="48" t="s">
        <v>29</v>
      </c>
      <c r="D230" s="54">
        <f>G218</f>
        <v>1977</v>
      </c>
      <c r="E230" s="50">
        <v>79</v>
      </c>
      <c r="F230" s="51">
        <v>60</v>
      </c>
      <c r="G230" s="52">
        <f>IFERROR(D230+E230-F230,"")</f>
        <v>1996</v>
      </c>
    </row>
    <row r="231" spans="1:7" ht="21.75" customHeight="1">
      <c r="A231" s="71"/>
      <c r="B231" s="71"/>
      <c r="C231" s="48" t="s">
        <v>31</v>
      </c>
      <c r="D231" s="54">
        <f>G219</f>
        <v>2362</v>
      </c>
      <c r="E231" s="50">
        <v>107</v>
      </c>
      <c r="F231" s="51">
        <v>71</v>
      </c>
      <c r="G231" s="52">
        <f>IFERROR(D231+E231-F231,"")</f>
        <v>2398</v>
      </c>
    </row>
    <row r="232" spans="1:7" ht="21.75" customHeight="1">
      <c r="A232" s="71"/>
      <c r="B232" s="71"/>
      <c r="C232" s="48" t="s">
        <v>33</v>
      </c>
      <c r="D232" s="54">
        <f>G220</f>
        <v>956</v>
      </c>
      <c r="E232" s="50">
        <v>78</v>
      </c>
      <c r="F232" s="51">
        <v>76</v>
      </c>
      <c r="G232" s="52">
        <f>IFERROR(D232+E232-F232,"")</f>
        <v>958</v>
      </c>
    </row>
    <row r="233" spans="1:7" ht="21.75" customHeight="1">
      <c r="A233" s="71"/>
      <c r="B233" s="71"/>
      <c r="C233" s="48" t="s">
        <v>36</v>
      </c>
      <c r="D233" s="54">
        <f>G221</f>
        <v>2982</v>
      </c>
      <c r="E233" s="50">
        <v>129</v>
      </c>
      <c r="F233" s="51">
        <v>86</v>
      </c>
      <c r="G233" s="52">
        <f>IFERROR(D233+E233-F233,"")</f>
        <v>3025</v>
      </c>
    </row>
    <row r="234" spans="1:7" ht="21.75" customHeight="1">
      <c r="A234" s="73" t="s">
        <v>141</v>
      </c>
      <c r="B234" s="73"/>
      <c r="C234" s="73"/>
      <c r="D234" s="53">
        <f>IFERROR(SUM(D223:D233),"")</f>
        <v>22625</v>
      </c>
      <c r="E234" s="53">
        <f>IFERROR(SUM(E223:E233),"")</f>
        <v>1158</v>
      </c>
      <c r="F234" s="53">
        <f>IFERROR(SUM(F223:F233),"")</f>
        <v>904</v>
      </c>
      <c r="G234" s="53">
        <f>IFERROR(SUM(G223:G233),"")</f>
        <v>22879</v>
      </c>
    </row>
    <row r="235" spans="1:7" ht="21.75" customHeight="1">
      <c r="A235" s="71">
        <v>46101</v>
      </c>
      <c r="B235" s="72" t="s">
        <v>47</v>
      </c>
      <c r="C235" s="48" t="s">
        <v>26</v>
      </c>
      <c r="D235" s="54">
        <f>G223</f>
        <v>2477</v>
      </c>
      <c r="E235" s="50">
        <v>98</v>
      </c>
      <c r="F235" s="51">
        <v>64</v>
      </c>
      <c r="G235" s="52">
        <f>IFERROR(D235+E235-F235,"")</f>
        <v>2511</v>
      </c>
    </row>
    <row r="236" spans="1:7" ht="21.75" customHeight="1">
      <c r="A236" s="71"/>
      <c r="B236" s="71"/>
      <c r="C236" s="48" t="s">
        <v>27</v>
      </c>
      <c r="D236" s="54">
        <f>G224</f>
        <v>1742</v>
      </c>
      <c r="E236" s="50">
        <v>107</v>
      </c>
      <c r="F236" s="51">
        <v>86</v>
      </c>
      <c r="G236" s="52">
        <f>IFERROR(D236+E236-F236,"")</f>
        <v>1763</v>
      </c>
    </row>
    <row r="237" spans="1:7" ht="21.75" customHeight="1">
      <c r="A237" s="71"/>
      <c r="B237" s="71"/>
      <c r="C237" s="48" t="s">
        <v>30</v>
      </c>
      <c r="D237" s="54">
        <f>G225</f>
        <v>2812</v>
      </c>
      <c r="E237" s="50">
        <v>100</v>
      </c>
      <c r="F237" s="51">
        <v>75</v>
      </c>
      <c r="G237" s="52">
        <f>IFERROR(D237+E237-F237,"")</f>
        <v>2837</v>
      </c>
    </row>
    <row r="238" spans="1:7" ht="21.75" customHeight="1">
      <c r="A238" s="71"/>
      <c r="B238" s="71"/>
      <c r="C238" s="48" t="s">
        <v>32</v>
      </c>
      <c r="D238" s="54">
        <f>G226</f>
        <v>1371</v>
      </c>
      <c r="E238" s="50">
        <v>66</v>
      </c>
      <c r="F238" s="51">
        <v>59</v>
      </c>
      <c r="G238" s="52">
        <f>IFERROR(D238+E238-F238,"")</f>
        <v>1378</v>
      </c>
    </row>
    <row r="239" spans="1:7" ht="21.75" customHeight="1">
      <c r="A239" s="71"/>
      <c r="B239" s="71"/>
      <c r="C239" s="48" t="s">
        <v>34</v>
      </c>
      <c r="D239" s="54">
        <f>G227</f>
        <v>2779</v>
      </c>
      <c r="E239" s="50">
        <v>131</v>
      </c>
      <c r="F239" s="51">
        <v>96</v>
      </c>
      <c r="G239" s="52">
        <f>IFERROR(D239+E239-F239,"")</f>
        <v>2814</v>
      </c>
    </row>
    <row r="240" spans="1:7" ht="21.75" customHeight="1">
      <c r="A240" s="71"/>
      <c r="B240" s="71"/>
      <c r="C240" s="48" t="s">
        <v>25</v>
      </c>
      <c r="D240" s="54">
        <f>G228</f>
        <v>1603</v>
      </c>
      <c r="E240" s="50">
        <v>74</v>
      </c>
      <c r="F240" s="51">
        <v>52</v>
      </c>
      <c r="G240" s="52">
        <f>IFERROR(D240+E240-F240,"")</f>
        <v>1625</v>
      </c>
    </row>
    <row r="241" spans="1:7" ht="21.75" customHeight="1">
      <c r="A241" s="71"/>
      <c r="B241" s="71"/>
      <c r="C241" s="48" t="s">
        <v>35</v>
      </c>
      <c r="D241" s="54">
        <f>G229</f>
        <v>1718</v>
      </c>
      <c r="E241" s="50">
        <v>84</v>
      </c>
      <c r="F241" s="51">
        <v>66</v>
      </c>
      <c r="G241" s="52">
        <f>IFERROR(D241+E241-F241,"")</f>
        <v>1736</v>
      </c>
    </row>
    <row r="242" spans="1:7" ht="21.75" customHeight="1">
      <c r="A242" s="71"/>
      <c r="B242" s="71"/>
      <c r="C242" s="48" t="s">
        <v>29</v>
      </c>
      <c r="D242" s="54">
        <f>G230</f>
        <v>1996</v>
      </c>
      <c r="E242" s="50">
        <v>119</v>
      </c>
      <c r="F242" s="51">
        <v>96</v>
      </c>
      <c r="G242" s="52">
        <f>IFERROR(D242+E242-F242,"")</f>
        <v>2019</v>
      </c>
    </row>
    <row r="243" spans="1:7" ht="21.75" customHeight="1">
      <c r="A243" s="71"/>
      <c r="B243" s="71"/>
      <c r="C243" s="48" t="s">
        <v>31</v>
      </c>
      <c r="D243" s="54">
        <f>G231</f>
        <v>2398</v>
      </c>
      <c r="E243" s="50">
        <v>122</v>
      </c>
      <c r="F243" s="51">
        <v>89</v>
      </c>
      <c r="G243" s="52">
        <f>IFERROR(D243+E243-F243,"")</f>
        <v>2431</v>
      </c>
    </row>
    <row r="244" spans="1:7" ht="21.75" customHeight="1">
      <c r="A244" s="71"/>
      <c r="B244" s="71"/>
      <c r="C244" s="48" t="s">
        <v>33</v>
      </c>
      <c r="D244" s="54">
        <f>G232</f>
        <v>958</v>
      </c>
      <c r="E244" s="50">
        <v>80</v>
      </c>
      <c r="F244" s="51">
        <v>64</v>
      </c>
      <c r="G244" s="52">
        <f>IFERROR(D244+E244-F244,"")</f>
        <v>974</v>
      </c>
    </row>
    <row r="245" spans="1:7" ht="21.75" customHeight="1">
      <c r="A245" s="71"/>
      <c r="B245" s="71"/>
      <c r="C245" s="48" t="s">
        <v>36</v>
      </c>
      <c r="D245" s="54">
        <f>G233</f>
        <v>3025</v>
      </c>
      <c r="E245" s="50">
        <v>165</v>
      </c>
      <c r="F245" s="51">
        <v>112</v>
      </c>
      <c r="G245" s="52">
        <f>IFERROR(D245+E245-F245,"")</f>
        <v>3078</v>
      </c>
    </row>
    <row r="246" spans="1:7" ht="21.75" customHeight="1">
      <c r="A246" s="73" t="s">
        <v>142</v>
      </c>
      <c r="B246" s="73"/>
      <c r="C246" s="73"/>
      <c r="D246" s="53">
        <f>IFERROR(SUM(D235:D245),"")</f>
        <v>22879</v>
      </c>
      <c r="E246" s="53">
        <f>IFERROR(SUM(E235:E245),"")</f>
        <v>1146</v>
      </c>
      <c r="F246" s="53">
        <f>IFERROR(SUM(F235:F245),"")</f>
        <v>859</v>
      </c>
      <c r="G246" s="53">
        <f>IFERROR(SUM(G235:G245),"")</f>
        <v>23166</v>
      </c>
    </row>
    <row r="247" spans="1:7" ht="21.75" customHeight="1">
      <c r="A247" s="74">
        <v>46102</v>
      </c>
      <c r="B247" s="75" t="s">
        <v>48</v>
      </c>
      <c r="C247" s="48" t="s">
        <v>26</v>
      </c>
      <c r="D247" s="54">
        <f>G235</f>
        <v>2511</v>
      </c>
      <c r="E247" s="50">
        <v>55</v>
      </c>
      <c r="F247" s="51">
        <v>41</v>
      </c>
      <c r="G247" s="52">
        <f>IFERROR(D247+E247-F247,"")</f>
        <v>2525</v>
      </c>
    </row>
    <row r="248" spans="1:7" ht="21.75" customHeight="1">
      <c r="A248" s="74"/>
      <c r="B248" s="74"/>
      <c r="C248" s="48" t="s">
        <v>27</v>
      </c>
      <c r="D248" s="54">
        <f>G236</f>
        <v>1763</v>
      </c>
      <c r="E248" s="50">
        <v>58</v>
      </c>
      <c r="F248" s="51">
        <v>41</v>
      </c>
      <c r="G248" s="52">
        <f>IFERROR(D248+E248-F248,"")</f>
        <v>1780</v>
      </c>
    </row>
    <row r="249" spans="1:7" ht="21.75" customHeight="1">
      <c r="A249" s="74"/>
      <c r="B249" s="74"/>
      <c r="C249" s="48" t="s">
        <v>30</v>
      </c>
      <c r="D249" s="54">
        <f>G237</f>
        <v>2837</v>
      </c>
      <c r="E249" s="50">
        <v>61</v>
      </c>
      <c r="F249" s="51">
        <v>43</v>
      </c>
      <c r="G249" s="52">
        <f>IFERROR(D249+E249-F249,"")</f>
        <v>2855</v>
      </c>
    </row>
    <row r="250" spans="1:7" ht="21.75" customHeight="1">
      <c r="A250" s="74"/>
      <c r="B250" s="74"/>
      <c r="C250" s="48" t="s">
        <v>32</v>
      </c>
      <c r="D250" s="54">
        <f>G238</f>
        <v>1378</v>
      </c>
      <c r="E250" s="50">
        <v>42</v>
      </c>
      <c r="F250" s="51">
        <v>34</v>
      </c>
      <c r="G250" s="52">
        <f>IFERROR(D250+E250-F250,"")</f>
        <v>1386</v>
      </c>
    </row>
    <row r="251" spans="1:7" ht="21.75" customHeight="1">
      <c r="A251" s="74"/>
      <c r="B251" s="74"/>
      <c r="C251" s="48" t="s">
        <v>34</v>
      </c>
      <c r="D251" s="54">
        <f>G239</f>
        <v>2814</v>
      </c>
      <c r="E251" s="50">
        <v>48</v>
      </c>
      <c r="F251" s="51">
        <v>36</v>
      </c>
      <c r="G251" s="52">
        <f>IFERROR(D251+E251-F251,"")</f>
        <v>2826</v>
      </c>
    </row>
    <row r="252" spans="1:7" ht="21.75" customHeight="1">
      <c r="A252" s="74"/>
      <c r="B252" s="74"/>
      <c r="C252" s="48" t="s">
        <v>25</v>
      </c>
      <c r="D252" s="54">
        <f>G240</f>
        <v>1625</v>
      </c>
      <c r="E252" s="50">
        <v>52</v>
      </c>
      <c r="F252" s="51">
        <v>42</v>
      </c>
      <c r="G252" s="52">
        <f>IFERROR(D252+E252-F252,"")</f>
        <v>1635</v>
      </c>
    </row>
    <row r="253" spans="1:7" ht="21.75" customHeight="1">
      <c r="A253" s="74"/>
      <c r="B253" s="74"/>
      <c r="C253" s="48" t="s">
        <v>35</v>
      </c>
      <c r="D253" s="54">
        <f>G241</f>
        <v>1736</v>
      </c>
      <c r="E253" s="50">
        <v>63</v>
      </c>
      <c r="F253" s="51">
        <v>52</v>
      </c>
      <c r="G253" s="52">
        <f>IFERROR(D253+E253-F253,"")</f>
        <v>1747</v>
      </c>
    </row>
    <row r="254" spans="1:7" ht="21.75" customHeight="1">
      <c r="A254" s="74"/>
      <c r="B254" s="74"/>
      <c r="C254" s="48" t="s">
        <v>29</v>
      </c>
      <c r="D254" s="54">
        <f>G242</f>
        <v>2019</v>
      </c>
      <c r="E254" s="50">
        <v>45</v>
      </c>
      <c r="F254" s="51">
        <v>29</v>
      </c>
      <c r="G254" s="52">
        <f>IFERROR(D254+E254-F254,"")</f>
        <v>2035</v>
      </c>
    </row>
    <row r="255" spans="1:7" ht="21.75" customHeight="1">
      <c r="A255" s="74"/>
      <c r="B255" s="74"/>
      <c r="C255" s="48" t="s">
        <v>31</v>
      </c>
      <c r="D255" s="54">
        <f>G243</f>
        <v>2431</v>
      </c>
      <c r="E255" s="50">
        <v>63</v>
      </c>
      <c r="F255" s="51">
        <v>48</v>
      </c>
      <c r="G255" s="52">
        <f>IFERROR(D255+E255-F255,"")</f>
        <v>2446</v>
      </c>
    </row>
    <row r="256" spans="1:7" ht="21.75" customHeight="1">
      <c r="A256" s="74"/>
      <c r="B256" s="74"/>
      <c r="C256" s="48" t="s">
        <v>33</v>
      </c>
      <c r="D256" s="54">
        <f>G244</f>
        <v>974</v>
      </c>
      <c r="E256" s="50">
        <v>41</v>
      </c>
      <c r="F256" s="51">
        <v>39</v>
      </c>
      <c r="G256" s="52">
        <f>IFERROR(D256+E256-F256,"")</f>
        <v>976</v>
      </c>
    </row>
    <row r="257" spans="1:7" ht="21.75" customHeight="1">
      <c r="A257" s="74"/>
      <c r="B257" s="74"/>
      <c r="C257" s="48" t="s">
        <v>36</v>
      </c>
      <c r="D257" s="54">
        <f>G245</f>
        <v>3078</v>
      </c>
      <c r="E257" s="50">
        <v>56</v>
      </c>
      <c r="F257" s="51">
        <v>41</v>
      </c>
      <c r="G257" s="52">
        <f>IFERROR(D257+E257-F257,"")</f>
        <v>3093</v>
      </c>
    </row>
    <row r="258" spans="1:7" ht="21.75" customHeight="1">
      <c r="A258" s="73" t="s">
        <v>143</v>
      </c>
      <c r="B258" s="73"/>
      <c r="C258" s="73"/>
      <c r="D258" s="53">
        <f>IFERROR(SUM(D247:D257),"")</f>
        <v>23166</v>
      </c>
      <c r="E258" s="53">
        <f>IFERROR(SUM(E247:E257),"")</f>
        <v>584</v>
      </c>
      <c r="F258" s="53">
        <f>IFERROR(SUM(F247:F257),"")</f>
        <v>446</v>
      </c>
      <c r="G258" s="53">
        <f>IFERROR(SUM(G247:G257),"")</f>
        <v>23304</v>
      </c>
    </row>
    <row r="259" spans="1:7" ht="21.75" customHeight="1">
      <c r="A259" s="74">
        <v>46103</v>
      </c>
      <c r="B259" s="75" t="s">
        <v>50</v>
      </c>
      <c r="C259" s="48" t="s">
        <v>26</v>
      </c>
      <c r="D259" s="54">
        <f>G247</f>
        <v>2525</v>
      </c>
      <c r="E259" s="50">
        <v>35</v>
      </c>
      <c r="F259" s="51">
        <v>22</v>
      </c>
      <c r="G259" s="52">
        <f>IFERROR(D259+E259-F259,"")</f>
        <v>2538</v>
      </c>
    </row>
    <row r="260" spans="1:7" ht="21.75" customHeight="1">
      <c r="A260" s="74"/>
      <c r="B260" s="74"/>
      <c r="C260" s="48" t="s">
        <v>27</v>
      </c>
      <c r="D260" s="54">
        <f>G248</f>
        <v>1780</v>
      </c>
      <c r="E260" s="50">
        <v>35</v>
      </c>
      <c r="F260" s="51">
        <v>28</v>
      </c>
      <c r="G260" s="52">
        <f>IFERROR(D260+E260-F260,"")</f>
        <v>1787</v>
      </c>
    </row>
    <row r="261" spans="1:7" ht="21.75" customHeight="1">
      <c r="A261" s="74"/>
      <c r="B261" s="74"/>
      <c r="C261" s="48" t="s">
        <v>30</v>
      </c>
      <c r="D261" s="54">
        <f>G249</f>
        <v>2855</v>
      </c>
      <c r="E261" s="50">
        <v>51</v>
      </c>
      <c r="F261" s="51">
        <v>33</v>
      </c>
      <c r="G261" s="52">
        <f>IFERROR(D261+E261-F261,"")</f>
        <v>2873</v>
      </c>
    </row>
    <row r="262" spans="1:7" ht="21.75" customHeight="1">
      <c r="A262" s="74"/>
      <c r="B262" s="74"/>
      <c r="C262" s="48" t="s">
        <v>32</v>
      </c>
      <c r="D262" s="54">
        <f>G250</f>
        <v>1386</v>
      </c>
      <c r="E262" s="50">
        <v>58</v>
      </c>
      <c r="F262" s="51">
        <v>44</v>
      </c>
      <c r="G262" s="52">
        <f>IFERROR(D262+E262-F262,"")</f>
        <v>1400</v>
      </c>
    </row>
    <row r="263" spans="1:7" ht="21.75" customHeight="1">
      <c r="A263" s="74"/>
      <c r="B263" s="74"/>
      <c r="C263" s="48" t="s">
        <v>34</v>
      </c>
      <c r="D263" s="54">
        <f>G251</f>
        <v>2826</v>
      </c>
      <c r="E263" s="50">
        <v>49</v>
      </c>
      <c r="F263" s="51">
        <v>39</v>
      </c>
      <c r="G263" s="52">
        <f>IFERROR(D263+E263-F263,"")</f>
        <v>2836</v>
      </c>
    </row>
    <row r="264" spans="1:7" ht="21.75" customHeight="1">
      <c r="A264" s="74"/>
      <c r="B264" s="74"/>
      <c r="C264" s="48" t="s">
        <v>25</v>
      </c>
      <c r="D264" s="54">
        <f>G252</f>
        <v>1635</v>
      </c>
      <c r="E264" s="50">
        <v>52</v>
      </c>
      <c r="F264" s="51">
        <v>35</v>
      </c>
      <c r="G264" s="52">
        <f>IFERROR(D264+E264-F264,"")</f>
        <v>1652</v>
      </c>
    </row>
    <row r="265" spans="1:7" ht="21.75" customHeight="1">
      <c r="A265" s="74"/>
      <c r="B265" s="74"/>
      <c r="C265" s="48" t="s">
        <v>35</v>
      </c>
      <c r="D265" s="54">
        <f>G253</f>
        <v>1747</v>
      </c>
      <c r="E265" s="50">
        <v>43</v>
      </c>
      <c r="F265" s="51">
        <v>37</v>
      </c>
      <c r="G265" s="52">
        <f>IFERROR(D265+E265-F265,"")</f>
        <v>1753</v>
      </c>
    </row>
    <row r="266" spans="1:7" ht="21.75" customHeight="1">
      <c r="A266" s="74"/>
      <c r="B266" s="74"/>
      <c r="C266" s="48" t="s">
        <v>29</v>
      </c>
      <c r="D266" s="54">
        <f>G254</f>
        <v>2035</v>
      </c>
      <c r="E266" s="50">
        <v>31</v>
      </c>
      <c r="F266" s="51">
        <v>23</v>
      </c>
      <c r="G266" s="52">
        <f>IFERROR(D266+E266-F266,"")</f>
        <v>2043</v>
      </c>
    </row>
    <row r="267" spans="1:7" ht="21.75" customHeight="1">
      <c r="A267" s="74"/>
      <c r="B267" s="74"/>
      <c r="C267" s="48" t="s">
        <v>31</v>
      </c>
      <c r="D267" s="54">
        <f>G255</f>
        <v>2446</v>
      </c>
      <c r="E267" s="50">
        <v>54</v>
      </c>
      <c r="F267" s="51">
        <v>35</v>
      </c>
      <c r="G267" s="52">
        <f>IFERROR(D267+E267-F267,"")</f>
        <v>2465</v>
      </c>
    </row>
    <row r="268" spans="1:7" ht="21.75" customHeight="1">
      <c r="A268" s="74"/>
      <c r="B268" s="74"/>
      <c r="C268" s="48" t="s">
        <v>33</v>
      </c>
      <c r="D268" s="54">
        <f>G256</f>
        <v>976</v>
      </c>
      <c r="E268" s="50">
        <v>48</v>
      </c>
      <c r="F268" s="51">
        <v>38</v>
      </c>
      <c r="G268" s="52">
        <f>IFERROR(D268+E268-F268,"")</f>
        <v>986</v>
      </c>
    </row>
    <row r="269" spans="1:7" ht="21.75" customHeight="1">
      <c r="A269" s="74"/>
      <c r="B269" s="74"/>
      <c r="C269" s="48" t="s">
        <v>36</v>
      </c>
      <c r="D269" s="54">
        <f>G257</f>
        <v>3093</v>
      </c>
      <c r="E269" s="50">
        <v>61</v>
      </c>
      <c r="F269" s="51">
        <v>44</v>
      </c>
      <c r="G269" s="52">
        <f>IFERROR(D269+E269-F269,"")</f>
        <v>3110</v>
      </c>
    </row>
    <row r="270" spans="1:7" ht="21.75" customHeight="1">
      <c r="A270" s="73" t="s">
        <v>144</v>
      </c>
      <c r="B270" s="73"/>
      <c r="C270" s="73"/>
      <c r="D270" s="53">
        <f>IFERROR(SUM(D259:D269),"")</f>
        <v>23304</v>
      </c>
      <c r="E270" s="53">
        <f>IFERROR(SUM(E259:E269),"")</f>
        <v>517</v>
      </c>
      <c r="F270" s="53">
        <f>IFERROR(SUM(F259:F269),"")</f>
        <v>378</v>
      </c>
      <c r="G270" s="53">
        <f>IFERROR(SUM(G259:G269),"")</f>
        <v>23443</v>
      </c>
    </row>
    <row r="271" spans="1:7" ht="21.75" customHeight="1">
      <c r="A271" s="71">
        <v>46104</v>
      </c>
      <c r="B271" s="72" t="s">
        <v>51</v>
      </c>
      <c r="C271" s="48" t="s">
        <v>26</v>
      </c>
      <c r="D271" s="54">
        <f>G259</f>
        <v>2538</v>
      </c>
      <c r="E271" s="50">
        <v>101</v>
      </c>
      <c r="F271" s="51">
        <v>65</v>
      </c>
      <c r="G271" s="52">
        <f>IFERROR(D271+E271-F271,"")</f>
        <v>2574</v>
      </c>
    </row>
    <row r="272" spans="1:7" ht="21.75" customHeight="1">
      <c r="A272" s="71"/>
      <c r="B272" s="71"/>
      <c r="C272" s="48" t="s">
        <v>27</v>
      </c>
      <c r="D272" s="54">
        <f>G260</f>
        <v>1787</v>
      </c>
      <c r="E272" s="50">
        <v>87</v>
      </c>
      <c r="F272" s="51">
        <v>63</v>
      </c>
      <c r="G272" s="52">
        <f>IFERROR(D272+E272-F272,"")</f>
        <v>1811</v>
      </c>
    </row>
    <row r="273" spans="1:7" ht="21.75" customHeight="1">
      <c r="A273" s="71"/>
      <c r="B273" s="71"/>
      <c r="C273" s="48" t="s">
        <v>30</v>
      </c>
      <c r="D273" s="54">
        <f>G261</f>
        <v>2873</v>
      </c>
      <c r="E273" s="50">
        <v>114</v>
      </c>
      <c r="F273" s="51">
        <v>78</v>
      </c>
      <c r="G273" s="52">
        <f>IFERROR(D273+E273-F273,"")</f>
        <v>2909</v>
      </c>
    </row>
    <row r="274" spans="1:7" ht="21.75" customHeight="1">
      <c r="A274" s="71"/>
      <c r="B274" s="71"/>
      <c r="C274" s="48" t="s">
        <v>32</v>
      </c>
      <c r="D274" s="54">
        <f>G262</f>
        <v>1400</v>
      </c>
      <c r="E274" s="50">
        <v>64</v>
      </c>
      <c r="F274" s="51">
        <v>52</v>
      </c>
      <c r="G274" s="52">
        <f>IFERROR(D274+E274-F274,"")</f>
        <v>1412</v>
      </c>
    </row>
    <row r="275" spans="1:7" ht="21.75" customHeight="1">
      <c r="A275" s="71"/>
      <c r="B275" s="71"/>
      <c r="C275" s="48" t="s">
        <v>34</v>
      </c>
      <c r="D275" s="54">
        <f>G263</f>
        <v>2836</v>
      </c>
      <c r="E275" s="50">
        <v>163</v>
      </c>
      <c r="F275" s="51">
        <v>106</v>
      </c>
      <c r="G275" s="52">
        <f>IFERROR(D275+E275-F275,"")</f>
        <v>2893</v>
      </c>
    </row>
    <row r="276" spans="1:7" ht="21.75" customHeight="1">
      <c r="A276" s="71"/>
      <c r="B276" s="71"/>
      <c r="C276" s="48" t="s">
        <v>25</v>
      </c>
      <c r="D276" s="54">
        <f>G264</f>
        <v>1652</v>
      </c>
      <c r="E276" s="50">
        <v>56</v>
      </c>
      <c r="F276" s="51">
        <v>41</v>
      </c>
      <c r="G276" s="52">
        <f>IFERROR(D276+E276-F276,"")</f>
        <v>1667</v>
      </c>
    </row>
    <row r="277" spans="1:7" ht="21.75" customHeight="1">
      <c r="A277" s="71"/>
      <c r="B277" s="71"/>
      <c r="C277" s="48" t="s">
        <v>35</v>
      </c>
      <c r="D277" s="54">
        <f>G265</f>
        <v>1753</v>
      </c>
      <c r="E277" s="50">
        <v>117</v>
      </c>
      <c r="F277" s="51">
        <v>107</v>
      </c>
      <c r="G277" s="52">
        <f>IFERROR(D277+E277-F277,"")</f>
        <v>1763</v>
      </c>
    </row>
    <row r="278" spans="1:7" ht="21.75" customHeight="1">
      <c r="A278" s="71"/>
      <c r="B278" s="71"/>
      <c r="C278" s="48" t="s">
        <v>29</v>
      </c>
      <c r="D278" s="54">
        <f>G266</f>
        <v>2043</v>
      </c>
      <c r="E278" s="50">
        <v>90</v>
      </c>
      <c r="F278" s="51">
        <v>73</v>
      </c>
      <c r="G278" s="52">
        <f>IFERROR(D278+E278-F278,"")</f>
        <v>2060</v>
      </c>
    </row>
    <row r="279" spans="1:7" ht="21.75" customHeight="1">
      <c r="A279" s="71"/>
      <c r="B279" s="71"/>
      <c r="C279" s="48" t="s">
        <v>31</v>
      </c>
      <c r="D279" s="54">
        <f>G267</f>
        <v>2465</v>
      </c>
      <c r="E279" s="50">
        <v>140</v>
      </c>
      <c r="F279" s="51">
        <v>95</v>
      </c>
      <c r="G279" s="52">
        <f>IFERROR(D279+E279-F279,"")</f>
        <v>2510</v>
      </c>
    </row>
    <row r="280" spans="1:7" ht="21.75" customHeight="1">
      <c r="A280" s="71"/>
      <c r="B280" s="71"/>
      <c r="C280" s="48" t="s">
        <v>33</v>
      </c>
      <c r="D280" s="54">
        <f>G268</f>
        <v>986</v>
      </c>
      <c r="E280" s="50">
        <v>105</v>
      </c>
      <c r="F280" s="51">
        <v>83</v>
      </c>
      <c r="G280" s="52">
        <f>IFERROR(D280+E280-F280,"")</f>
        <v>1008</v>
      </c>
    </row>
    <row r="281" spans="1:7" ht="21.75" customHeight="1">
      <c r="A281" s="71"/>
      <c r="B281" s="71"/>
      <c r="C281" s="48" t="s">
        <v>36</v>
      </c>
      <c r="D281" s="54">
        <f>G269</f>
        <v>3110</v>
      </c>
      <c r="E281" s="50">
        <v>132</v>
      </c>
      <c r="F281" s="51">
        <v>83</v>
      </c>
      <c r="G281" s="52">
        <f>IFERROR(D281+E281-F281,"")</f>
        <v>3159</v>
      </c>
    </row>
    <row r="282" spans="1:7" ht="21.75" customHeight="1">
      <c r="A282" s="73" t="s">
        <v>145</v>
      </c>
      <c r="B282" s="73"/>
      <c r="C282" s="73"/>
      <c r="D282" s="53">
        <f>IFERROR(SUM(D271:D281),"")</f>
        <v>23443</v>
      </c>
      <c r="E282" s="53">
        <f>IFERROR(SUM(E271:E281),"")</f>
        <v>1169</v>
      </c>
      <c r="F282" s="53">
        <f>IFERROR(SUM(F271:F281),"")</f>
        <v>846</v>
      </c>
      <c r="G282" s="53">
        <f>IFERROR(SUM(G271:G281),"")</f>
        <v>23766</v>
      </c>
    </row>
    <row r="283" spans="1:7" ht="21.75" customHeight="1">
      <c r="A283" s="71">
        <v>46105</v>
      </c>
      <c r="B283" s="72" t="s">
        <v>52</v>
      </c>
      <c r="C283" s="48" t="s">
        <v>26</v>
      </c>
      <c r="D283" s="54">
        <f>G271</f>
        <v>2574</v>
      </c>
      <c r="E283" s="50">
        <v>128</v>
      </c>
      <c r="F283" s="51">
        <v>105</v>
      </c>
      <c r="G283" s="52">
        <f>IFERROR(D283+E283-F283,"")</f>
        <v>2597</v>
      </c>
    </row>
    <row r="284" spans="1:7" ht="21.75" customHeight="1">
      <c r="A284" s="71"/>
      <c r="B284" s="71"/>
      <c r="C284" s="48" t="s">
        <v>27</v>
      </c>
      <c r="D284" s="54">
        <f>G272</f>
        <v>1811</v>
      </c>
      <c r="E284" s="50">
        <v>119</v>
      </c>
      <c r="F284" s="51">
        <v>96</v>
      </c>
      <c r="G284" s="52">
        <f>IFERROR(D284+E284-F284,"")</f>
        <v>1834</v>
      </c>
    </row>
    <row r="285" spans="1:7" ht="21.75" customHeight="1">
      <c r="A285" s="71"/>
      <c r="B285" s="71"/>
      <c r="C285" s="48" t="s">
        <v>30</v>
      </c>
      <c r="D285" s="54">
        <f>G273</f>
        <v>2909</v>
      </c>
      <c r="E285" s="50">
        <v>109</v>
      </c>
      <c r="F285" s="51">
        <v>78</v>
      </c>
      <c r="G285" s="52">
        <f>IFERROR(D285+E285-F285,"")</f>
        <v>2940</v>
      </c>
    </row>
    <row r="286" spans="1:7" ht="21.75" customHeight="1">
      <c r="A286" s="71"/>
      <c r="B286" s="71"/>
      <c r="C286" s="48" t="s">
        <v>32</v>
      </c>
      <c r="D286" s="54">
        <f>G274</f>
        <v>1412</v>
      </c>
      <c r="E286" s="50">
        <v>78</v>
      </c>
      <c r="F286" s="51">
        <v>69</v>
      </c>
      <c r="G286" s="52">
        <f>IFERROR(D286+E286-F286,"")</f>
        <v>1421</v>
      </c>
    </row>
    <row r="287" spans="1:7" ht="21.75" customHeight="1">
      <c r="A287" s="71"/>
      <c r="B287" s="71"/>
      <c r="C287" s="48" t="s">
        <v>34</v>
      </c>
      <c r="D287" s="54">
        <f>G275</f>
        <v>2893</v>
      </c>
      <c r="E287" s="50">
        <v>151</v>
      </c>
      <c r="F287" s="51">
        <v>112</v>
      </c>
      <c r="G287" s="52">
        <f>IFERROR(D287+E287-F287,"")</f>
        <v>2932</v>
      </c>
    </row>
    <row r="288" spans="1:7" ht="21.75" customHeight="1">
      <c r="A288" s="71"/>
      <c r="B288" s="71"/>
      <c r="C288" s="48" t="s">
        <v>25</v>
      </c>
      <c r="D288" s="54">
        <f>G276</f>
        <v>1667</v>
      </c>
      <c r="E288" s="50">
        <v>71</v>
      </c>
      <c r="F288" s="51">
        <v>57</v>
      </c>
      <c r="G288" s="52">
        <f>IFERROR(D288+E288-F288,"")</f>
        <v>1681</v>
      </c>
    </row>
    <row r="289" spans="1:7" ht="21.75" customHeight="1">
      <c r="A289" s="71"/>
      <c r="B289" s="71"/>
      <c r="C289" s="48" t="s">
        <v>35</v>
      </c>
      <c r="D289" s="54">
        <f>G277</f>
        <v>1763</v>
      </c>
      <c r="E289" s="50">
        <v>101</v>
      </c>
      <c r="F289" s="51">
        <v>87</v>
      </c>
      <c r="G289" s="52">
        <f>IFERROR(D289+E289-F289,"")</f>
        <v>1777</v>
      </c>
    </row>
    <row r="290" spans="1:7" ht="21.75" customHeight="1">
      <c r="A290" s="71"/>
      <c r="B290" s="71"/>
      <c r="C290" s="48" t="s">
        <v>29</v>
      </c>
      <c r="D290" s="54">
        <f>G278</f>
        <v>2060</v>
      </c>
      <c r="E290" s="50">
        <v>76</v>
      </c>
      <c r="F290" s="51">
        <v>64</v>
      </c>
      <c r="G290" s="52">
        <f>IFERROR(D290+E290-F290,"")</f>
        <v>2072</v>
      </c>
    </row>
    <row r="291" spans="1:7" ht="21.75" customHeight="1">
      <c r="A291" s="71"/>
      <c r="B291" s="71"/>
      <c r="C291" s="48" t="s">
        <v>31</v>
      </c>
      <c r="D291" s="54">
        <f>G279</f>
        <v>2510</v>
      </c>
      <c r="E291" s="50">
        <v>118</v>
      </c>
      <c r="F291" s="51">
        <v>87</v>
      </c>
      <c r="G291" s="52">
        <f>IFERROR(D291+E291-F291,"")</f>
        <v>2541</v>
      </c>
    </row>
    <row r="292" spans="1:7" ht="21.75" customHeight="1">
      <c r="A292" s="71"/>
      <c r="B292" s="71"/>
      <c r="C292" s="48" t="s">
        <v>33</v>
      </c>
      <c r="D292" s="54">
        <f>G280</f>
        <v>1008</v>
      </c>
      <c r="E292" s="50">
        <v>103</v>
      </c>
      <c r="F292" s="51">
        <v>90</v>
      </c>
      <c r="G292" s="52">
        <f>IFERROR(D292+E292-F292,"")</f>
        <v>1021</v>
      </c>
    </row>
    <row r="293" spans="1:7" ht="21.75" customHeight="1">
      <c r="A293" s="71"/>
      <c r="B293" s="71"/>
      <c r="C293" s="48" t="s">
        <v>36</v>
      </c>
      <c r="D293" s="54">
        <f>G281</f>
        <v>3159</v>
      </c>
      <c r="E293" s="50">
        <v>137</v>
      </c>
      <c r="F293" s="51">
        <v>84</v>
      </c>
      <c r="G293" s="52">
        <f>IFERROR(D293+E293-F293,"")</f>
        <v>3212</v>
      </c>
    </row>
    <row r="294" spans="1:7" ht="21.75" customHeight="1">
      <c r="A294" s="73" t="s">
        <v>146</v>
      </c>
      <c r="B294" s="73"/>
      <c r="C294" s="73"/>
      <c r="D294" s="53">
        <f>IFERROR(SUM(D283:D293),"")</f>
        <v>23766</v>
      </c>
      <c r="E294" s="53">
        <f>IFERROR(SUM(E283:E293),"")</f>
        <v>1191</v>
      </c>
      <c r="F294" s="53">
        <f>IFERROR(SUM(F283:F293),"")</f>
        <v>929</v>
      </c>
      <c r="G294" s="53">
        <f>IFERROR(SUM(G283:G293),"")</f>
        <v>24028</v>
      </c>
    </row>
    <row r="295" spans="1:7" ht="21.75" customHeight="1">
      <c r="A295" s="71">
        <v>46106</v>
      </c>
      <c r="B295" s="72" t="s">
        <v>53</v>
      </c>
      <c r="C295" s="48" t="s">
        <v>26</v>
      </c>
      <c r="D295" s="54">
        <f>G283</f>
        <v>2597</v>
      </c>
      <c r="E295" s="50">
        <v>94</v>
      </c>
      <c r="F295" s="51">
        <v>73</v>
      </c>
      <c r="G295" s="52">
        <f>IFERROR(D295+E295-F295,"")</f>
        <v>2618</v>
      </c>
    </row>
    <row r="296" spans="1:7" ht="21.75" customHeight="1">
      <c r="A296" s="71"/>
      <c r="B296" s="71"/>
      <c r="C296" s="48" t="s">
        <v>27</v>
      </c>
      <c r="D296" s="54">
        <f>G284</f>
        <v>1834</v>
      </c>
      <c r="E296" s="50">
        <v>125</v>
      </c>
      <c r="F296" s="51">
        <v>88</v>
      </c>
      <c r="G296" s="52">
        <f>IFERROR(D296+E296-F296,"")</f>
        <v>1871</v>
      </c>
    </row>
    <row r="297" spans="1:7" ht="21.75" customHeight="1">
      <c r="A297" s="71"/>
      <c r="B297" s="71"/>
      <c r="C297" s="48" t="s">
        <v>30</v>
      </c>
      <c r="D297" s="54">
        <f>G285</f>
        <v>2940</v>
      </c>
      <c r="E297" s="50">
        <v>107</v>
      </c>
      <c r="F297" s="51">
        <v>81</v>
      </c>
      <c r="G297" s="52">
        <f>IFERROR(D297+E297-F297,"")</f>
        <v>2966</v>
      </c>
    </row>
    <row r="298" spans="1:7" ht="21.75" customHeight="1">
      <c r="A298" s="71"/>
      <c r="B298" s="71"/>
      <c r="C298" s="48" t="s">
        <v>32</v>
      </c>
      <c r="D298" s="54">
        <f>G286</f>
        <v>1421</v>
      </c>
      <c r="E298" s="50">
        <v>75</v>
      </c>
      <c r="F298" s="51">
        <v>61</v>
      </c>
      <c r="G298" s="52">
        <f>IFERROR(D298+E298-F298,"")</f>
        <v>1435</v>
      </c>
    </row>
    <row r="299" spans="1:7" ht="21.75" customHeight="1">
      <c r="A299" s="71"/>
      <c r="B299" s="71"/>
      <c r="C299" s="48" t="s">
        <v>34</v>
      </c>
      <c r="D299" s="54">
        <f>G287</f>
        <v>2932</v>
      </c>
      <c r="E299" s="50">
        <v>161</v>
      </c>
      <c r="F299" s="51">
        <v>120</v>
      </c>
      <c r="G299" s="52">
        <f>IFERROR(D299+E299-F299,"")</f>
        <v>2973</v>
      </c>
    </row>
    <row r="300" spans="1:7" ht="21.75" customHeight="1">
      <c r="A300" s="71"/>
      <c r="B300" s="71"/>
      <c r="C300" s="48" t="s">
        <v>25</v>
      </c>
      <c r="D300" s="54">
        <f>G288</f>
        <v>1681</v>
      </c>
      <c r="E300" s="50">
        <v>87</v>
      </c>
      <c r="F300" s="51">
        <v>66</v>
      </c>
      <c r="G300" s="52">
        <f>IFERROR(D300+E300-F300,"")</f>
        <v>1702</v>
      </c>
    </row>
    <row r="301" spans="1:7" ht="21.75" customHeight="1">
      <c r="A301" s="71"/>
      <c r="B301" s="71"/>
      <c r="C301" s="48" t="s">
        <v>35</v>
      </c>
      <c r="D301" s="54">
        <f>G289</f>
        <v>1777</v>
      </c>
      <c r="E301" s="50">
        <v>136</v>
      </c>
      <c r="F301" s="51">
        <v>107</v>
      </c>
      <c r="G301" s="52">
        <f>IFERROR(D301+E301-F301,"")</f>
        <v>1806</v>
      </c>
    </row>
    <row r="302" spans="1:7" ht="21.75" customHeight="1">
      <c r="A302" s="71"/>
      <c r="B302" s="71"/>
      <c r="C302" s="48" t="s">
        <v>29</v>
      </c>
      <c r="D302" s="54">
        <f>G290</f>
        <v>2072</v>
      </c>
      <c r="E302" s="50">
        <v>81</v>
      </c>
      <c r="F302" s="51">
        <v>68</v>
      </c>
      <c r="G302" s="52">
        <f>IFERROR(D302+E302-F302,"")</f>
        <v>2085</v>
      </c>
    </row>
    <row r="303" spans="1:7" ht="21.75" customHeight="1">
      <c r="A303" s="71"/>
      <c r="B303" s="71"/>
      <c r="C303" s="48" t="s">
        <v>31</v>
      </c>
      <c r="D303" s="54">
        <f>G291</f>
        <v>2541</v>
      </c>
      <c r="E303" s="50">
        <v>120</v>
      </c>
      <c r="F303" s="51">
        <v>83</v>
      </c>
      <c r="G303" s="52">
        <f>IFERROR(D303+E303-F303,"")</f>
        <v>2578</v>
      </c>
    </row>
    <row r="304" spans="1:7" ht="21.75" customHeight="1">
      <c r="A304" s="71"/>
      <c r="B304" s="71"/>
      <c r="C304" s="48" t="s">
        <v>33</v>
      </c>
      <c r="D304" s="54">
        <f>G292</f>
        <v>1021</v>
      </c>
      <c r="E304" s="50">
        <v>104</v>
      </c>
      <c r="F304" s="51">
        <v>95</v>
      </c>
      <c r="G304" s="52">
        <f>IFERROR(D304+E304-F304,"")</f>
        <v>1030</v>
      </c>
    </row>
    <row r="305" spans="1:7" ht="21.75" customHeight="1">
      <c r="A305" s="71"/>
      <c r="B305" s="71"/>
      <c r="C305" s="48" t="s">
        <v>36</v>
      </c>
      <c r="D305" s="54">
        <f>G293</f>
        <v>3212</v>
      </c>
      <c r="E305" s="50">
        <v>138</v>
      </c>
      <c r="F305" s="51">
        <v>99</v>
      </c>
      <c r="G305" s="52">
        <f>IFERROR(D305+E305-F305,"")</f>
        <v>3251</v>
      </c>
    </row>
    <row r="306" spans="1:7" ht="21.75" customHeight="1">
      <c r="A306" s="73" t="s">
        <v>147</v>
      </c>
      <c r="B306" s="73"/>
      <c r="C306" s="73"/>
      <c r="D306" s="53">
        <f>IFERROR(SUM(D295:D305),"")</f>
        <v>24028</v>
      </c>
      <c r="E306" s="53">
        <f>IFERROR(SUM(E295:E305),"")</f>
        <v>1228</v>
      </c>
      <c r="F306" s="53">
        <f>IFERROR(SUM(F295:F305),"")</f>
        <v>941</v>
      </c>
      <c r="G306" s="53">
        <f>IFERROR(SUM(G295:G305),"")</f>
        <v>24315</v>
      </c>
    </row>
    <row r="307" spans="1:7" ht="21.75" customHeight="1">
      <c r="A307" s="71">
        <v>46107</v>
      </c>
      <c r="B307" s="72" t="s">
        <v>45</v>
      </c>
      <c r="C307" s="48" t="s">
        <v>26</v>
      </c>
      <c r="D307" s="54">
        <f>G295</f>
        <v>2618</v>
      </c>
      <c r="E307" s="50">
        <v>86</v>
      </c>
      <c r="F307" s="51">
        <v>73</v>
      </c>
      <c r="G307" s="52">
        <f>IFERROR(D307+E307-F307,"")</f>
        <v>2631</v>
      </c>
    </row>
    <row r="308" spans="1:7" ht="21.75" customHeight="1">
      <c r="A308" s="71"/>
      <c r="B308" s="71"/>
      <c r="C308" s="48" t="s">
        <v>27</v>
      </c>
      <c r="D308" s="54">
        <f>G296</f>
        <v>1871</v>
      </c>
      <c r="E308" s="50">
        <v>118</v>
      </c>
      <c r="F308" s="51">
        <v>87</v>
      </c>
      <c r="G308" s="52">
        <f>IFERROR(D308+E308-F308,"")</f>
        <v>1902</v>
      </c>
    </row>
    <row r="309" spans="1:7" ht="21.75" customHeight="1">
      <c r="A309" s="71"/>
      <c r="B309" s="71"/>
      <c r="C309" s="48" t="s">
        <v>30</v>
      </c>
      <c r="D309" s="54">
        <f>G297</f>
        <v>2966</v>
      </c>
      <c r="E309" s="50">
        <v>119</v>
      </c>
      <c r="F309" s="51">
        <v>78</v>
      </c>
      <c r="G309" s="52">
        <f>IFERROR(D309+E309-F309,"")</f>
        <v>3007</v>
      </c>
    </row>
    <row r="310" spans="1:7" ht="21.75" customHeight="1">
      <c r="A310" s="71"/>
      <c r="B310" s="71"/>
      <c r="C310" s="48" t="s">
        <v>32</v>
      </c>
      <c r="D310" s="54">
        <f>G298</f>
        <v>1435</v>
      </c>
      <c r="E310" s="50">
        <v>106</v>
      </c>
      <c r="F310" s="51">
        <v>92</v>
      </c>
      <c r="G310" s="52">
        <f>IFERROR(D310+E310-F310,"")</f>
        <v>1449</v>
      </c>
    </row>
    <row r="311" spans="1:7" ht="21.75" customHeight="1">
      <c r="A311" s="71"/>
      <c r="B311" s="71"/>
      <c r="C311" s="48" t="s">
        <v>34</v>
      </c>
      <c r="D311" s="54">
        <f>G299</f>
        <v>2973</v>
      </c>
      <c r="E311" s="50">
        <v>109</v>
      </c>
      <c r="F311" s="51">
        <v>89</v>
      </c>
      <c r="G311" s="52">
        <f>IFERROR(D311+E311-F311,"")</f>
        <v>2993</v>
      </c>
    </row>
    <row r="312" spans="1:7" ht="21.75" customHeight="1">
      <c r="A312" s="71"/>
      <c r="B312" s="71"/>
      <c r="C312" s="48" t="s">
        <v>25</v>
      </c>
      <c r="D312" s="54">
        <f>G300</f>
        <v>1702</v>
      </c>
      <c r="E312" s="50">
        <v>80</v>
      </c>
      <c r="F312" s="51">
        <v>54</v>
      </c>
      <c r="G312" s="52">
        <f>IFERROR(D312+E312-F312,"")</f>
        <v>1728</v>
      </c>
    </row>
    <row r="313" spans="1:7" ht="21.75" customHeight="1">
      <c r="A313" s="71"/>
      <c r="B313" s="71"/>
      <c r="C313" s="48" t="s">
        <v>35</v>
      </c>
      <c r="D313" s="54">
        <f>G301</f>
        <v>1806</v>
      </c>
      <c r="E313" s="50">
        <v>132</v>
      </c>
      <c r="F313" s="51">
        <v>118</v>
      </c>
      <c r="G313" s="52">
        <f>IFERROR(D313+E313-F313,"")</f>
        <v>1820</v>
      </c>
    </row>
    <row r="314" spans="1:7" ht="21.75" customHeight="1">
      <c r="A314" s="71"/>
      <c r="B314" s="71"/>
      <c r="C314" s="48" t="s">
        <v>29</v>
      </c>
      <c r="D314" s="54">
        <f>G302</f>
        <v>2085</v>
      </c>
      <c r="E314" s="50">
        <v>105</v>
      </c>
      <c r="F314" s="51">
        <v>79</v>
      </c>
      <c r="G314" s="52">
        <f>IFERROR(D314+E314-F314,"")</f>
        <v>2111</v>
      </c>
    </row>
    <row r="315" spans="1:7" ht="21.75" customHeight="1">
      <c r="A315" s="71"/>
      <c r="B315" s="71"/>
      <c r="C315" s="48" t="s">
        <v>31</v>
      </c>
      <c r="D315" s="54">
        <f>G303</f>
        <v>2578</v>
      </c>
      <c r="E315" s="50">
        <v>102</v>
      </c>
      <c r="F315" s="51">
        <v>73</v>
      </c>
      <c r="G315" s="52">
        <f>IFERROR(D315+E315-F315,"")</f>
        <v>2607</v>
      </c>
    </row>
    <row r="316" spans="1:7" ht="21.75" customHeight="1">
      <c r="A316" s="71"/>
      <c r="B316" s="71"/>
      <c r="C316" s="48" t="s">
        <v>33</v>
      </c>
      <c r="D316" s="54">
        <f>G304</f>
        <v>1030</v>
      </c>
      <c r="E316" s="50">
        <v>89</v>
      </c>
      <c r="F316" s="51">
        <v>70</v>
      </c>
      <c r="G316" s="52">
        <f>IFERROR(D316+E316-F316,"")</f>
        <v>1049</v>
      </c>
    </row>
    <row r="317" spans="1:7" ht="21.75" customHeight="1">
      <c r="A317" s="71"/>
      <c r="B317" s="71"/>
      <c r="C317" s="48" t="s">
        <v>36</v>
      </c>
      <c r="D317" s="54">
        <f>G305</f>
        <v>3251</v>
      </c>
      <c r="E317" s="50">
        <v>137</v>
      </c>
      <c r="F317" s="51">
        <v>94</v>
      </c>
      <c r="G317" s="52">
        <f>IFERROR(D317+E317-F317,"")</f>
        <v>3294</v>
      </c>
    </row>
    <row r="318" spans="1:7" ht="21.75" customHeight="1">
      <c r="A318" s="73" t="s">
        <v>148</v>
      </c>
      <c r="B318" s="73"/>
      <c r="C318" s="73"/>
      <c r="D318" s="53">
        <f>IFERROR(SUM(D307:D317),"")</f>
        <v>24315</v>
      </c>
      <c r="E318" s="53">
        <f>IFERROR(SUM(E307:E317),"")</f>
        <v>1183</v>
      </c>
      <c r="F318" s="53">
        <f>IFERROR(SUM(F307:F317),"")</f>
        <v>907</v>
      </c>
      <c r="G318" s="53">
        <f>IFERROR(SUM(G307:G317),"")</f>
        <v>24591</v>
      </c>
    </row>
    <row r="319" spans="1:7" ht="21.75" customHeight="1">
      <c r="A319" s="71">
        <v>46108</v>
      </c>
      <c r="B319" s="72" t="s">
        <v>47</v>
      </c>
      <c r="C319" s="48" t="s">
        <v>26</v>
      </c>
      <c r="D319" s="54">
        <f>G307</f>
        <v>2631</v>
      </c>
      <c r="E319" s="50">
        <v>143</v>
      </c>
      <c r="F319" s="51">
        <v>93</v>
      </c>
      <c r="G319" s="52">
        <f>IFERROR(D319+E319-F319,"")</f>
        <v>2681</v>
      </c>
    </row>
    <row r="320" spans="1:7" ht="21.75" customHeight="1">
      <c r="A320" s="71"/>
      <c r="B320" s="71"/>
      <c r="C320" s="48" t="s">
        <v>27</v>
      </c>
      <c r="D320" s="54">
        <f>G308</f>
        <v>1902</v>
      </c>
      <c r="E320" s="50">
        <v>106</v>
      </c>
      <c r="F320" s="51">
        <v>82</v>
      </c>
      <c r="G320" s="52">
        <f>IFERROR(D320+E320-F320,"")</f>
        <v>1926</v>
      </c>
    </row>
    <row r="321" spans="1:7" ht="21.75" customHeight="1">
      <c r="A321" s="71"/>
      <c r="B321" s="71"/>
      <c r="C321" s="48" t="s">
        <v>30</v>
      </c>
      <c r="D321" s="54">
        <f>G309</f>
        <v>3007</v>
      </c>
      <c r="E321" s="50">
        <v>108</v>
      </c>
      <c r="F321" s="51">
        <v>68</v>
      </c>
      <c r="G321" s="52">
        <f>IFERROR(D321+E321-F321,"")</f>
        <v>3047</v>
      </c>
    </row>
    <row r="322" spans="1:7" ht="21.75" customHeight="1">
      <c r="A322" s="71"/>
      <c r="B322" s="71"/>
      <c r="C322" s="48" t="s">
        <v>32</v>
      </c>
      <c r="D322" s="54">
        <f>G310</f>
        <v>1449</v>
      </c>
      <c r="E322" s="50">
        <v>76</v>
      </c>
      <c r="F322" s="51">
        <v>60</v>
      </c>
      <c r="G322" s="52">
        <f>IFERROR(D322+E322-F322,"")</f>
        <v>1465</v>
      </c>
    </row>
    <row r="323" spans="1:7" ht="21.75" customHeight="1">
      <c r="A323" s="71"/>
      <c r="B323" s="71"/>
      <c r="C323" s="48" t="s">
        <v>34</v>
      </c>
      <c r="D323" s="54">
        <f>G311</f>
        <v>2993</v>
      </c>
      <c r="E323" s="50">
        <v>114</v>
      </c>
      <c r="F323" s="51">
        <v>83</v>
      </c>
      <c r="G323" s="52">
        <f>IFERROR(D323+E323-F323,"")</f>
        <v>3024</v>
      </c>
    </row>
    <row r="324" spans="1:7" ht="21.75" customHeight="1">
      <c r="A324" s="71"/>
      <c r="B324" s="71"/>
      <c r="C324" s="48" t="s">
        <v>25</v>
      </c>
      <c r="D324" s="54">
        <f>G312</f>
        <v>1728</v>
      </c>
      <c r="E324" s="50">
        <v>80</v>
      </c>
      <c r="F324" s="51">
        <v>70</v>
      </c>
      <c r="G324" s="52">
        <f>IFERROR(D324+E324-F324,"")</f>
        <v>1738</v>
      </c>
    </row>
    <row r="325" spans="1:7" ht="21.75" customHeight="1">
      <c r="A325" s="71"/>
      <c r="B325" s="71"/>
      <c r="C325" s="48" t="s">
        <v>35</v>
      </c>
      <c r="D325" s="54">
        <f>G313</f>
        <v>1820</v>
      </c>
      <c r="E325" s="50">
        <v>115</v>
      </c>
      <c r="F325" s="51">
        <v>87</v>
      </c>
      <c r="G325" s="52">
        <f>IFERROR(D325+E325-F325,"")</f>
        <v>1848</v>
      </c>
    </row>
    <row r="326" spans="1:7" ht="21.75" customHeight="1">
      <c r="A326" s="71"/>
      <c r="B326" s="71"/>
      <c r="C326" s="48" t="s">
        <v>29</v>
      </c>
      <c r="D326" s="54">
        <f>G314</f>
        <v>2111</v>
      </c>
      <c r="E326" s="50">
        <v>106</v>
      </c>
      <c r="F326" s="51">
        <v>76</v>
      </c>
      <c r="G326" s="52">
        <f>IFERROR(D326+E326-F326,"")</f>
        <v>2141</v>
      </c>
    </row>
    <row r="327" spans="1:7" ht="21.75" customHeight="1">
      <c r="A327" s="71"/>
      <c r="B327" s="71"/>
      <c r="C327" s="48" t="s">
        <v>31</v>
      </c>
      <c r="D327" s="54">
        <f>G315</f>
        <v>2607</v>
      </c>
      <c r="E327" s="50">
        <v>114</v>
      </c>
      <c r="F327" s="51">
        <v>92</v>
      </c>
      <c r="G327" s="52">
        <f>IFERROR(D327+E327-F327,"")</f>
        <v>2629</v>
      </c>
    </row>
    <row r="328" spans="1:7" ht="21.75" customHeight="1">
      <c r="A328" s="71"/>
      <c r="B328" s="71"/>
      <c r="C328" s="48" t="s">
        <v>33</v>
      </c>
      <c r="D328" s="54">
        <f>G316</f>
        <v>1049</v>
      </c>
      <c r="E328" s="50">
        <v>100</v>
      </c>
      <c r="F328" s="51">
        <v>93</v>
      </c>
      <c r="G328" s="52">
        <f>IFERROR(D328+E328-F328,"")</f>
        <v>1056</v>
      </c>
    </row>
    <row r="329" spans="1:7" ht="21.75" customHeight="1">
      <c r="A329" s="71"/>
      <c r="B329" s="71"/>
      <c r="C329" s="48" t="s">
        <v>36</v>
      </c>
      <c r="D329" s="54">
        <f>G317</f>
        <v>3294</v>
      </c>
      <c r="E329" s="50">
        <v>96</v>
      </c>
      <c r="F329" s="51">
        <v>76</v>
      </c>
      <c r="G329" s="52">
        <f>IFERROR(D329+E329-F329,"")</f>
        <v>3314</v>
      </c>
    </row>
    <row r="330" spans="1:7" ht="21.75" customHeight="1">
      <c r="A330" s="73" t="s">
        <v>149</v>
      </c>
      <c r="B330" s="73"/>
      <c r="C330" s="73"/>
      <c r="D330" s="53">
        <f>IFERROR(SUM(D319:D329),"")</f>
        <v>24591</v>
      </c>
      <c r="E330" s="53">
        <f>IFERROR(SUM(E319:E329),"")</f>
        <v>1158</v>
      </c>
      <c r="F330" s="53">
        <f>IFERROR(SUM(F319:F329),"")</f>
        <v>880</v>
      </c>
      <c r="G330" s="53">
        <f>IFERROR(SUM(G319:G329),"")</f>
        <v>24869</v>
      </c>
    </row>
    <row r="331" spans="1:7" ht="21.75" customHeight="1">
      <c r="A331" s="74">
        <v>46109</v>
      </c>
      <c r="B331" s="75" t="s">
        <v>48</v>
      </c>
      <c r="C331" s="48" t="s">
        <v>26</v>
      </c>
      <c r="D331" s="54">
        <f>G319</f>
        <v>2681</v>
      </c>
      <c r="E331" s="50">
        <v>36</v>
      </c>
      <c r="F331" s="51">
        <v>27</v>
      </c>
      <c r="G331" s="52">
        <f>IFERROR(D331+E331-F331,"")</f>
        <v>2690</v>
      </c>
    </row>
    <row r="332" spans="1:7" ht="21.75" customHeight="1">
      <c r="A332" s="74"/>
      <c r="B332" s="74"/>
      <c r="C332" s="48" t="s">
        <v>27</v>
      </c>
      <c r="D332" s="54">
        <f>G320</f>
        <v>1926</v>
      </c>
      <c r="E332" s="50">
        <v>36</v>
      </c>
      <c r="F332" s="51">
        <v>30</v>
      </c>
      <c r="G332" s="52">
        <f>IFERROR(D332+E332-F332,"")</f>
        <v>1932</v>
      </c>
    </row>
    <row r="333" spans="1:7" ht="21.75" customHeight="1">
      <c r="A333" s="74"/>
      <c r="B333" s="74"/>
      <c r="C333" s="48" t="s">
        <v>30</v>
      </c>
      <c r="D333" s="54">
        <f>G321</f>
        <v>3047</v>
      </c>
      <c r="E333" s="50">
        <v>62</v>
      </c>
      <c r="F333" s="51">
        <v>48</v>
      </c>
      <c r="G333" s="52">
        <f>IFERROR(D333+E333-F333,"")</f>
        <v>3061</v>
      </c>
    </row>
    <row r="334" spans="1:7" ht="21.75" customHeight="1">
      <c r="A334" s="74"/>
      <c r="B334" s="74"/>
      <c r="C334" s="48" t="s">
        <v>32</v>
      </c>
      <c r="D334" s="54">
        <f>G322</f>
        <v>1465</v>
      </c>
      <c r="E334" s="50">
        <v>39</v>
      </c>
      <c r="F334" s="51">
        <v>35</v>
      </c>
      <c r="G334" s="52">
        <f>IFERROR(D334+E334-F334,"")</f>
        <v>1469</v>
      </c>
    </row>
    <row r="335" spans="1:7" ht="21.75" customHeight="1">
      <c r="A335" s="74"/>
      <c r="B335" s="74"/>
      <c r="C335" s="48" t="s">
        <v>34</v>
      </c>
      <c r="D335" s="54">
        <f>G323</f>
        <v>3024</v>
      </c>
      <c r="E335" s="50">
        <v>83</v>
      </c>
      <c r="F335" s="51">
        <v>55</v>
      </c>
      <c r="G335" s="52">
        <f>IFERROR(D335+E335-F335,"")</f>
        <v>3052</v>
      </c>
    </row>
    <row r="336" spans="1:7" ht="21.75" customHeight="1">
      <c r="A336" s="74"/>
      <c r="B336" s="74"/>
      <c r="C336" s="48" t="s">
        <v>25</v>
      </c>
      <c r="D336" s="54">
        <f>G324</f>
        <v>1738</v>
      </c>
      <c r="E336" s="50">
        <v>35</v>
      </c>
      <c r="F336" s="51">
        <v>27</v>
      </c>
      <c r="G336" s="52">
        <f>IFERROR(D336+E336-F336,"")</f>
        <v>1746</v>
      </c>
    </row>
    <row r="337" spans="1:7" ht="21.75" customHeight="1">
      <c r="A337" s="74"/>
      <c r="B337" s="74"/>
      <c r="C337" s="48" t="s">
        <v>35</v>
      </c>
      <c r="D337" s="54">
        <f>G325</f>
        <v>1848</v>
      </c>
      <c r="E337" s="50">
        <v>70</v>
      </c>
      <c r="F337" s="51">
        <v>64</v>
      </c>
      <c r="G337" s="52">
        <f>IFERROR(D337+E337-F337,"")</f>
        <v>1854</v>
      </c>
    </row>
    <row r="338" spans="1:7" ht="21.75" customHeight="1">
      <c r="A338" s="74"/>
      <c r="B338" s="74"/>
      <c r="C338" s="48" t="s">
        <v>29</v>
      </c>
      <c r="D338" s="54">
        <f>G326</f>
        <v>2141</v>
      </c>
      <c r="E338" s="50">
        <v>32</v>
      </c>
      <c r="F338" s="51">
        <v>27</v>
      </c>
      <c r="G338" s="52">
        <f>IFERROR(D338+E338-F338,"")</f>
        <v>2146</v>
      </c>
    </row>
    <row r="339" spans="1:7" ht="21.75" customHeight="1">
      <c r="A339" s="74"/>
      <c r="B339" s="74"/>
      <c r="C339" s="48" t="s">
        <v>31</v>
      </c>
      <c r="D339" s="54">
        <f>G327</f>
        <v>2629</v>
      </c>
      <c r="E339" s="50">
        <v>34</v>
      </c>
      <c r="F339" s="51">
        <v>26</v>
      </c>
      <c r="G339" s="52">
        <f>IFERROR(D339+E339-F339,"")</f>
        <v>2637</v>
      </c>
    </row>
    <row r="340" spans="1:7" ht="21.75" customHeight="1">
      <c r="A340" s="74"/>
      <c r="B340" s="74"/>
      <c r="C340" s="48" t="s">
        <v>33</v>
      </c>
      <c r="D340" s="54">
        <f>G328</f>
        <v>1056</v>
      </c>
      <c r="E340" s="50">
        <v>38</v>
      </c>
      <c r="F340" s="51">
        <v>30</v>
      </c>
      <c r="G340" s="52">
        <f>IFERROR(D340+E340-F340,"")</f>
        <v>1064</v>
      </c>
    </row>
    <row r="341" spans="1:7" ht="21.75" customHeight="1">
      <c r="A341" s="74"/>
      <c r="B341" s="74"/>
      <c r="C341" s="48" t="s">
        <v>36</v>
      </c>
      <c r="D341" s="54">
        <f>G329</f>
        <v>3314</v>
      </c>
      <c r="E341" s="50">
        <v>41</v>
      </c>
      <c r="F341" s="51">
        <v>32</v>
      </c>
      <c r="G341" s="52">
        <f>IFERROR(D341+E341-F341,"")</f>
        <v>3323</v>
      </c>
    </row>
    <row r="342" spans="1:7" ht="21.75" customHeight="1">
      <c r="A342" s="73" t="s">
        <v>150</v>
      </c>
      <c r="B342" s="73"/>
      <c r="C342" s="73"/>
      <c r="D342" s="53">
        <f>IFERROR(SUM(D331:D341),"")</f>
        <v>24869</v>
      </c>
      <c r="E342" s="53">
        <f>IFERROR(SUM(E331:E341),"")</f>
        <v>506</v>
      </c>
      <c r="F342" s="53">
        <f>IFERROR(SUM(F331:F341),"")</f>
        <v>401</v>
      </c>
      <c r="G342" s="53">
        <f>IFERROR(SUM(G331:G341),"")</f>
        <v>24974</v>
      </c>
    </row>
    <row r="343" spans="1:7" ht="21.75" customHeight="1">
      <c r="A343" s="74">
        <v>46110</v>
      </c>
      <c r="B343" s="75" t="s">
        <v>50</v>
      </c>
      <c r="C343" s="48" t="s">
        <v>26</v>
      </c>
      <c r="D343" s="54">
        <f>G331</f>
        <v>2690</v>
      </c>
      <c r="E343" s="50">
        <v>49</v>
      </c>
      <c r="F343" s="51">
        <v>40</v>
      </c>
      <c r="G343" s="52">
        <f>IFERROR(D343+E343-F343,"")</f>
        <v>2699</v>
      </c>
    </row>
    <row r="344" spans="1:7" ht="21.75" customHeight="1">
      <c r="A344" s="74"/>
      <c r="B344" s="74"/>
      <c r="C344" s="48" t="s">
        <v>27</v>
      </c>
      <c r="D344" s="54">
        <f>G332</f>
        <v>1932</v>
      </c>
      <c r="E344" s="50">
        <v>39</v>
      </c>
      <c r="F344" s="51">
        <v>35</v>
      </c>
      <c r="G344" s="52">
        <f>IFERROR(D344+E344-F344,"")</f>
        <v>1936</v>
      </c>
    </row>
    <row r="345" spans="1:7" ht="21.75" customHeight="1">
      <c r="A345" s="74"/>
      <c r="B345" s="74"/>
      <c r="C345" s="48" t="s">
        <v>30</v>
      </c>
      <c r="D345" s="54">
        <f>G333</f>
        <v>3061</v>
      </c>
      <c r="E345" s="50">
        <v>59</v>
      </c>
      <c r="F345" s="51">
        <v>35</v>
      </c>
      <c r="G345" s="52">
        <f>IFERROR(D345+E345-F345,"")</f>
        <v>3085</v>
      </c>
    </row>
    <row r="346" spans="1:7" ht="21.75" customHeight="1">
      <c r="A346" s="74"/>
      <c r="B346" s="74"/>
      <c r="C346" s="48" t="s">
        <v>32</v>
      </c>
      <c r="D346" s="54">
        <f>G334</f>
        <v>1469</v>
      </c>
      <c r="E346" s="50">
        <v>44</v>
      </c>
      <c r="F346" s="51">
        <v>41</v>
      </c>
      <c r="G346" s="52">
        <f>IFERROR(D346+E346-F346,"")</f>
        <v>1472</v>
      </c>
    </row>
    <row r="347" spans="1:7" ht="21.75" customHeight="1">
      <c r="A347" s="74"/>
      <c r="B347" s="74"/>
      <c r="C347" s="48" t="s">
        <v>34</v>
      </c>
      <c r="D347" s="54">
        <f>G335</f>
        <v>3052</v>
      </c>
      <c r="E347" s="50">
        <v>58</v>
      </c>
      <c r="F347" s="51">
        <v>47</v>
      </c>
      <c r="G347" s="52">
        <f>IFERROR(D347+E347-F347,"")</f>
        <v>3063</v>
      </c>
    </row>
    <row r="348" spans="1:7" ht="21.75" customHeight="1">
      <c r="A348" s="74"/>
      <c r="B348" s="74"/>
      <c r="C348" s="48" t="s">
        <v>25</v>
      </c>
      <c r="D348" s="54">
        <f>G336</f>
        <v>1746</v>
      </c>
      <c r="E348" s="50">
        <v>20</v>
      </c>
      <c r="F348" s="51">
        <v>14</v>
      </c>
      <c r="G348" s="52">
        <f>IFERROR(D348+E348-F348,"")</f>
        <v>1752</v>
      </c>
    </row>
    <row r="349" spans="1:7" ht="21.75" customHeight="1">
      <c r="A349" s="74"/>
      <c r="B349" s="74"/>
      <c r="C349" s="48" t="s">
        <v>35</v>
      </c>
      <c r="D349" s="54">
        <f>G337</f>
        <v>1854</v>
      </c>
      <c r="E349" s="50">
        <v>53</v>
      </c>
      <c r="F349" s="51">
        <v>38</v>
      </c>
      <c r="G349" s="52">
        <f>IFERROR(D349+E349-F349,"")</f>
        <v>1869</v>
      </c>
    </row>
    <row r="350" spans="1:7" ht="21.75" customHeight="1">
      <c r="A350" s="74"/>
      <c r="B350" s="74"/>
      <c r="C350" s="48" t="s">
        <v>29</v>
      </c>
      <c r="D350" s="54">
        <f>G338</f>
        <v>2146</v>
      </c>
      <c r="E350" s="50">
        <v>53</v>
      </c>
      <c r="F350" s="51">
        <v>37</v>
      </c>
      <c r="G350" s="52">
        <f>IFERROR(D350+E350-F350,"")</f>
        <v>2162</v>
      </c>
    </row>
    <row r="351" spans="1:7" ht="21.75" customHeight="1">
      <c r="A351" s="74"/>
      <c r="B351" s="74"/>
      <c r="C351" s="48" t="s">
        <v>31</v>
      </c>
      <c r="D351" s="54">
        <f>G339</f>
        <v>2637</v>
      </c>
      <c r="E351" s="50">
        <v>52</v>
      </c>
      <c r="F351" s="51">
        <v>35</v>
      </c>
      <c r="G351" s="52">
        <f>IFERROR(D351+E351-F351,"")</f>
        <v>2654</v>
      </c>
    </row>
    <row r="352" spans="1:7" ht="21.75" customHeight="1">
      <c r="A352" s="74"/>
      <c r="B352" s="74"/>
      <c r="C352" s="48" t="s">
        <v>33</v>
      </c>
      <c r="D352" s="54">
        <f>G340</f>
        <v>1064</v>
      </c>
      <c r="E352" s="50">
        <v>24</v>
      </c>
      <c r="F352" s="51">
        <v>21</v>
      </c>
      <c r="G352" s="52">
        <f>IFERROR(D352+E352-F352,"")</f>
        <v>1067</v>
      </c>
    </row>
    <row r="353" spans="1:7" ht="21.75" customHeight="1">
      <c r="A353" s="74"/>
      <c r="B353" s="74"/>
      <c r="C353" s="48" t="s">
        <v>36</v>
      </c>
      <c r="D353" s="54">
        <f>G341</f>
        <v>3323</v>
      </c>
      <c r="E353" s="50">
        <v>60</v>
      </c>
      <c r="F353" s="51">
        <v>39</v>
      </c>
      <c r="G353" s="52">
        <f>IFERROR(D353+E353-F353,"")</f>
        <v>3344</v>
      </c>
    </row>
    <row r="354" spans="1:7" ht="21.75" customHeight="1">
      <c r="A354" s="73" t="s">
        <v>151</v>
      </c>
      <c r="B354" s="73"/>
      <c r="C354" s="73"/>
      <c r="D354" s="53">
        <f>IFERROR(SUM(D343:D353),"")</f>
        <v>24974</v>
      </c>
      <c r="E354" s="53">
        <f>IFERROR(SUM(E343:E353),"")</f>
        <v>511</v>
      </c>
      <c r="F354" s="53">
        <f>IFERROR(SUM(F343:F353),"")</f>
        <v>382</v>
      </c>
      <c r="G354" s="53">
        <f>IFERROR(SUM(G343:G353),"")</f>
        <v>25103</v>
      </c>
    </row>
    <row r="355" spans="1:7" ht="21.75" customHeight="1">
      <c r="A355" s="71">
        <v>46111</v>
      </c>
      <c r="B355" s="72" t="s">
        <v>51</v>
      </c>
      <c r="C355" s="48" t="s">
        <v>26</v>
      </c>
      <c r="D355" s="54">
        <f>G343</f>
        <v>2699</v>
      </c>
      <c r="E355" s="50">
        <v>150</v>
      </c>
      <c r="F355" s="51">
        <v>123</v>
      </c>
      <c r="G355" s="52">
        <f>IFERROR(D355+E355-F355,"")</f>
        <v>2726</v>
      </c>
    </row>
    <row r="356" spans="1:7" ht="21.75" customHeight="1">
      <c r="A356" s="71"/>
      <c r="B356" s="71"/>
      <c r="C356" s="48" t="s">
        <v>27</v>
      </c>
      <c r="D356" s="54">
        <f>G344</f>
        <v>1936</v>
      </c>
      <c r="E356" s="50">
        <v>129</v>
      </c>
      <c r="F356" s="51">
        <v>91</v>
      </c>
      <c r="G356" s="52">
        <f>IFERROR(D356+E356-F356,"")</f>
        <v>1974</v>
      </c>
    </row>
    <row r="357" spans="1:7" ht="21.75" customHeight="1">
      <c r="A357" s="71"/>
      <c r="B357" s="71"/>
      <c r="C357" s="48" t="s">
        <v>30</v>
      </c>
      <c r="D357" s="54">
        <f>G345</f>
        <v>3085</v>
      </c>
      <c r="E357" s="50">
        <v>133</v>
      </c>
      <c r="F357" s="51">
        <v>101</v>
      </c>
      <c r="G357" s="52">
        <f>IFERROR(D357+E357-F357,"")</f>
        <v>3117</v>
      </c>
    </row>
    <row r="358" spans="1:7" ht="21.75" customHeight="1">
      <c r="A358" s="71"/>
      <c r="B358" s="71"/>
      <c r="C358" s="48" t="s">
        <v>32</v>
      </c>
      <c r="D358" s="54">
        <f>G346</f>
        <v>1472</v>
      </c>
      <c r="E358" s="50">
        <v>110</v>
      </c>
      <c r="F358" s="51">
        <v>83</v>
      </c>
      <c r="G358" s="52">
        <f>IFERROR(D358+E358-F358,"")</f>
        <v>1499</v>
      </c>
    </row>
    <row r="359" spans="1:7" ht="21.75" customHeight="1">
      <c r="A359" s="71"/>
      <c r="B359" s="71"/>
      <c r="C359" s="48" t="s">
        <v>34</v>
      </c>
      <c r="D359" s="54">
        <f>G347</f>
        <v>3063</v>
      </c>
      <c r="E359" s="50">
        <v>154</v>
      </c>
      <c r="F359" s="51">
        <v>102</v>
      </c>
      <c r="G359" s="52">
        <f>IFERROR(D359+E359-F359,"")</f>
        <v>3115</v>
      </c>
    </row>
    <row r="360" spans="1:7" ht="21.75" customHeight="1">
      <c r="A360" s="71"/>
      <c r="B360" s="71"/>
      <c r="C360" s="48" t="s">
        <v>25</v>
      </c>
      <c r="D360" s="54">
        <f>G348</f>
        <v>1752</v>
      </c>
      <c r="E360" s="50">
        <v>92</v>
      </c>
      <c r="F360" s="51">
        <v>77</v>
      </c>
      <c r="G360" s="52">
        <f>IFERROR(D360+E360-F360,"")</f>
        <v>1767</v>
      </c>
    </row>
    <row r="361" spans="1:7" ht="21.75" customHeight="1">
      <c r="A361" s="71"/>
      <c r="B361" s="71"/>
      <c r="C361" s="48" t="s">
        <v>35</v>
      </c>
      <c r="D361" s="54">
        <f>G349</f>
        <v>1869</v>
      </c>
      <c r="E361" s="50">
        <v>76</v>
      </c>
      <c r="F361" s="51">
        <v>61</v>
      </c>
      <c r="G361" s="52">
        <f>IFERROR(D361+E361-F361,"")</f>
        <v>1884</v>
      </c>
    </row>
    <row r="362" spans="1:7" ht="21.75" customHeight="1">
      <c r="A362" s="71"/>
      <c r="B362" s="71"/>
      <c r="C362" s="48" t="s">
        <v>29</v>
      </c>
      <c r="D362" s="54">
        <f>G350</f>
        <v>2162</v>
      </c>
      <c r="E362" s="50">
        <v>108</v>
      </c>
      <c r="F362" s="51">
        <v>83</v>
      </c>
      <c r="G362" s="52">
        <f>IFERROR(D362+E362-F362,"")</f>
        <v>2187</v>
      </c>
    </row>
    <row r="363" spans="1:7" ht="21.75" customHeight="1">
      <c r="A363" s="71"/>
      <c r="B363" s="71"/>
      <c r="C363" s="48" t="s">
        <v>31</v>
      </c>
      <c r="D363" s="54">
        <f>G351</f>
        <v>2654</v>
      </c>
      <c r="E363" s="50">
        <v>155</v>
      </c>
      <c r="F363" s="51">
        <v>113</v>
      </c>
      <c r="G363" s="52">
        <f>IFERROR(D363+E363-F363,"")</f>
        <v>2696</v>
      </c>
    </row>
    <row r="364" spans="1:7" ht="21.75" customHeight="1">
      <c r="A364" s="71"/>
      <c r="B364" s="71"/>
      <c r="C364" s="48" t="s">
        <v>33</v>
      </c>
      <c r="D364" s="54">
        <f>G352</f>
        <v>1067</v>
      </c>
      <c r="E364" s="50">
        <v>61</v>
      </c>
      <c r="F364" s="51">
        <v>59</v>
      </c>
      <c r="G364" s="52">
        <f>IFERROR(D364+E364-F364,"")</f>
        <v>1069</v>
      </c>
    </row>
    <row r="365" spans="1:7" ht="21.75" customHeight="1">
      <c r="A365" s="71"/>
      <c r="B365" s="71"/>
      <c r="C365" s="48" t="s">
        <v>36</v>
      </c>
      <c r="D365" s="54">
        <f>G353</f>
        <v>3344</v>
      </c>
      <c r="E365" s="50">
        <v>130</v>
      </c>
      <c r="F365" s="51">
        <v>93</v>
      </c>
      <c r="G365" s="52">
        <f>IFERROR(D365+E365-F365,"")</f>
        <v>3381</v>
      </c>
    </row>
    <row r="366" spans="1:7" ht="21.75" customHeight="1">
      <c r="A366" s="73" t="s">
        <v>152</v>
      </c>
      <c r="B366" s="73"/>
      <c r="C366" s="73"/>
      <c r="D366" s="53">
        <f>IFERROR(SUM(D355:D365),"")</f>
        <v>25103</v>
      </c>
      <c r="E366" s="53">
        <f>IFERROR(SUM(E355:E365),"")</f>
        <v>1298</v>
      </c>
      <c r="F366" s="53">
        <f>IFERROR(SUM(F355:F365),"")</f>
        <v>986</v>
      </c>
      <c r="G366" s="53">
        <f>IFERROR(SUM(G355:G365),"")</f>
        <v>25415</v>
      </c>
    </row>
    <row r="367" spans="1:7" ht="21.75" customHeight="1">
      <c r="A367" s="71">
        <v>46112</v>
      </c>
      <c r="B367" s="72" t="s">
        <v>52</v>
      </c>
      <c r="C367" s="48" t="s">
        <v>26</v>
      </c>
      <c r="D367" s="54">
        <f>G355</f>
        <v>2726</v>
      </c>
      <c r="E367" s="50">
        <v>113</v>
      </c>
      <c r="F367" s="51">
        <v>80</v>
      </c>
      <c r="G367" s="52">
        <f>IFERROR(D367+E367-F367,"")</f>
        <v>2759</v>
      </c>
    </row>
    <row r="368" spans="1:7" ht="21.75" customHeight="1">
      <c r="A368" s="71"/>
      <c r="B368" s="71"/>
      <c r="C368" s="48" t="s">
        <v>27</v>
      </c>
      <c r="D368" s="54">
        <f>G356</f>
        <v>1974</v>
      </c>
      <c r="E368" s="50">
        <v>118</v>
      </c>
      <c r="F368" s="51">
        <v>82</v>
      </c>
      <c r="G368" s="52">
        <f>IFERROR(D368+E368-F368,"")</f>
        <v>2010</v>
      </c>
    </row>
    <row r="369" spans="1:7" ht="21.75" customHeight="1">
      <c r="A369" s="71"/>
      <c r="B369" s="71"/>
      <c r="C369" s="48" t="s">
        <v>30</v>
      </c>
      <c r="D369" s="54">
        <f>G357</f>
        <v>3117</v>
      </c>
      <c r="E369" s="50">
        <v>149</v>
      </c>
      <c r="F369" s="51">
        <v>92</v>
      </c>
      <c r="G369" s="52">
        <f>IFERROR(D369+E369-F369,"")</f>
        <v>3174</v>
      </c>
    </row>
    <row r="370" spans="1:7" ht="21.75" customHeight="1">
      <c r="A370" s="71"/>
      <c r="B370" s="71"/>
      <c r="C370" s="48" t="s">
        <v>32</v>
      </c>
      <c r="D370" s="54">
        <f>G358</f>
        <v>1499</v>
      </c>
      <c r="E370" s="50">
        <v>118</v>
      </c>
      <c r="F370" s="51">
        <v>110</v>
      </c>
      <c r="G370" s="52">
        <f>IFERROR(D370+E370-F370,"")</f>
        <v>1507</v>
      </c>
    </row>
    <row r="371" spans="1:7" ht="21.75" customHeight="1">
      <c r="A371" s="71"/>
      <c r="B371" s="71"/>
      <c r="C371" s="48" t="s">
        <v>34</v>
      </c>
      <c r="D371" s="54">
        <f>G359</f>
        <v>3115</v>
      </c>
      <c r="E371" s="50">
        <v>126</v>
      </c>
      <c r="F371" s="51">
        <v>93</v>
      </c>
      <c r="G371" s="52">
        <f>IFERROR(D371+E371-F371,"")</f>
        <v>3148</v>
      </c>
    </row>
    <row r="372" spans="1:7" ht="21.75" customHeight="1">
      <c r="A372" s="71"/>
      <c r="B372" s="71"/>
      <c r="C372" s="48" t="s">
        <v>25</v>
      </c>
      <c r="D372" s="54">
        <f>G360</f>
        <v>1767</v>
      </c>
      <c r="E372" s="50">
        <v>106</v>
      </c>
      <c r="F372" s="51">
        <v>75</v>
      </c>
      <c r="G372" s="52">
        <f>IFERROR(D372+E372-F372,"")</f>
        <v>1798</v>
      </c>
    </row>
    <row r="373" spans="1:7" ht="21.75" customHeight="1">
      <c r="A373" s="71"/>
      <c r="B373" s="71"/>
      <c r="C373" s="48" t="s">
        <v>35</v>
      </c>
      <c r="D373" s="54">
        <f>G361</f>
        <v>1884</v>
      </c>
      <c r="E373" s="50">
        <v>78</v>
      </c>
      <c r="F373" s="51">
        <v>65</v>
      </c>
      <c r="G373" s="52">
        <f>IFERROR(D373+E373-F373,"")</f>
        <v>1897</v>
      </c>
    </row>
    <row r="374" spans="1:7" ht="21.75" customHeight="1">
      <c r="A374" s="71"/>
      <c r="B374" s="71"/>
      <c r="C374" s="48" t="s">
        <v>29</v>
      </c>
      <c r="D374" s="54">
        <f>G362</f>
        <v>2187</v>
      </c>
      <c r="E374" s="50">
        <v>98</v>
      </c>
      <c r="F374" s="51">
        <v>74</v>
      </c>
      <c r="G374" s="52">
        <f>IFERROR(D374+E374-F374,"")</f>
        <v>2211</v>
      </c>
    </row>
    <row r="375" spans="1:7" ht="21.75" customHeight="1">
      <c r="A375" s="71"/>
      <c r="B375" s="71"/>
      <c r="C375" s="48" t="s">
        <v>31</v>
      </c>
      <c r="D375" s="54">
        <f>G363</f>
        <v>2696</v>
      </c>
      <c r="E375" s="50">
        <v>140</v>
      </c>
      <c r="F375" s="51">
        <v>95</v>
      </c>
      <c r="G375" s="52">
        <f>IFERROR(D375+E375-F375,"")</f>
        <v>2741</v>
      </c>
    </row>
    <row r="376" spans="1:7" ht="21.75" customHeight="1">
      <c r="A376" s="71"/>
      <c r="B376" s="71"/>
      <c r="C376" s="48" t="s">
        <v>33</v>
      </c>
      <c r="D376" s="54">
        <f>G364</f>
        <v>1069</v>
      </c>
      <c r="E376" s="50">
        <v>66</v>
      </c>
      <c r="F376" s="51">
        <v>59</v>
      </c>
      <c r="G376" s="52">
        <f>IFERROR(D376+E376-F376,"")</f>
        <v>1076</v>
      </c>
    </row>
    <row r="377" spans="1:7" ht="21.75" customHeight="1">
      <c r="A377" s="71"/>
      <c r="B377" s="71"/>
      <c r="C377" s="48" t="s">
        <v>36</v>
      </c>
      <c r="D377" s="54">
        <f>G365</f>
        <v>3381</v>
      </c>
      <c r="E377" s="50">
        <v>100</v>
      </c>
      <c r="F377" s="51">
        <v>81</v>
      </c>
      <c r="G377" s="52">
        <f>IFERROR(D377+E377-F377,"")</f>
        <v>3400</v>
      </c>
    </row>
    <row r="378" spans="1:7" ht="21.75" customHeight="1">
      <c r="A378" s="73" t="s">
        <v>153</v>
      </c>
      <c r="B378" s="73"/>
      <c r="C378" s="73"/>
      <c r="D378" s="53">
        <f>IFERROR(SUM(D367:D377),"")</f>
        <v>25415</v>
      </c>
      <c r="E378" s="53">
        <f>IFERROR(SUM(E367:E377),"")</f>
        <v>1212</v>
      </c>
      <c r="F378" s="53">
        <f>IFERROR(SUM(F367:F377),"")</f>
        <v>906</v>
      </c>
      <c r="G378" s="53">
        <f>IFERROR(SUM(G367:G377),"")</f>
        <v>25721</v>
      </c>
    </row>
    <row r="379" spans="1:7" ht="25.5" customHeight="1">
      <c r="A379" s="76" t="s">
        <v>154</v>
      </c>
      <c r="B379" s="76"/>
      <c r="C379" s="76"/>
      <c r="D379" s="55">
        <f>IFERROR(SUM(D7:D17),"")</f>
        <v>18417</v>
      </c>
      <c r="E379" s="55">
        <f>IFERROR(E18+E30+E42+E54+E66+E78+E90+E102+E114+E126+E138+E150+E162+E174+E186+E198+E210+E222+E234+E246+E258+E270+E282+E294+E306+E318+E330+E342+E354+E366+E378,"")</f>
        <v>30864</v>
      </c>
      <c r="F379" s="55">
        <f>IFERROR(F18+F30+F42+F54+F66+F78+F90+F102+F114+F126+F138+F150+F162+F174+F186+F198+F210+F222+F234+F246+F258+F270+F282+F294+F306+F318+F330+F342+F354+F366+F378,"")</f>
        <v>23560</v>
      </c>
      <c r="G379" s="55">
        <f>IFERROR(G378,"")</f>
        <v>25721</v>
      </c>
    </row>
  </sheetData>
  <mergeCells count="96">
    <mergeCell ref="A378:C378"/>
    <mergeCell ref="A379:C379"/>
    <mergeCell ref="A354:C354"/>
    <mergeCell ref="A355:A365"/>
    <mergeCell ref="B355:B365"/>
    <mergeCell ref="A366:C366"/>
    <mergeCell ref="A367:A377"/>
    <mergeCell ref="B367:B377"/>
    <mergeCell ref="A330:C330"/>
    <mergeCell ref="A331:A341"/>
    <mergeCell ref="B331:B341"/>
    <mergeCell ref="A342:C342"/>
    <mergeCell ref="A343:A353"/>
    <mergeCell ref="B343:B35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G367"/>
  <sheetViews>
    <sheetView zoomScaleNormal="100" workbookViewId="0">
      <pane ySplit="6" topLeftCell="A364" activePane="bottomLeft" state="frozen"/>
      <selection pane="bottomLeft" activeCell="A7" sqref="A7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155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1">
        <v>46113</v>
      </c>
      <c r="B7" s="72" t="s">
        <v>53</v>
      </c>
      <c r="C7" s="48" t="s">
        <v>26</v>
      </c>
      <c r="D7" s="49">
        <f>'Mar 2026'!G367</f>
        <v>2759</v>
      </c>
      <c r="E7" s="50">
        <v>94</v>
      </c>
      <c r="F7" s="51">
        <v>61</v>
      </c>
      <c r="G7" s="52">
        <f>IFERROR(D7+E7-F7,"")</f>
        <v>2792</v>
      </c>
    </row>
    <row r="8" spans="1:7" ht="21.75" customHeight="1">
      <c r="A8" s="71"/>
      <c r="B8" s="71"/>
      <c r="C8" s="48" t="s">
        <v>27</v>
      </c>
      <c r="D8" s="49">
        <f>'Mar 2026'!G368</f>
        <v>2010</v>
      </c>
      <c r="E8" s="50">
        <v>117</v>
      </c>
      <c r="F8" s="51">
        <v>89</v>
      </c>
      <c r="G8" s="52">
        <f>IFERROR(D8+E8-F8,"")</f>
        <v>2038</v>
      </c>
    </row>
    <row r="9" spans="1:7" ht="21.75" customHeight="1">
      <c r="A9" s="71"/>
      <c r="B9" s="71"/>
      <c r="C9" s="48" t="s">
        <v>30</v>
      </c>
      <c r="D9" s="49">
        <f>'Mar 2026'!G369</f>
        <v>3174</v>
      </c>
      <c r="E9" s="50">
        <v>121</v>
      </c>
      <c r="F9" s="51">
        <v>79</v>
      </c>
      <c r="G9" s="52">
        <f>IFERROR(D9+E9-F9,"")</f>
        <v>3216</v>
      </c>
    </row>
    <row r="10" spans="1:7" ht="21.75" customHeight="1">
      <c r="A10" s="71"/>
      <c r="B10" s="71"/>
      <c r="C10" s="48" t="s">
        <v>32</v>
      </c>
      <c r="D10" s="49">
        <f>'Mar 2026'!G370</f>
        <v>1507</v>
      </c>
      <c r="E10" s="50">
        <v>68</v>
      </c>
      <c r="F10" s="51">
        <v>62</v>
      </c>
      <c r="G10" s="52">
        <f>IFERROR(D10+E10-F10,"")</f>
        <v>1513</v>
      </c>
    </row>
    <row r="11" spans="1:7" ht="21.75" customHeight="1">
      <c r="A11" s="71"/>
      <c r="B11" s="71"/>
      <c r="C11" s="48" t="s">
        <v>34</v>
      </c>
      <c r="D11" s="49">
        <f>'Mar 2026'!G371</f>
        <v>3148</v>
      </c>
      <c r="E11" s="50">
        <v>113</v>
      </c>
      <c r="F11" s="51">
        <v>91</v>
      </c>
      <c r="G11" s="52">
        <f>IFERROR(D11+E11-F11,"")</f>
        <v>3170</v>
      </c>
    </row>
    <row r="12" spans="1:7" ht="21.75" customHeight="1">
      <c r="A12" s="71"/>
      <c r="B12" s="71"/>
      <c r="C12" s="48" t="s">
        <v>25</v>
      </c>
      <c r="D12" s="49">
        <f>'Mar 2026'!G372</f>
        <v>1798</v>
      </c>
      <c r="E12" s="50">
        <v>97</v>
      </c>
      <c r="F12" s="51">
        <v>82</v>
      </c>
      <c r="G12" s="52">
        <f>IFERROR(D12+E12-F12,"")</f>
        <v>1813</v>
      </c>
    </row>
    <row r="13" spans="1:7" ht="21.75" customHeight="1">
      <c r="A13" s="71"/>
      <c r="B13" s="71"/>
      <c r="C13" s="48" t="s">
        <v>35</v>
      </c>
      <c r="D13" s="49">
        <f>'Mar 2026'!G373</f>
        <v>1897</v>
      </c>
      <c r="E13" s="50">
        <v>86</v>
      </c>
      <c r="F13" s="51">
        <v>79</v>
      </c>
      <c r="G13" s="52">
        <f>IFERROR(D13+E13-F13,"")</f>
        <v>1904</v>
      </c>
    </row>
    <row r="14" spans="1:7" ht="21.75" customHeight="1">
      <c r="A14" s="71"/>
      <c r="B14" s="71"/>
      <c r="C14" s="48" t="s">
        <v>29</v>
      </c>
      <c r="D14" s="49">
        <f>'Mar 2026'!G374</f>
        <v>2211</v>
      </c>
      <c r="E14" s="50">
        <v>92</v>
      </c>
      <c r="F14" s="51">
        <v>61</v>
      </c>
      <c r="G14" s="52">
        <f>IFERROR(D14+E14-F14,"")</f>
        <v>2242</v>
      </c>
    </row>
    <row r="15" spans="1:7" ht="21.75" customHeight="1">
      <c r="A15" s="71"/>
      <c r="B15" s="71"/>
      <c r="C15" s="48" t="s">
        <v>31</v>
      </c>
      <c r="D15" s="49">
        <f>'Mar 2026'!G375</f>
        <v>2741</v>
      </c>
      <c r="E15" s="50">
        <v>88</v>
      </c>
      <c r="F15" s="51">
        <v>58</v>
      </c>
      <c r="G15" s="52">
        <f>IFERROR(D15+E15-F15,"")</f>
        <v>2771</v>
      </c>
    </row>
    <row r="16" spans="1:7" ht="21.75" customHeight="1">
      <c r="A16" s="71"/>
      <c r="B16" s="71"/>
      <c r="C16" s="48" t="s">
        <v>33</v>
      </c>
      <c r="D16" s="49">
        <f>'Mar 2026'!G376</f>
        <v>1076</v>
      </c>
      <c r="E16" s="50">
        <v>68</v>
      </c>
      <c r="F16" s="51">
        <v>56</v>
      </c>
      <c r="G16" s="52">
        <f>IFERROR(D16+E16-F16,"")</f>
        <v>1088</v>
      </c>
    </row>
    <row r="17" spans="1:7" ht="21.75" customHeight="1">
      <c r="A17" s="71"/>
      <c r="B17" s="71"/>
      <c r="C17" s="48" t="s">
        <v>36</v>
      </c>
      <c r="D17" s="49">
        <f>'Mar 2026'!G377</f>
        <v>3400</v>
      </c>
      <c r="E17" s="50">
        <v>159</v>
      </c>
      <c r="F17" s="51">
        <v>97</v>
      </c>
      <c r="G17" s="52">
        <f>IFERROR(D17+E17-F17,"")</f>
        <v>3462</v>
      </c>
    </row>
    <row r="18" spans="1:7" ht="21.75" customHeight="1">
      <c r="A18" s="73" t="s">
        <v>156</v>
      </c>
      <c r="B18" s="73"/>
      <c r="C18" s="73"/>
      <c r="D18" s="53">
        <f>IFERROR(SUM(D7:D17),"")</f>
        <v>25721</v>
      </c>
      <c r="E18" s="53">
        <f>IFERROR(SUM(E7:E17),"")</f>
        <v>1103</v>
      </c>
      <c r="F18" s="53">
        <f>IFERROR(SUM(F7:F17),"")</f>
        <v>815</v>
      </c>
      <c r="G18" s="53">
        <f>IFERROR(SUM(G7:G17),"")</f>
        <v>26009</v>
      </c>
    </row>
    <row r="19" spans="1:7" ht="21.75" customHeight="1">
      <c r="A19" s="71">
        <v>46114</v>
      </c>
      <c r="B19" s="72" t="s">
        <v>45</v>
      </c>
      <c r="C19" s="48" t="s">
        <v>26</v>
      </c>
      <c r="D19" s="54">
        <f>G7</f>
        <v>2792</v>
      </c>
      <c r="E19" s="50">
        <v>80</v>
      </c>
      <c r="F19" s="51">
        <v>57</v>
      </c>
      <c r="G19" s="52">
        <f>IFERROR(D19+E19-F19,"")</f>
        <v>2815</v>
      </c>
    </row>
    <row r="20" spans="1:7" ht="21.75" customHeight="1">
      <c r="A20" s="71"/>
      <c r="B20" s="71"/>
      <c r="C20" s="48" t="s">
        <v>27</v>
      </c>
      <c r="D20" s="54">
        <f>G8</f>
        <v>2038</v>
      </c>
      <c r="E20" s="50">
        <v>114</v>
      </c>
      <c r="F20" s="51">
        <v>92</v>
      </c>
      <c r="G20" s="52">
        <f>IFERROR(D20+E20-F20,"")</f>
        <v>2060</v>
      </c>
    </row>
    <row r="21" spans="1:7" ht="21.75" customHeight="1">
      <c r="A21" s="71"/>
      <c r="B21" s="71"/>
      <c r="C21" s="48" t="s">
        <v>30</v>
      </c>
      <c r="D21" s="54">
        <f>G9</f>
        <v>3216</v>
      </c>
      <c r="E21" s="50">
        <v>133</v>
      </c>
      <c r="F21" s="51">
        <v>87</v>
      </c>
      <c r="G21" s="52">
        <f>IFERROR(D21+E21-F21,"")</f>
        <v>3262</v>
      </c>
    </row>
    <row r="22" spans="1:7" ht="21.75" customHeight="1">
      <c r="A22" s="71"/>
      <c r="B22" s="71"/>
      <c r="C22" s="48" t="s">
        <v>32</v>
      </c>
      <c r="D22" s="54">
        <f>G10</f>
        <v>1513</v>
      </c>
      <c r="E22" s="50">
        <v>69</v>
      </c>
      <c r="F22" s="51">
        <v>54</v>
      </c>
      <c r="G22" s="52">
        <f>IFERROR(D22+E22-F22,"")</f>
        <v>1528</v>
      </c>
    </row>
    <row r="23" spans="1:7" ht="21.75" customHeight="1">
      <c r="A23" s="71"/>
      <c r="B23" s="71"/>
      <c r="C23" s="48" t="s">
        <v>34</v>
      </c>
      <c r="D23" s="54">
        <f>G11</f>
        <v>3170</v>
      </c>
      <c r="E23" s="50">
        <v>143</v>
      </c>
      <c r="F23" s="51">
        <v>91</v>
      </c>
      <c r="G23" s="52">
        <f>IFERROR(D23+E23-F23,"")</f>
        <v>3222</v>
      </c>
    </row>
    <row r="24" spans="1:7" ht="21.75" customHeight="1">
      <c r="A24" s="71"/>
      <c r="B24" s="71"/>
      <c r="C24" s="48" t="s">
        <v>25</v>
      </c>
      <c r="D24" s="54">
        <f>G12</f>
        <v>1813</v>
      </c>
      <c r="E24" s="50">
        <v>55</v>
      </c>
      <c r="F24" s="51">
        <v>43</v>
      </c>
      <c r="G24" s="52">
        <f>IFERROR(D24+E24-F24,"")</f>
        <v>1825</v>
      </c>
    </row>
    <row r="25" spans="1:7" ht="21.75" customHeight="1">
      <c r="A25" s="71"/>
      <c r="B25" s="71"/>
      <c r="C25" s="48" t="s">
        <v>35</v>
      </c>
      <c r="D25" s="54">
        <f>G13</f>
        <v>1904</v>
      </c>
      <c r="E25" s="50">
        <v>87</v>
      </c>
      <c r="F25" s="51">
        <v>73</v>
      </c>
      <c r="G25" s="52">
        <f>IFERROR(D25+E25-F25,"")</f>
        <v>1918</v>
      </c>
    </row>
    <row r="26" spans="1:7" ht="21.75" customHeight="1">
      <c r="A26" s="71"/>
      <c r="B26" s="71"/>
      <c r="C26" s="48" t="s">
        <v>29</v>
      </c>
      <c r="D26" s="54">
        <f>G14</f>
        <v>2242</v>
      </c>
      <c r="E26" s="50">
        <v>119</v>
      </c>
      <c r="F26" s="51">
        <v>89</v>
      </c>
      <c r="G26" s="52">
        <f>IFERROR(D26+E26-F26,"")</f>
        <v>2272</v>
      </c>
    </row>
    <row r="27" spans="1:7" ht="21.75" customHeight="1">
      <c r="A27" s="71"/>
      <c r="B27" s="71"/>
      <c r="C27" s="48" t="s">
        <v>31</v>
      </c>
      <c r="D27" s="54">
        <f>G15</f>
        <v>2771</v>
      </c>
      <c r="E27" s="50">
        <v>118</v>
      </c>
      <c r="F27" s="51">
        <v>76</v>
      </c>
      <c r="G27" s="52">
        <f>IFERROR(D27+E27-F27,"")</f>
        <v>2813</v>
      </c>
    </row>
    <row r="28" spans="1:7" ht="21.75" customHeight="1">
      <c r="A28" s="71"/>
      <c r="B28" s="71"/>
      <c r="C28" s="48" t="s">
        <v>33</v>
      </c>
      <c r="D28" s="54">
        <f>G16</f>
        <v>1088</v>
      </c>
      <c r="E28" s="50">
        <v>101</v>
      </c>
      <c r="F28" s="51">
        <v>92</v>
      </c>
      <c r="G28" s="52">
        <f>IFERROR(D28+E28-F28,"")</f>
        <v>1097</v>
      </c>
    </row>
    <row r="29" spans="1:7" ht="21.75" customHeight="1">
      <c r="A29" s="71"/>
      <c r="B29" s="71"/>
      <c r="C29" s="48" t="s">
        <v>36</v>
      </c>
      <c r="D29" s="54">
        <f>G17</f>
        <v>3462</v>
      </c>
      <c r="E29" s="50">
        <v>163</v>
      </c>
      <c r="F29" s="51">
        <v>106</v>
      </c>
      <c r="G29" s="52">
        <f>IFERROR(D29+E29-F29,"")</f>
        <v>3519</v>
      </c>
    </row>
    <row r="30" spans="1:7" ht="21.75" customHeight="1">
      <c r="A30" s="73" t="s">
        <v>157</v>
      </c>
      <c r="B30" s="73"/>
      <c r="C30" s="73"/>
      <c r="D30" s="53">
        <f>IFERROR(SUM(D19:D29),"")</f>
        <v>26009</v>
      </c>
      <c r="E30" s="53">
        <f>IFERROR(SUM(E19:E29),"")</f>
        <v>1182</v>
      </c>
      <c r="F30" s="53">
        <f>IFERROR(SUM(F19:F29),"")</f>
        <v>860</v>
      </c>
      <c r="G30" s="53">
        <f>IFERROR(SUM(G19:G29),"")</f>
        <v>26331</v>
      </c>
    </row>
    <row r="31" spans="1:7" ht="21.75" customHeight="1">
      <c r="A31" s="71">
        <v>46115</v>
      </c>
      <c r="B31" s="72" t="s">
        <v>47</v>
      </c>
      <c r="C31" s="48" t="s">
        <v>26</v>
      </c>
      <c r="D31" s="54">
        <f>G19</f>
        <v>2815</v>
      </c>
      <c r="E31" s="50">
        <v>88</v>
      </c>
      <c r="F31" s="51">
        <v>58</v>
      </c>
      <c r="G31" s="52">
        <f>IFERROR(D31+E31-F31,"")</f>
        <v>2845</v>
      </c>
    </row>
    <row r="32" spans="1:7" ht="21.75" customHeight="1">
      <c r="A32" s="71"/>
      <c r="B32" s="71"/>
      <c r="C32" s="48" t="s">
        <v>27</v>
      </c>
      <c r="D32" s="54">
        <f>G20</f>
        <v>2060</v>
      </c>
      <c r="E32" s="50">
        <v>112</v>
      </c>
      <c r="F32" s="51">
        <v>85</v>
      </c>
      <c r="G32" s="52">
        <f>IFERROR(D32+E32-F32,"")</f>
        <v>2087</v>
      </c>
    </row>
    <row r="33" spans="1:7" ht="21.75" customHeight="1">
      <c r="A33" s="71"/>
      <c r="B33" s="71"/>
      <c r="C33" s="48" t="s">
        <v>30</v>
      </c>
      <c r="D33" s="54">
        <f>G21</f>
        <v>3262</v>
      </c>
      <c r="E33" s="50">
        <v>127</v>
      </c>
      <c r="F33" s="51">
        <v>78</v>
      </c>
      <c r="G33" s="52">
        <f>IFERROR(D33+E33-F33,"")</f>
        <v>3311</v>
      </c>
    </row>
    <row r="34" spans="1:7" ht="21.75" customHeight="1">
      <c r="A34" s="71"/>
      <c r="B34" s="71"/>
      <c r="C34" s="48" t="s">
        <v>32</v>
      </c>
      <c r="D34" s="54">
        <f>G22</f>
        <v>1528</v>
      </c>
      <c r="E34" s="50">
        <v>114</v>
      </c>
      <c r="F34" s="51">
        <v>92</v>
      </c>
      <c r="G34" s="52">
        <f>IFERROR(D34+E34-F34,"")</f>
        <v>1550</v>
      </c>
    </row>
    <row r="35" spans="1:7" ht="21.75" customHeight="1">
      <c r="A35" s="71"/>
      <c r="B35" s="71"/>
      <c r="C35" s="48" t="s">
        <v>34</v>
      </c>
      <c r="D35" s="54">
        <f>G23</f>
        <v>3222</v>
      </c>
      <c r="E35" s="50">
        <v>112</v>
      </c>
      <c r="F35" s="51">
        <v>81</v>
      </c>
      <c r="G35" s="52">
        <f>IFERROR(D35+E35-F35,"")</f>
        <v>3253</v>
      </c>
    </row>
    <row r="36" spans="1:7" ht="21.75" customHeight="1">
      <c r="A36" s="71"/>
      <c r="B36" s="71"/>
      <c r="C36" s="48" t="s">
        <v>25</v>
      </c>
      <c r="D36" s="54">
        <f>G24</f>
        <v>1825</v>
      </c>
      <c r="E36" s="50">
        <v>67</v>
      </c>
      <c r="F36" s="51">
        <v>52</v>
      </c>
      <c r="G36" s="52">
        <f>IFERROR(D36+E36-F36,"")</f>
        <v>1840</v>
      </c>
    </row>
    <row r="37" spans="1:7" ht="21.75" customHeight="1">
      <c r="A37" s="71"/>
      <c r="B37" s="71"/>
      <c r="C37" s="48" t="s">
        <v>35</v>
      </c>
      <c r="D37" s="54">
        <f>G25</f>
        <v>1918</v>
      </c>
      <c r="E37" s="50">
        <v>121</v>
      </c>
      <c r="F37" s="51">
        <v>92</v>
      </c>
      <c r="G37" s="52">
        <f>IFERROR(D37+E37-F37,"")</f>
        <v>1947</v>
      </c>
    </row>
    <row r="38" spans="1:7" ht="21.75" customHeight="1">
      <c r="A38" s="71"/>
      <c r="B38" s="71"/>
      <c r="C38" s="48" t="s">
        <v>29</v>
      </c>
      <c r="D38" s="54">
        <f>G26</f>
        <v>2272</v>
      </c>
      <c r="E38" s="50">
        <v>88</v>
      </c>
      <c r="F38" s="51">
        <v>69</v>
      </c>
      <c r="G38" s="52">
        <f>IFERROR(D38+E38-F38,"")</f>
        <v>2291</v>
      </c>
    </row>
    <row r="39" spans="1:7" ht="21.75" customHeight="1">
      <c r="A39" s="71"/>
      <c r="B39" s="71"/>
      <c r="C39" s="48" t="s">
        <v>31</v>
      </c>
      <c r="D39" s="54">
        <f>G27</f>
        <v>2813</v>
      </c>
      <c r="E39" s="50">
        <v>111</v>
      </c>
      <c r="F39" s="51">
        <v>92</v>
      </c>
      <c r="G39" s="52">
        <f>IFERROR(D39+E39-F39,"")</f>
        <v>2832</v>
      </c>
    </row>
    <row r="40" spans="1:7" ht="21.75" customHeight="1">
      <c r="A40" s="71"/>
      <c r="B40" s="71"/>
      <c r="C40" s="48" t="s">
        <v>33</v>
      </c>
      <c r="D40" s="54">
        <f>G28</f>
        <v>1097</v>
      </c>
      <c r="E40" s="50">
        <v>72</v>
      </c>
      <c r="F40" s="51">
        <v>67</v>
      </c>
      <c r="G40" s="52">
        <f>IFERROR(D40+E40-F40,"")</f>
        <v>1102</v>
      </c>
    </row>
    <row r="41" spans="1:7" ht="21.75" customHeight="1">
      <c r="A41" s="71"/>
      <c r="B41" s="71"/>
      <c r="C41" s="48" t="s">
        <v>36</v>
      </c>
      <c r="D41" s="54">
        <f>G29</f>
        <v>3519</v>
      </c>
      <c r="E41" s="50">
        <v>104</v>
      </c>
      <c r="F41" s="51">
        <v>82</v>
      </c>
      <c r="G41" s="52">
        <f>IFERROR(D41+E41-F41,"")</f>
        <v>3541</v>
      </c>
    </row>
    <row r="42" spans="1:7" ht="21.75" customHeight="1">
      <c r="A42" s="73" t="s">
        <v>158</v>
      </c>
      <c r="B42" s="73"/>
      <c r="C42" s="73"/>
      <c r="D42" s="53">
        <f>IFERROR(SUM(D31:D41),"")</f>
        <v>26331</v>
      </c>
      <c r="E42" s="53">
        <f>IFERROR(SUM(E31:E41),"")</f>
        <v>1116</v>
      </c>
      <c r="F42" s="53">
        <f>IFERROR(SUM(F31:F41),"")</f>
        <v>848</v>
      </c>
      <c r="G42" s="53">
        <f>IFERROR(SUM(G31:G41),"")</f>
        <v>26599</v>
      </c>
    </row>
    <row r="43" spans="1:7" ht="21.75" customHeight="1">
      <c r="A43" s="74">
        <v>46116</v>
      </c>
      <c r="B43" s="75" t="s">
        <v>48</v>
      </c>
      <c r="C43" s="48" t="s">
        <v>26</v>
      </c>
      <c r="D43" s="54">
        <f>G31</f>
        <v>2845</v>
      </c>
      <c r="E43" s="50">
        <v>67</v>
      </c>
      <c r="F43" s="51">
        <v>46</v>
      </c>
      <c r="G43" s="52">
        <f>IFERROR(D43+E43-F43,"")</f>
        <v>2866</v>
      </c>
    </row>
    <row r="44" spans="1:7" ht="21.75" customHeight="1">
      <c r="A44" s="74"/>
      <c r="B44" s="74"/>
      <c r="C44" s="48" t="s">
        <v>27</v>
      </c>
      <c r="D44" s="54">
        <f>G32</f>
        <v>2087</v>
      </c>
      <c r="E44" s="50">
        <v>48</v>
      </c>
      <c r="F44" s="51">
        <v>33</v>
      </c>
      <c r="G44" s="52">
        <f>IFERROR(D44+E44-F44,"")</f>
        <v>2102</v>
      </c>
    </row>
    <row r="45" spans="1:7" ht="21.75" customHeight="1">
      <c r="A45" s="74"/>
      <c r="B45" s="74"/>
      <c r="C45" s="48" t="s">
        <v>30</v>
      </c>
      <c r="D45" s="54">
        <f>G33</f>
        <v>3311</v>
      </c>
      <c r="E45" s="50">
        <v>50</v>
      </c>
      <c r="F45" s="51">
        <v>30</v>
      </c>
      <c r="G45" s="52">
        <f>IFERROR(D45+E45-F45,"")</f>
        <v>3331</v>
      </c>
    </row>
    <row r="46" spans="1:7" ht="21.75" customHeight="1">
      <c r="A46" s="74"/>
      <c r="B46" s="74"/>
      <c r="C46" s="48" t="s">
        <v>32</v>
      </c>
      <c r="D46" s="54">
        <f>G34</f>
        <v>1550</v>
      </c>
      <c r="E46" s="50">
        <v>44</v>
      </c>
      <c r="F46" s="51">
        <v>39</v>
      </c>
      <c r="G46" s="52">
        <f>IFERROR(D46+E46-F46,"")</f>
        <v>1555</v>
      </c>
    </row>
    <row r="47" spans="1:7" ht="21.75" customHeight="1">
      <c r="A47" s="74"/>
      <c r="B47" s="74"/>
      <c r="C47" s="48" t="s">
        <v>34</v>
      </c>
      <c r="D47" s="54">
        <f>G35</f>
        <v>3253</v>
      </c>
      <c r="E47" s="50">
        <v>57</v>
      </c>
      <c r="F47" s="51">
        <v>36</v>
      </c>
      <c r="G47" s="52">
        <f>IFERROR(D47+E47-F47,"")</f>
        <v>3274</v>
      </c>
    </row>
    <row r="48" spans="1:7" ht="21.75" customHeight="1">
      <c r="A48" s="74"/>
      <c r="B48" s="74"/>
      <c r="C48" s="48" t="s">
        <v>25</v>
      </c>
      <c r="D48" s="54">
        <f>G36</f>
        <v>1840</v>
      </c>
      <c r="E48" s="50">
        <v>33</v>
      </c>
      <c r="F48" s="51">
        <v>27</v>
      </c>
      <c r="G48" s="52">
        <f>IFERROR(D48+E48-F48,"")</f>
        <v>1846</v>
      </c>
    </row>
    <row r="49" spans="1:7" ht="21.75" customHeight="1">
      <c r="A49" s="74"/>
      <c r="B49" s="74"/>
      <c r="C49" s="48" t="s">
        <v>35</v>
      </c>
      <c r="D49" s="54">
        <f>G37</f>
        <v>1947</v>
      </c>
      <c r="E49" s="50">
        <v>43</v>
      </c>
      <c r="F49" s="51">
        <v>37</v>
      </c>
      <c r="G49" s="52">
        <f>IFERROR(D49+E49-F49,"")</f>
        <v>1953</v>
      </c>
    </row>
    <row r="50" spans="1:7" ht="21.75" customHeight="1">
      <c r="A50" s="74"/>
      <c r="B50" s="74"/>
      <c r="C50" s="48" t="s">
        <v>29</v>
      </c>
      <c r="D50" s="54">
        <f>G38</f>
        <v>2291</v>
      </c>
      <c r="E50" s="50">
        <v>51</v>
      </c>
      <c r="F50" s="51">
        <v>43</v>
      </c>
      <c r="G50" s="52">
        <f>IFERROR(D50+E50-F50,"")</f>
        <v>2299</v>
      </c>
    </row>
    <row r="51" spans="1:7" ht="21.75" customHeight="1">
      <c r="A51" s="74"/>
      <c r="B51" s="74"/>
      <c r="C51" s="48" t="s">
        <v>31</v>
      </c>
      <c r="D51" s="54">
        <f>G39</f>
        <v>2832</v>
      </c>
      <c r="E51" s="50">
        <v>63</v>
      </c>
      <c r="F51" s="51">
        <v>42</v>
      </c>
      <c r="G51" s="52">
        <f>IFERROR(D51+E51-F51,"")</f>
        <v>2853</v>
      </c>
    </row>
    <row r="52" spans="1:7" ht="21.75" customHeight="1">
      <c r="A52" s="74"/>
      <c r="B52" s="74"/>
      <c r="C52" s="48" t="s">
        <v>33</v>
      </c>
      <c r="D52" s="54">
        <f>G40</f>
        <v>1102</v>
      </c>
      <c r="E52" s="50">
        <v>30</v>
      </c>
      <c r="F52" s="51">
        <v>24</v>
      </c>
      <c r="G52" s="52">
        <f>IFERROR(D52+E52-F52,"")</f>
        <v>1108</v>
      </c>
    </row>
    <row r="53" spans="1:7" ht="21.75" customHeight="1">
      <c r="A53" s="74"/>
      <c r="B53" s="74"/>
      <c r="C53" s="48" t="s">
        <v>36</v>
      </c>
      <c r="D53" s="54">
        <f>G41</f>
        <v>3541</v>
      </c>
      <c r="E53" s="50">
        <v>53</v>
      </c>
      <c r="F53" s="51">
        <v>40</v>
      </c>
      <c r="G53" s="52">
        <f>IFERROR(D53+E53-F53,"")</f>
        <v>3554</v>
      </c>
    </row>
    <row r="54" spans="1:7" ht="21.75" customHeight="1">
      <c r="A54" s="73" t="s">
        <v>159</v>
      </c>
      <c r="B54" s="73"/>
      <c r="C54" s="73"/>
      <c r="D54" s="53">
        <f>IFERROR(SUM(D43:D53),"")</f>
        <v>26599</v>
      </c>
      <c r="E54" s="53">
        <f>IFERROR(SUM(E43:E53),"")</f>
        <v>539</v>
      </c>
      <c r="F54" s="53">
        <f>IFERROR(SUM(F43:F53),"")</f>
        <v>397</v>
      </c>
      <c r="G54" s="53">
        <f>IFERROR(SUM(G43:G53),"")</f>
        <v>26741</v>
      </c>
    </row>
    <row r="55" spans="1:7" ht="21.75" customHeight="1">
      <c r="A55" s="74">
        <v>46117</v>
      </c>
      <c r="B55" s="75" t="s">
        <v>50</v>
      </c>
      <c r="C55" s="48" t="s">
        <v>26</v>
      </c>
      <c r="D55" s="54">
        <f>G43</f>
        <v>2866</v>
      </c>
      <c r="E55" s="50">
        <v>64</v>
      </c>
      <c r="F55" s="51">
        <v>48</v>
      </c>
      <c r="G55" s="52">
        <f>IFERROR(D55+E55-F55,"")</f>
        <v>2882</v>
      </c>
    </row>
    <row r="56" spans="1:7" ht="21.75" customHeight="1">
      <c r="A56" s="74"/>
      <c r="B56" s="74"/>
      <c r="C56" s="48" t="s">
        <v>27</v>
      </c>
      <c r="D56" s="54">
        <f>G44</f>
        <v>2102</v>
      </c>
      <c r="E56" s="50">
        <v>33</v>
      </c>
      <c r="F56" s="51">
        <v>29</v>
      </c>
      <c r="G56" s="52">
        <f>IFERROR(D56+E56-F56,"")</f>
        <v>2106</v>
      </c>
    </row>
    <row r="57" spans="1:7" ht="21.75" customHeight="1">
      <c r="A57" s="74"/>
      <c r="B57" s="74"/>
      <c r="C57" s="48" t="s">
        <v>30</v>
      </c>
      <c r="D57" s="54">
        <f>G45</f>
        <v>3331</v>
      </c>
      <c r="E57" s="50">
        <v>39</v>
      </c>
      <c r="F57" s="51">
        <v>24</v>
      </c>
      <c r="G57" s="52">
        <f>IFERROR(D57+E57-F57,"")</f>
        <v>3346</v>
      </c>
    </row>
    <row r="58" spans="1:7" ht="21.75" customHeight="1">
      <c r="A58" s="74"/>
      <c r="B58" s="74"/>
      <c r="C58" s="48" t="s">
        <v>32</v>
      </c>
      <c r="D58" s="54">
        <f>G46</f>
        <v>1555</v>
      </c>
      <c r="E58" s="50">
        <v>33</v>
      </c>
      <c r="F58" s="51">
        <v>26</v>
      </c>
      <c r="G58" s="52">
        <f>IFERROR(D58+E58-F58,"")</f>
        <v>1562</v>
      </c>
    </row>
    <row r="59" spans="1:7" ht="21.75" customHeight="1">
      <c r="A59" s="74"/>
      <c r="B59" s="74"/>
      <c r="C59" s="48" t="s">
        <v>34</v>
      </c>
      <c r="D59" s="54">
        <f>G47</f>
        <v>3274</v>
      </c>
      <c r="E59" s="50">
        <v>90</v>
      </c>
      <c r="F59" s="51">
        <v>68</v>
      </c>
      <c r="G59" s="52">
        <f>IFERROR(D59+E59-F59,"")</f>
        <v>3296</v>
      </c>
    </row>
    <row r="60" spans="1:7" ht="21.75" customHeight="1">
      <c r="A60" s="74"/>
      <c r="B60" s="74"/>
      <c r="C60" s="48" t="s">
        <v>25</v>
      </c>
      <c r="D60" s="54">
        <f>G48</f>
        <v>1846</v>
      </c>
      <c r="E60" s="50">
        <v>24</v>
      </c>
      <c r="F60" s="51">
        <v>19</v>
      </c>
      <c r="G60" s="52">
        <f>IFERROR(D60+E60-F60,"")</f>
        <v>1851</v>
      </c>
    </row>
    <row r="61" spans="1:7" ht="21.75" customHeight="1">
      <c r="A61" s="74"/>
      <c r="B61" s="74"/>
      <c r="C61" s="48" t="s">
        <v>35</v>
      </c>
      <c r="D61" s="54">
        <f>G49</f>
        <v>1953</v>
      </c>
      <c r="E61" s="50">
        <v>54</v>
      </c>
      <c r="F61" s="51">
        <v>47</v>
      </c>
      <c r="G61" s="52">
        <f>IFERROR(D61+E61-F61,"")</f>
        <v>1960</v>
      </c>
    </row>
    <row r="62" spans="1:7" ht="21.75" customHeight="1">
      <c r="A62" s="74"/>
      <c r="B62" s="74"/>
      <c r="C62" s="48" t="s">
        <v>29</v>
      </c>
      <c r="D62" s="54">
        <f>G50</f>
        <v>2299</v>
      </c>
      <c r="E62" s="50">
        <v>55</v>
      </c>
      <c r="F62" s="51">
        <v>44</v>
      </c>
      <c r="G62" s="52">
        <f>IFERROR(D62+E62-F62,"")</f>
        <v>2310</v>
      </c>
    </row>
    <row r="63" spans="1:7" ht="21.75" customHeight="1">
      <c r="A63" s="74"/>
      <c r="B63" s="74"/>
      <c r="C63" s="48" t="s">
        <v>31</v>
      </c>
      <c r="D63" s="54">
        <f>G51</f>
        <v>2853</v>
      </c>
      <c r="E63" s="50">
        <v>50</v>
      </c>
      <c r="F63" s="51">
        <v>40</v>
      </c>
      <c r="G63" s="52">
        <f>IFERROR(D63+E63-F63,"")</f>
        <v>2863</v>
      </c>
    </row>
    <row r="64" spans="1:7" ht="21.75" customHeight="1">
      <c r="A64" s="74"/>
      <c r="B64" s="74"/>
      <c r="C64" s="48" t="s">
        <v>33</v>
      </c>
      <c r="D64" s="54">
        <f>G52</f>
        <v>1108</v>
      </c>
      <c r="E64" s="50">
        <v>49</v>
      </c>
      <c r="F64" s="51">
        <v>38</v>
      </c>
      <c r="G64" s="52">
        <f>IFERROR(D64+E64-F64,"")</f>
        <v>1119</v>
      </c>
    </row>
    <row r="65" spans="1:7" ht="21.75" customHeight="1">
      <c r="A65" s="74"/>
      <c r="B65" s="74"/>
      <c r="C65" s="48" t="s">
        <v>36</v>
      </c>
      <c r="D65" s="54">
        <f>G53</f>
        <v>3554</v>
      </c>
      <c r="E65" s="50">
        <v>81</v>
      </c>
      <c r="F65" s="51">
        <v>52</v>
      </c>
      <c r="G65" s="52">
        <f>IFERROR(D65+E65-F65,"")</f>
        <v>3583</v>
      </c>
    </row>
    <row r="66" spans="1:7" ht="21.75" customHeight="1">
      <c r="A66" s="73" t="s">
        <v>160</v>
      </c>
      <c r="B66" s="73"/>
      <c r="C66" s="73"/>
      <c r="D66" s="53">
        <f>IFERROR(SUM(D55:D65),"")</f>
        <v>26741</v>
      </c>
      <c r="E66" s="53">
        <f>IFERROR(SUM(E55:E65),"")</f>
        <v>572</v>
      </c>
      <c r="F66" s="53">
        <f>IFERROR(SUM(F55:F65),"")</f>
        <v>435</v>
      </c>
      <c r="G66" s="53">
        <f>IFERROR(SUM(G55:G65),"")</f>
        <v>26878</v>
      </c>
    </row>
    <row r="67" spans="1:7" ht="21.75" customHeight="1">
      <c r="A67" s="71">
        <v>46118</v>
      </c>
      <c r="B67" s="72" t="s">
        <v>51</v>
      </c>
      <c r="C67" s="48" t="s">
        <v>26</v>
      </c>
      <c r="D67" s="54">
        <f>G55</f>
        <v>2882</v>
      </c>
      <c r="E67" s="50">
        <v>100</v>
      </c>
      <c r="F67" s="51">
        <v>79</v>
      </c>
      <c r="G67" s="52">
        <f>IFERROR(D67+E67-F67,"")</f>
        <v>2903</v>
      </c>
    </row>
    <row r="68" spans="1:7" ht="21.75" customHeight="1">
      <c r="A68" s="71"/>
      <c r="B68" s="71"/>
      <c r="C68" s="48" t="s">
        <v>27</v>
      </c>
      <c r="D68" s="54">
        <f>G56</f>
        <v>2106</v>
      </c>
      <c r="E68" s="50">
        <v>70</v>
      </c>
      <c r="F68" s="51">
        <v>60</v>
      </c>
      <c r="G68" s="52">
        <f>IFERROR(D68+E68-F68,"")</f>
        <v>2116</v>
      </c>
    </row>
    <row r="69" spans="1:7" ht="21.75" customHeight="1">
      <c r="A69" s="71"/>
      <c r="B69" s="71"/>
      <c r="C69" s="48" t="s">
        <v>30</v>
      </c>
      <c r="D69" s="54">
        <f>G57</f>
        <v>3346</v>
      </c>
      <c r="E69" s="50">
        <v>123</v>
      </c>
      <c r="F69" s="51">
        <v>89</v>
      </c>
      <c r="G69" s="52">
        <f>IFERROR(D69+E69-F69,"")</f>
        <v>3380</v>
      </c>
    </row>
    <row r="70" spans="1:7" ht="21.75" customHeight="1">
      <c r="A70" s="71"/>
      <c r="B70" s="71"/>
      <c r="C70" s="48" t="s">
        <v>32</v>
      </c>
      <c r="D70" s="54">
        <f>G58</f>
        <v>1562</v>
      </c>
      <c r="E70" s="50">
        <v>108</v>
      </c>
      <c r="F70" s="51">
        <v>86</v>
      </c>
      <c r="G70" s="52">
        <f>IFERROR(D70+E70-F70,"")</f>
        <v>1584</v>
      </c>
    </row>
    <row r="71" spans="1:7" ht="21.75" customHeight="1">
      <c r="A71" s="71"/>
      <c r="B71" s="71"/>
      <c r="C71" s="48" t="s">
        <v>34</v>
      </c>
      <c r="D71" s="54">
        <f>G59</f>
        <v>3296</v>
      </c>
      <c r="E71" s="50">
        <v>164</v>
      </c>
      <c r="F71" s="51">
        <v>107</v>
      </c>
      <c r="G71" s="52">
        <f>IFERROR(D71+E71-F71,"")</f>
        <v>3353</v>
      </c>
    </row>
    <row r="72" spans="1:7" ht="21.75" customHeight="1">
      <c r="A72" s="71"/>
      <c r="B72" s="71"/>
      <c r="C72" s="48" t="s">
        <v>25</v>
      </c>
      <c r="D72" s="54">
        <f>G60</f>
        <v>1851</v>
      </c>
      <c r="E72" s="50">
        <v>105</v>
      </c>
      <c r="F72" s="51">
        <v>91</v>
      </c>
      <c r="G72" s="52">
        <f>IFERROR(D72+E72-F72,"")</f>
        <v>1865</v>
      </c>
    </row>
    <row r="73" spans="1:7" ht="21.75" customHeight="1">
      <c r="A73" s="71"/>
      <c r="B73" s="71"/>
      <c r="C73" s="48" t="s">
        <v>35</v>
      </c>
      <c r="D73" s="54">
        <f>G61</f>
        <v>1960</v>
      </c>
      <c r="E73" s="50">
        <v>113</v>
      </c>
      <c r="F73" s="51">
        <v>101</v>
      </c>
      <c r="G73" s="52">
        <f>IFERROR(D73+E73-F73,"")</f>
        <v>1972</v>
      </c>
    </row>
    <row r="74" spans="1:7" ht="21.75" customHeight="1">
      <c r="A74" s="71"/>
      <c r="B74" s="71"/>
      <c r="C74" s="48" t="s">
        <v>29</v>
      </c>
      <c r="D74" s="54">
        <f>G62</f>
        <v>2310</v>
      </c>
      <c r="E74" s="50">
        <v>97</v>
      </c>
      <c r="F74" s="51">
        <v>83</v>
      </c>
      <c r="G74" s="52">
        <f>IFERROR(D74+E74-F74,"")</f>
        <v>2324</v>
      </c>
    </row>
    <row r="75" spans="1:7" ht="21.75" customHeight="1">
      <c r="A75" s="71"/>
      <c r="B75" s="71"/>
      <c r="C75" s="48" t="s">
        <v>31</v>
      </c>
      <c r="D75" s="54">
        <f>G63</f>
        <v>2863</v>
      </c>
      <c r="E75" s="50">
        <v>110</v>
      </c>
      <c r="F75" s="51">
        <v>74</v>
      </c>
      <c r="G75" s="52">
        <f>IFERROR(D75+E75-F75,"")</f>
        <v>2899</v>
      </c>
    </row>
    <row r="76" spans="1:7" ht="21.75" customHeight="1">
      <c r="A76" s="71"/>
      <c r="B76" s="71"/>
      <c r="C76" s="48" t="s">
        <v>33</v>
      </c>
      <c r="D76" s="54">
        <f>G64</f>
        <v>1119</v>
      </c>
      <c r="E76" s="50">
        <v>78</v>
      </c>
      <c r="F76" s="51">
        <v>65</v>
      </c>
      <c r="G76" s="52">
        <f>IFERROR(D76+E76-F76,"")</f>
        <v>1132</v>
      </c>
    </row>
    <row r="77" spans="1:7" ht="21.75" customHeight="1">
      <c r="A77" s="71"/>
      <c r="B77" s="71"/>
      <c r="C77" s="48" t="s">
        <v>36</v>
      </c>
      <c r="D77" s="54">
        <f>G65</f>
        <v>3583</v>
      </c>
      <c r="E77" s="50">
        <v>164</v>
      </c>
      <c r="F77" s="51">
        <v>100</v>
      </c>
      <c r="G77" s="52">
        <f>IFERROR(D77+E77-F77,"")</f>
        <v>3647</v>
      </c>
    </row>
    <row r="78" spans="1:7" ht="21.75" customHeight="1">
      <c r="A78" s="73" t="s">
        <v>161</v>
      </c>
      <c r="B78" s="73"/>
      <c r="C78" s="73"/>
      <c r="D78" s="53">
        <f>IFERROR(SUM(D67:D77),"")</f>
        <v>26878</v>
      </c>
      <c r="E78" s="53">
        <f>IFERROR(SUM(E67:E77),"")</f>
        <v>1232</v>
      </c>
      <c r="F78" s="53">
        <f>IFERROR(SUM(F67:F77),"")</f>
        <v>935</v>
      </c>
      <c r="G78" s="53">
        <f>IFERROR(SUM(G67:G77),"")</f>
        <v>27175</v>
      </c>
    </row>
    <row r="79" spans="1:7" ht="21.75" customHeight="1">
      <c r="A79" s="71">
        <v>46119</v>
      </c>
      <c r="B79" s="72" t="s">
        <v>52</v>
      </c>
      <c r="C79" s="48" t="s">
        <v>26</v>
      </c>
      <c r="D79" s="54">
        <f>G67</f>
        <v>2903</v>
      </c>
      <c r="E79" s="50">
        <v>110</v>
      </c>
      <c r="F79" s="51">
        <v>89</v>
      </c>
      <c r="G79" s="52">
        <f>IFERROR(D79+E79-F79,"")</f>
        <v>2924</v>
      </c>
    </row>
    <row r="80" spans="1:7" ht="21.75" customHeight="1">
      <c r="A80" s="71"/>
      <c r="B80" s="71"/>
      <c r="C80" s="48" t="s">
        <v>27</v>
      </c>
      <c r="D80" s="54">
        <f>G68</f>
        <v>2116</v>
      </c>
      <c r="E80" s="50">
        <v>130</v>
      </c>
      <c r="F80" s="51">
        <v>93</v>
      </c>
      <c r="G80" s="52">
        <f>IFERROR(D80+E80-F80,"")</f>
        <v>2153</v>
      </c>
    </row>
    <row r="81" spans="1:7" ht="21.75" customHeight="1">
      <c r="A81" s="71"/>
      <c r="B81" s="71"/>
      <c r="C81" s="48" t="s">
        <v>30</v>
      </c>
      <c r="D81" s="54">
        <f>G69</f>
        <v>3380</v>
      </c>
      <c r="E81" s="50">
        <v>100</v>
      </c>
      <c r="F81" s="51">
        <v>75</v>
      </c>
      <c r="G81" s="52">
        <f>IFERROR(D81+E81-F81,"")</f>
        <v>3405</v>
      </c>
    </row>
    <row r="82" spans="1:7" ht="21.75" customHeight="1">
      <c r="A82" s="71"/>
      <c r="B82" s="71"/>
      <c r="C82" s="48" t="s">
        <v>32</v>
      </c>
      <c r="D82" s="54">
        <f>G70</f>
        <v>1584</v>
      </c>
      <c r="E82" s="50">
        <v>112</v>
      </c>
      <c r="F82" s="51">
        <v>86</v>
      </c>
      <c r="G82" s="52">
        <f>IFERROR(D82+E82-F82,"")</f>
        <v>1610</v>
      </c>
    </row>
    <row r="83" spans="1:7" ht="21.75" customHeight="1">
      <c r="A83" s="71"/>
      <c r="B83" s="71"/>
      <c r="C83" s="48" t="s">
        <v>34</v>
      </c>
      <c r="D83" s="54">
        <f>G71</f>
        <v>3353</v>
      </c>
      <c r="E83" s="50">
        <v>168</v>
      </c>
      <c r="F83" s="51">
        <v>112</v>
      </c>
      <c r="G83" s="52">
        <f>IFERROR(D83+E83-F83,"")</f>
        <v>3409</v>
      </c>
    </row>
    <row r="84" spans="1:7" ht="21.75" customHeight="1">
      <c r="A84" s="71"/>
      <c r="B84" s="71"/>
      <c r="C84" s="48" t="s">
        <v>25</v>
      </c>
      <c r="D84" s="54">
        <f>G72</f>
        <v>1865</v>
      </c>
      <c r="E84" s="50">
        <v>58</v>
      </c>
      <c r="F84" s="51">
        <v>49</v>
      </c>
      <c r="G84" s="52">
        <f>IFERROR(D84+E84-F84,"")</f>
        <v>1874</v>
      </c>
    </row>
    <row r="85" spans="1:7" ht="21.75" customHeight="1">
      <c r="A85" s="71"/>
      <c r="B85" s="71"/>
      <c r="C85" s="48" t="s">
        <v>35</v>
      </c>
      <c r="D85" s="54">
        <f>G73</f>
        <v>1972</v>
      </c>
      <c r="E85" s="50">
        <v>135</v>
      </c>
      <c r="F85" s="51">
        <v>114</v>
      </c>
      <c r="G85" s="52">
        <f>IFERROR(D85+E85-F85,"")</f>
        <v>1993</v>
      </c>
    </row>
    <row r="86" spans="1:7" ht="21.75" customHeight="1">
      <c r="A86" s="71"/>
      <c r="B86" s="71"/>
      <c r="C86" s="48" t="s">
        <v>29</v>
      </c>
      <c r="D86" s="54">
        <f>G74</f>
        <v>2324</v>
      </c>
      <c r="E86" s="50">
        <v>75</v>
      </c>
      <c r="F86" s="51">
        <v>57</v>
      </c>
      <c r="G86" s="52">
        <f>IFERROR(D86+E86-F86,"")</f>
        <v>2342</v>
      </c>
    </row>
    <row r="87" spans="1:7" ht="21.75" customHeight="1">
      <c r="A87" s="71"/>
      <c r="B87" s="71"/>
      <c r="C87" s="48" t="s">
        <v>31</v>
      </c>
      <c r="D87" s="54">
        <f>G75</f>
        <v>2899</v>
      </c>
      <c r="E87" s="50">
        <v>152</v>
      </c>
      <c r="F87" s="51">
        <v>124</v>
      </c>
      <c r="G87" s="52">
        <f>IFERROR(D87+E87-F87,"")</f>
        <v>2927</v>
      </c>
    </row>
    <row r="88" spans="1:7" ht="21.75" customHeight="1">
      <c r="A88" s="71"/>
      <c r="B88" s="71"/>
      <c r="C88" s="48" t="s">
        <v>33</v>
      </c>
      <c r="D88" s="54">
        <f>G76</f>
        <v>1132</v>
      </c>
      <c r="E88" s="50">
        <v>93</v>
      </c>
      <c r="F88" s="51">
        <v>85</v>
      </c>
      <c r="G88" s="52">
        <f>IFERROR(D88+E88-F88,"")</f>
        <v>1140</v>
      </c>
    </row>
    <row r="89" spans="1:7" ht="21.75" customHeight="1">
      <c r="A89" s="71"/>
      <c r="B89" s="71"/>
      <c r="C89" s="48" t="s">
        <v>36</v>
      </c>
      <c r="D89" s="54">
        <f>G77</f>
        <v>3647</v>
      </c>
      <c r="E89" s="50">
        <v>122</v>
      </c>
      <c r="F89" s="51">
        <v>91</v>
      </c>
      <c r="G89" s="52">
        <f>IFERROR(D89+E89-F89,"")</f>
        <v>3678</v>
      </c>
    </row>
    <row r="90" spans="1:7" ht="21.75" customHeight="1">
      <c r="A90" s="73" t="s">
        <v>162</v>
      </c>
      <c r="B90" s="73"/>
      <c r="C90" s="73"/>
      <c r="D90" s="53">
        <f>IFERROR(SUM(D79:D89),"")</f>
        <v>27175</v>
      </c>
      <c r="E90" s="53">
        <f>IFERROR(SUM(E79:E89),"")</f>
        <v>1255</v>
      </c>
      <c r="F90" s="53">
        <f>IFERROR(SUM(F79:F89),"")</f>
        <v>975</v>
      </c>
      <c r="G90" s="53">
        <f>IFERROR(SUM(G79:G89),"")</f>
        <v>27455</v>
      </c>
    </row>
    <row r="91" spans="1:7" ht="21.75" customHeight="1">
      <c r="A91" s="71">
        <v>46120</v>
      </c>
      <c r="B91" s="72" t="s">
        <v>53</v>
      </c>
      <c r="C91" s="48" t="s">
        <v>26</v>
      </c>
      <c r="D91" s="54">
        <f>G79</f>
        <v>2924</v>
      </c>
      <c r="E91" s="50">
        <v>146</v>
      </c>
      <c r="F91" s="51">
        <v>108</v>
      </c>
      <c r="G91" s="52">
        <f>IFERROR(D91+E91-F91,"")</f>
        <v>2962</v>
      </c>
    </row>
    <row r="92" spans="1:7" ht="21.75" customHeight="1">
      <c r="A92" s="71"/>
      <c r="B92" s="71"/>
      <c r="C92" s="48" t="s">
        <v>27</v>
      </c>
      <c r="D92" s="54">
        <f>G80</f>
        <v>2153</v>
      </c>
      <c r="E92" s="50">
        <v>77</v>
      </c>
      <c r="F92" s="51">
        <v>60</v>
      </c>
      <c r="G92" s="52">
        <f>IFERROR(D92+E92-F92,"")</f>
        <v>2170</v>
      </c>
    </row>
    <row r="93" spans="1:7" ht="21.75" customHeight="1">
      <c r="A93" s="71"/>
      <c r="B93" s="71"/>
      <c r="C93" s="48" t="s">
        <v>30</v>
      </c>
      <c r="D93" s="54">
        <f>G81</f>
        <v>3405</v>
      </c>
      <c r="E93" s="50">
        <v>118</v>
      </c>
      <c r="F93" s="51">
        <v>72</v>
      </c>
      <c r="G93" s="52">
        <f>IFERROR(D93+E93-F93,"")</f>
        <v>3451</v>
      </c>
    </row>
    <row r="94" spans="1:7" ht="21.75" customHeight="1">
      <c r="A94" s="71"/>
      <c r="B94" s="71"/>
      <c r="C94" s="48" t="s">
        <v>32</v>
      </c>
      <c r="D94" s="54">
        <f>G82</f>
        <v>1610</v>
      </c>
      <c r="E94" s="50">
        <v>81</v>
      </c>
      <c r="F94" s="51">
        <v>60</v>
      </c>
      <c r="G94" s="52">
        <f>IFERROR(D94+E94-F94,"")</f>
        <v>1631</v>
      </c>
    </row>
    <row r="95" spans="1:7" ht="21.75" customHeight="1">
      <c r="A95" s="71"/>
      <c r="B95" s="71"/>
      <c r="C95" s="48" t="s">
        <v>34</v>
      </c>
      <c r="D95" s="54">
        <f>G83</f>
        <v>3409</v>
      </c>
      <c r="E95" s="50">
        <v>175</v>
      </c>
      <c r="F95" s="51">
        <v>143</v>
      </c>
      <c r="G95" s="52">
        <f>IFERROR(D95+E95-F95,"")</f>
        <v>3441</v>
      </c>
    </row>
    <row r="96" spans="1:7" ht="21.75" customHeight="1">
      <c r="A96" s="71"/>
      <c r="B96" s="71"/>
      <c r="C96" s="48" t="s">
        <v>25</v>
      </c>
      <c r="D96" s="54">
        <f>G84</f>
        <v>1874</v>
      </c>
      <c r="E96" s="50">
        <v>64</v>
      </c>
      <c r="F96" s="51">
        <v>52</v>
      </c>
      <c r="G96" s="52">
        <f>IFERROR(D96+E96-F96,"")</f>
        <v>1886</v>
      </c>
    </row>
    <row r="97" spans="1:7" ht="21.75" customHeight="1">
      <c r="A97" s="71"/>
      <c r="B97" s="71"/>
      <c r="C97" s="48" t="s">
        <v>35</v>
      </c>
      <c r="D97" s="54">
        <f>G85</f>
        <v>1993</v>
      </c>
      <c r="E97" s="50">
        <v>103</v>
      </c>
      <c r="F97" s="51">
        <v>74</v>
      </c>
      <c r="G97" s="52">
        <f>IFERROR(D97+E97-F97,"")</f>
        <v>2022</v>
      </c>
    </row>
    <row r="98" spans="1:7" ht="21.75" customHeight="1">
      <c r="A98" s="71"/>
      <c r="B98" s="71"/>
      <c r="C98" s="48" t="s">
        <v>29</v>
      </c>
      <c r="D98" s="54">
        <f>G86</f>
        <v>2342</v>
      </c>
      <c r="E98" s="50">
        <v>69</v>
      </c>
      <c r="F98" s="51">
        <v>56</v>
      </c>
      <c r="G98" s="52">
        <f>IFERROR(D98+E98-F98,"")</f>
        <v>2355</v>
      </c>
    </row>
    <row r="99" spans="1:7" ht="21.75" customHeight="1">
      <c r="A99" s="71"/>
      <c r="B99" s="71"/>
      <c r="C99" s="48" t="s">
        <v>31</v>
      </c>
      <c r="D99" s="54">
        <f>G87</f>
        <v>2927</v>
      </c>
      <c r="E99" s="50">
        <v>92</v>
      </c>
      <c r="F99" s="51">
        <v>65</v>
      </c>
      <c r="G99" s="52">
        <f>IFERROR(D99+E99-F99,"")</f>
        <v>2954</v>
      </c>
    </row>
    <row r="100" spans="1:7" ht="21.75" customHeight="1">
      <c r="A100" s="71"/>
      <c r="B100" s="71"/>
      <c r="C100" s="48" t="s">
        <v>33</v>
      </c>
      <c r="D100" s="54">
        <f>G88</f>
        <v>1140</v>
      </c>
      <c r="E100" s="50">
        <v>59</v>
      </c>
      <c r="F100" s="51">
        <v>46</v>
      </c>
      <c r="G100" s="52">
        <f>IFERROR(D100+E100-F100,"")</f>
        <v>1153</v>
      </c>
    </row>
    <row r="101" spans="1:7" ht="21.75" customHeight="1">
      <c r="A101" s="71"/>
      <c r="B101" s="71"/>
      <c r="C101" s="48" t="s">
        <v>36</v>
      </c>
      <c r="D101" s="54">
        <f>G89</f>
        <v>3678</v>
      </c>
      <c r="E101" s="50">
        <v>137</v>
      </c>
      <c r="F101" s="51">
        <v>85</v>
      </c>
      <c r="G101" s="52">
        <f>IFERROR(D101+E101-F101,"")</f>
        <v>3730</v>
      </c>
    </row>
    <row r="102" spans="1:7" ht="21.75" customHeight="1">
      <c r="A102" s="73" t="s">
        <v>163</v>
      </c>
      <c r="B102" s="73"/>
      <c r="C102" s="73"/>
      <c r="D102" s="53">
        <f>IFERROR(SUM(D91:D101),"")</f>
        <v>27455</v>
      </c>
      <c r="E102" s="53">
        <f>IFERROR(SUM(E91:E101),"")</f>
        <v>1121</v>
      </c>
      <c r="F102" s="53">
        <f>IFERROR(SUM(F91:F101),"")</f>
        <v>821</v>
      </c>
      <c r="G102" s="53">
        <f>IFERROR(SUM(G91:G101),"")</f>
        <v>27755</v>
      </c>
    </row>
    <row r="103" spans="1:7" ht="21.75" customHeight="1">
      <c r="A103" s="71">
        <v>46121</v>
      </c>
      <c r="B103" s="72" t="s">
        <v>45</v>
      </c>
      <c r="C103" s="48" t="s">
        <v>26</v>
      </c>
      <c r="D103" s="54">
        <f>G91</f>
        <v>2962</v>
      </c>
      <c r="E103" s="50">
        <v>140</v>
      </c>
      <c r="F103" s="51">
        <v>98</v>
      </c>
      <c r="G103" s="52">
        <f>IFERROR(D103+E103-F103,"")</f>
        <v>3004</v>
      </c>
    </row>
    <row r="104" spans="1:7" ht="21.75" customHeight="1">
      <c r="A104" s="71"/>
      <c r="B104" s="71"/>
      <c r="C104" s="48" t="s">
        <v>27</v>
      </c>
      <c r="D104" s="54">
        <f>G92</f>
        <v>2170</v>
      </c>
      <c r="E104" s="50">
        <v>120</v>
      </c>
      <c r="F104" s="51">
        <v>99</v>
      </c>
      <c r="G104" s="52">
        <f>IFERROR(D104+E104-F104,"")</f>
        <v>2191</v>
      </c>
    </row>
    <row r="105" spans="1:7" ht="21.75" customHeight="1">
      <c r="A105" s="71"/>
      <c r="B105" s="71"/>
      <c r="C105" s="48" t="s">
        <v>30</v>
      </c>
      <c r="D105" s="54">
        <f>G93</f>
        <v>3451</v>
      </c>
      <c r="E105" s="50">
        <v>142</v>
      </c>
      <c r="F105" s="51">
        <v>91</v>
      </c>
      <c r="G105" s="52">
        <f>IFERROR(D105+E105-F105,"")</f>
        <v>3502</v>
      </c>
    </row>
    <row r="106" spans="1:7" ht="21.75" customHeight="1">
      <c r="A106" s="71"/>
      <c r="B106" s="71"/>
      <c r="C106" s="48" t="s">
        <v>32</v>
      </c>
      <c r="D106" s="54">
        <f>G94</f>
        <v>1631</v>
      </c>
      <c r="E106" s="50">
        <v>66</v>
      </c>
      <c r="F106" s="51">
        <v>50</v>
      </c>
      <c r="G106" s="52">
        <f>IFERROR(D106+E106-F106,"")</f>
        <v>1647</v>
      </c>
    </row>
    <row r="107" spans="1:7" ht="21.75" customHeight="1">
      <c r="A107" s="71"/>
      <c r="B107" s="71"/>
      <c r="C107" s="48" t="s">
        <v>34</v>
      </c>
      <c r="D107" s="54">
        <f>G95</f>
        <v>3441</v>
      </c>
      <c r="E107" s="50">
        <v>155</v>
      </c>
      <c r="F107" s="51">
        <v>118</v>
      </c>
      <c r="G107" s="52">
        <f>IFERROR(D107+E107-F107,"")</f>
        <v>3478</v>
      </c>
    </row>
    <row r="108" spans="1:7" ht="21.75" customHeight="1">
      <c r="A108" s="71"/>
      <c r="B108" s="71"/>
      <c r="C108" s="48" t="s">
        <v>25</v>
      </c>
      <c r="D108" s="54">
        <f>G96</f>
        <v>1886</v>
      </c>
      <c r="E108" s="50">
        <v>77</v>
      </c>
      <c r="F108" s="51">
        <v>65</v>
      </c>
      <c r="G108" s="52">
        <f>IFERROR(D108+E108-F108,"")</f>
        <v>1898</v>
      </c>
    </row>
    <row r="109" spans="1:7" ht="21.75" customHeight="1">
      <c r="A109" s="71"/>
      <c r="B109" s="71"/>
      <c r="C109" s="48" t="s">
        <v>35</v>
      </c>
      <c r="D109" s="54">
        <f>G97</f>
        <v>2022</v>
      </c>
      <c r="E109" s="50">
        <v>134</v>
      </c>
      <c r="F109" s="51">
        <v>123</v>
      </c>
      <c r="G109" s="52">
        <f>IFERROR(D109+E109-F109,"")</f>
        <v>2033</v>
      </c>
    </row>
    <row r="110" spans="1:7" ht="21.75" customHeight="1">
      <c r="A110" s="71"/>
      <c r="B110" s="71"/>
      <c r="C110" s="48" t="s">
        <v>29</v>
      </c>
      <c r="D110" s="54">
        <f>G98</f>
        <v>2355</v>
      </c>
      <c r="E110" s="50">
        <v>111</v>
      </c>
      <c r="F110" s="51">
        <v>74</v>
      </c>
      <c r="G110" s="52">
        <f>IFERROR(D110+E110-F110,"")</f>
        <v>2392</v>
      </c>
    </row>
    <row r="111" spans="1:7" ht="21.75" customHeight="1">
      <c r="A111" s="71"/>
      <c r="B111" s="71"/>
      <c r="C111" s="48" t="s">
        <v>31</v>
      </c>
      <c r="D111" s="54">
        <f>G99</f>
        <v>2954</v>
      </c>
      <c r="E111" s="50">
        <v>97</v>
      </c>
      <c r="F111" s="51">
        <v>63</v>
      </c>
      <c r="G111" s="52">
        <f>IFERROR(D111+E111-F111,"")</f>
        <v>2988</v>
      </c>
    </row>
    <row r="112" spans="1:7" ht="21.75" customHeight="1">
      <c r="A112" s="71"/>
      <c r="B112" s="71"/>
      <c r="C112" s="48" t="s">
        <v>33</v>
      </c>
      <c r="D112" s="54">
        <f>G100</f>
        <v>1153</v>
      </c>
      <c r="E112" s="50">
        <v>80</v>
      </c>
      <c r="F112" s="51">
        <v>72</v>
      </c>
      <c r="G112" s="52">
        <f>IFERROR(D112+E112-F112,"")</f>
        <v>1161</v>
      </c>
    </row>
    <row r="113" spans="1:7" ht="21.75" customHeight="1">
      <c r="A113" s="71"/>
      <c r="B113" s="71"/>
      <c r="C113" s="48" t="s">
        <v>36</v>
      </c>
      <c r="D113" s="54">
        <f>G101</f>
        <v>3730</v>
      </c>
      <c r="E113" s="50">
        <v>108</v>
      </c>
      <c r="F113" s="51">
        <v>72</v>
      </c>
      <c r="G113" s="52">
        <f>IFERROR(D113+E113-F113,"")</f>
        <v>3766</v>
      </c>
    </row>
    <row r="114" spans="1:7" ht="21.75" customHeight="1">
      <c r="A114" s="73" t="s">
        <v>164</v>
      </c>
      <c r="B114" s="73"/>
      <c r="C114" s="73"/>
      <c r="D114" s="53">
        <f>IFERROR(SUM(D103:D113),"")</f>
        <v>27755</v>
      </c>
      <c r="E114" s="53">
        <f>IFERROR(SUM(E103:E113),"")</f>
        <v>1230</v>
      </c>
      <c r="F114" s="53">
        <f>IFERROR(SUM(F103:F113),"")</f>
        <v>925</v>
      </c>
      <c r="G114" s="53">
        <f>IFERROR(SUM(G103:G113),"")</f>
        <v>28060</v>
      </c>
    </row>
    <row r="115" spans="1:7" ht="21.75" customHeight="1">
      <c r="A115" s="71">
        <v>46122</v>
      </c>
      <c r="B115" s="72" t="s">
        <v>47</v>
      </c>
      <c r="C115" s="48" t="s">
        <v>26</v>
      </c>
      <c r="D115" s="54">
        <f>G103</f>
        <v>3004</v>
      </c>
      <c r="E115" s="50">
        <v>111</v>
      </c>
      <c r="F115" s="51">
        <v>74</v>
      </c>
      <c r="G115" s="52">
        <f>IFERROR(D115+E115-F115,"")</f>
        <v>3041</v>
      </c>
    </row>
    <row r="116" spans="1:7" ht="21.75" customHeight="1">
      <c r="A116" s="71"/>
      <c r="B116" s="71"/>
      <c r="C116" s="48" t="s">
        <v>27</v>
      </c>
      <c r="D116" s="54">
        <f>G104</f>
        <v>2191</v>
      </c>
      <c r="E116" s="50">
        <v>98</v>
      </c>
      <c r="F116" s="51">
        <v>85</v>
      </c>
      <c r="G116" s="52">
        <f>IFERROR(D116+E116-F116,"")</f>
        <v>2204</v>
      </c>
    </row>
    <row r="117" spans="1:7" ht="21.75" customHeight="1">
      <c r="A117" s="71"/>
      <c r="B117" s="71"/>
      <c r="C117" s="48" t="s">
        <v>30</v>
      </c>
      <c r="D117" s="54">
        <f>G105</f>
        <v>3502</v>
      </c>
      <c r="E117" s="50">
        <v>102</v>
      </c>
      <c r="F117" s="51">
        <v>62</v>
      </c>
      <c r="G117" s="52">
        <f>IFERROR(D117+E117-F117,"")</f>
        <v>3542</v>
      </c>
    </row>
    <row r="118" spans="1:7" ht="21.75" customHeight="1">
      <c r="A118" s="71"/>
      <c r="B118" s="71"/>
      <c r="C118" s="48" t="s">
        <v>32</v>
      </c>
      <c r="D118" s="54">
        <f>G106</f>
        <v>1647</v>
      </c>
      <c r="E118" s="50">
        <v>101</v>
      </c>
      <c r="F118" s="51">
        <v>92</v>
      </c>
      <c r="G118" s="52">
        <f>IFERROR(D118+E118-F118,"")</f>
        <v>1656</v>
      </c>
    </row>
    <row r="119" spans="1:7" ht="21.75" customHeight="1">
      <c r="A119" s="71"/>
      <c r="B119" s="71"/>
      <c r="C119" s="48" t="s">
        <v>34</v>
      </c>
      <c r="D119" s="54">
        <f>G107</f>
        <v>3478</v>
      </c>
      <c r="E119" s="50">
        <v>101</v>
      </c>
      <c r="F119" s="51">
        <v>64</v>
      </c>
      <c r="G119" s="52">
        <f>IFERROR(D119+E119-F119,"")</f>
        <v>3515</v>
      </c>
    </row>
    <row r="120" spans="1:7" ht="21.75" customHeight="1">
      <c r="A120" s="71"/>
      <c r="B120" s="71"/>
      <c r="C120" s="48" t="s">
        <v>25</v>
      </c>
      <c r="D120" s="54">
        <f>G108</f>
        <v>1898</v>
      </c>
      <c r="E120" s="50">
        <v>109</v>
      </c>
      <c r="F120" s="51">
        <v>81</v>
      </c>
      <c r="G120" s="52">
        <f>IFERROR(D120+E120-F120,"")</f>
        <v>1926</v>
      </c>
    </row>
    <row r="121" spans="1:7" ht="21.75" customHeight="1">
      <c r="A121" s="71"/>
      <c r="B121" s="71"/>
      <c r="C121" s="48" t="s">
        <v>35</v>
      </c>
      <c r="D121" s="54">
        <f>G109</f>
        <v>2033</v>
      </c>
      <c r="E121" s="50">
        <v>96</v>
      </c>
      <c r="F121" s="51">
        <v>82</v>
      </c>
      <c r="G121" s="52">
        <f>IFERROR(D121+E121-F121,"")</f>
        <v>2047</v>
      </c>
    </row>
    <row r="122" spans="1:7" ht="21.75" customHeight="1">
      <c r="A122" s="71"/>
      <c r="B122" s="71"/>
      <c r="C122" s="48" t="s">
        <v>29</v>
      </c>
      <c r="D122" s="54">
        <f>G110</f>
        <v>2392</v>
      </c>
      <c r="E122" s="50">
        <v>96</v>
      </c>
      <c r="F122" s="51">
        <v>78</v>
      </c>
      <c r="G122" s="52">
        <f>IFERROR(D122+E122-F122,"")</f>
        <v>2410</v>
      </c>
    </row>
    <row r="123" spans="1:7" ht="21.75" customHeight="1">
      <c r="A123" s="71"/>
      <c r="B123" s="71"/>
      <c r="C123" s="48" t="s">
        <v>31</v>
      </c>
      <c r="D123" s="54">
        <f>G111</f>
        <v>2988</v>
      </c>
      <c r="E123" s="50">
        <v>112</v>
      </c>
      <c r="F123" s="51">
        <v>83</v>
      </c>
      <c r="G123" s="52">
        <f>IFERROR(D123+E123-F123,"")</f>
        <v>3017</v>
      </c>
    </row>
    <row r="124" spans="1:7" ht="21.75" customHeight="1">
      <c r="A124" s="71"/>
      <c r="B124" s="71"/>
      <c r="C124" s="48" t="s">
        <v>33</v>
      </c>
      <c r="D124" s="54">
        <f>G112</f>
        <v>1161</v>
      </c>
      <c r="E124" s="50">
        <v>58</v>
      </c>
      <c r="F124" s="51">
        <v>47</v>
      </c>
      <c r="G124" s="52">
        <f>IFERROR(D124+E124-F124,"")</f>
        <v>1172</v>
      </c>
    </row>
    <row r="125" spans="1:7" ht="21.75" customHeight="1">
      <c r="A125" s="71"/>
      <c r="B125" s="71"/>
      <c r="C125" s="48" t="s">
        <v>36</v>
      </c>
      <c r="D125" s="54">
        <f>G113</f>
        <v>3766</v>
      </c>
      <c r="E125" s="50">
        <v>143</v>
      </c>
      <c r="F125" s="51">
        <v>87</v>
      </c>
      <c r="G125" s="52">
        <f>IFERROR(D125+E125-F125,"")</f>
        <v>3822</v>
      </c>
    </row>
    <row r="126" spans="1:7" ht="21.75" customHeight="1">
      <c r="A126" s="73" t="s">
        <v>165</v>
      </c>
      <c r="B126" s="73"/>
      <c r="C126" s="73"/>
      <c r="D126" s="53">
        <f>IFERROR(SUM(D115:D125),"")</f>
        <v>28060</v>
      </c>
      <c r="E126" s="53">
        <f>IFERROR(SUM(E115:E125),"")</f>
        <v>1127</v>
      </c>
      <c r="F126" s="53">
        <f>IFERROR(SUM(F115:F125),"")</f>
        <v>835</v>
      </c>
      <c r="G126" s="53">
        <f>IFERROR(SUM(G115:G125),"")</f>
        <v>28352</v>
      </c>
    </row>
    <row r="127" spans="1:7" ht="21.75" customHeight="1">
      <c r="A127" s="74">
        <v>46123</v>
      </c>
      <c r="B127" s="75" t="s">
        <v>48</v>
      </c>
      <c r="C127" s="48" t="s">
        <v>26</v>
      </c>
      <c r="D127" s="54">
        <f>G115</f>
        <v>3041</v>
      </c>
      <c r="E127" s="50">
        <v>44</v>
      </c>
      <c r="F127" s="51">
        <v>32</v>
      </c>
      <c r="G127" s="52">
        <f>IFERROR(D127+E127-F127,"")</f>
        <v>3053</v>
      </c>
    </row>
    <row r="128" spans="1:7" ht="21.75" customHeight="1">
      <c r="A128" s="74"/>
      <c r="B128" s="74"/>
      <c r="C128" s="48" t="s">
        <v>27</v>
      </c>
      <c r="D128" s="54">
        <f>G116</f>
        <v>2204</v>
      </c>
      <c r="E128" s="50">
        <v>41</v>
      </c>
      <c r="F128" s="51">
        <v>28</v>
      </c>
      <c r="G128" s="52">
        <f>IFERROR(D128+E128-F128,"")</f>
        <v>2217</v>
      </c>
    </row>
    <row r="129" spans="1:7" ht="21.75" customHeight="1">
      <c r="A129" s="74"/>
      <c r="B129" s="74"/>
      <c r="C129" s="48" t="s">
        <v>30</v>
      </c>
      <c r="D129" s="54">
        <f>G117</f>
        <v>3542</v>
      </c>
      <c r="E129" s="50">
        <v>73</v>
      </c>
      <c r="F129" s="51">
        <v>44</v>
      </c>
      <c r="G129" s="52">
        <f>IFERROR(D129+E129-F129,"")</f>
        <v>3571</v>
      </c>
    </row>
    <row r="130" spans="1:7" ht="21.75" customHeight="1">
      <c r="A130" s="74"/>
      <c r="B130" s="74"/>
      <c r="C130" s="48" t="s">
        <v>32</v>
      </c>
      <c r="D130" s="54">
        <f>G118</f>
        <v>1656</v>
      </c>
      <c r="E130" s="50">
        <v>44</v>
      </c>
      <c r="F130" s="51">
        <v>33</v>
      </c>
      <c r="G130" s="52">
        <f>IFERROR(D130+E130-F130,"")</f>
        <v>1667</v>
      </c>
    </row>
    <row r="131" spans="1:7" ht="21.75" customHeight="1">
      <c r="A131" s="74"/>
      <c r="B131" s="74"/>
      <c r="C131" s="48" t="s">
        <v>34</v>
      </c>
      <c r="D131" s="54">
        <f>G119</f>
        <v>3515</v>
      </c>
      <c r="E131" s="50">
        <v>43</v>
      </c>
      <c r="F131" s="51">
        <v>35</v>
      </c>
      <c r="G131" s="52">
        <f>IFERROR(D131+E131-F131,"")</f>
        <v>3523</v>
      </c>
    </row>
    <row r="132" spans="1:7" ht="21.75" customHeight="1">
      <c r="A132" s="74"/>
      <c r="B132" s="74"/>
      <c r="C132" s="48" t="s">
        <v>25</v>
      </c>
      <c r="D132" s="54">
        <f>G120</f>
        <v>1926</v>
      </c>
      <c r="E132" s="50">
        <v>50</v>
      </c>
      <c r="F132" s="51">
        <v>42</v>
      </c>
      <c r="G132" s="52">
        <f>IFERROR(D132+E132-F132,"")</f>
        <v>1934</v>
      </c>
    </row>
    <row r="133" spans="1:7" ht="21.75" customHeight="1">
      <c r="A133" s="74"/>
      <c r="B133" s="74"/>
      <c r="C133" s="48" t="s">
        <v>35</v>
      </c>
      <c r="D133" s="54">
        <f>G121</f>
        <v>2047</v>
      </c>
      <c r="E133" s="50">
        <v>63</v>
      </c>
      <c r="F133" s="51">
        <v>47</v>
      </c>
      <c r="G133" s="52">
        <f>IFERROR(D133+E133-F133,"")</f>
        <v>2063</v>
      </c>
    </row>
    <row r="134" spans="1:7" ht="21.75" customHeight="1">
      <c r="A134" s="74"/>
      <c r="B134" s="74"/>
      <c r="C134" s="48" t="s">
        <v>29</v>
      </c>
      <c r="D134" s="54">
        <f>G122</f>
        <v>2410</v>
      </c>
      <c r="E134" s="50">
        <v>29</v>
      </c>
      <c r="F134" s="51">
        <v>23</v>
      </c>
      <c r="G134" s="52">
        <f>IFERROR(D134+E134-F134,"")</f>
        <v>2416</v>
      </c>
    </row>
    <row r="135" spans="1:7" ht="21.75" customHeight="1">
      <c r="A135" s="74"/>
      <c r="B135" s="74"/>
      <c r="C135" s="48" t="s">
        <v>31</v>
      </c>
      <c r="D135" s="54">
        <f>G123</f>
        <v>3017</v>
      </c>
      <c r="E135" s="50">
        <v>39</v>
      </c>
      <c r="F135" s="51">
        <v>26</v>
      </c>
      <c r="G135" s="52">
        <f>IFERROR(D135+E135-F135,"")</f>
        <v>3030</v>
      </c>
    </row>
    <row r="136" spans="1:7" ht="21.75" customHeight="1">
      <c r="A136" s="74"/>
      <c r="B136" s="74"/>
      <c r="C136" s="48" t="s">
        <v>33</v>
      </c>
      <c r="D136" s="54">
        <f>G124</f>
        <v>1172</v>
      </c>
      <c r="E136" s="50">
        <v>24</v>
      </c>
      <c r="F136" s="51">
        <v>22</v>
      </c>
      <c r="G136" s="52">
        <f>IFERROR(D136+E136-F136,"")</f>
        <v>1174</v>
      </c>
    </row>
    <row r="137" spans="1:7" ht="21.75" customHeight="1">
      <c r="A137" s="74"/>
      <c r="B137" s="74"/>
      <c r="C137" s="48" t="s">
        <v>36</v>
      </c>
      <c r="D137" s="54">
        <f>G125</f>
        <v>3822</v>
      </c>
      <c r="E137" s="50">
        <v>42</v>
      </c>
      <c r="F137" s="51">
        <v>28</v>
      </c>
      <c r="G137" s="52">
        <f>IFERROR(D137+E137-F137,"")</f>
        <v>3836</v>
      </c>
    </row>
    <row r="138" spans="1:7" ht="21.75" customHeight="1">
      <c r="A138" s="73" t="s">
        <v>166</v>
      </c>
      <c r="B138" s="73"/>
      <c r="C138" s="73"/>
      <c r="D138" s="53">
        <f>IFERROR(SUM(D127:D137),"")</f>
        <v>28352</v>
      </c>
      <c r="E138" s="53">
        <f>IFERROR(SUM(E127:E137),"")</f>
        <v>492</v>
      </c>
      <c r="F138" s="53">
        <f>IFERROR(SUM(F127:F137),"")</f>
        <v>360</v>
      </c>
      <c r="G138" s="53">
        <f>IFERROR(SUM(G127:G137),"")</f>
        <v>28484</v>
      </c>
    </row>
    <row r="139" spans="1:7" ht="21.75" customHeight="1">
      <c r="A139" s="74">
        <v>46124</v>
      </c>
      <c r="B139" s="75" t="s">
        <v>50</v>
      </c>
      <c r="C139" s="48" t="s">
        <v>26</v>
      </c>
      <c r="D139" s="54">
        <f>G127</f>
        <v>3053</v>
      </c>
      <c r="E139" s="50">
        <v>74</v>
      </c>
      <c r="F139" s="51">
        <v>57</v>
      </c>
      <c r="G139" s="52">
        <f>IFERROR(D139+E139-F139,"")</f>
        <v>3070</v>
      </c>
    </row>
    <row r="140" spans="1:7" ht="21.75" customHeight="1">
      <c r="A140" s="74"/>
      <c r="B140" s="74"/>
      <c r="C140" s="48" t="s">
        <v>27</v>
      </c>
      <c r="D140" s="54">
        <f>G128</f>
        <v>2217</v>
      </c>
      <c r="E140" s="50">
        <v>64</v>
      </c>
      <c r="F140" s="51">
        <v>52</v>
      </c>
      <c r="G140" s="52">
        <f>IFERROR(D140+E140-F140,"")</f>
        <v>2229</v>
      </c>
    </row>
    <row r="141" spans="1:7" ht="21.75" customHeight="1">
      <c r="A141" s="74"/>
      <c r="B141" s="74"/>
      <c r="C141" s="48" t="s">
        <v>30</v>
      </c>
      <c r="D141" s="54">
        <f>G129</f>
        <v>3571</v>
      </c>
      <c r="E141" s="50">
        <v>56</v>
      </c>
      <c r="F141" s="51">
        <v>37</v>
      </c>
      <c r="G141" s="52">
        <f>IFERROR(D141+E141-F141,"")</f>
        <v>3590</v>
      </c>
    </row>
    <row r="142" spans="1:7" ht="21.75" customHeight="1">
      <c r="A142" s="74"/>
      <c r="B142" s="74"/>
      <c r="C142" s="48" t="s">
        <v>32</v>
      </c>
      <c r="D142" s="54">
        <f>G130</f>
        <v>1667</v>
      </c>
      <c r="E142" s="50">
        <v>37</v>
      </c>
      <c r="F142" s="51">
        <v>32</v>
      </c>
      <c r="G142" s="52">
        <f>IFERROR(D142+E142-F142,"")</f>
        <v>1672</v>
      </c>
    </row>
    <row r="143" spans="1:7" ht="21.75" customHeight="1">
      <c r="A143" s="74"/>
      <c r="B143" s="74"/>
      <c r="C143" s="48" t="s">
        <v>34</v>
      </c>
      <c r="D143" s="54">
        <f>G131</f>
        <v>3523</v>
      </c>
      <c r="E143" s="50">
        <v>55</v>
      </c>
      <c r="F143" s="51">
        <v>38</v>
      </c>
      <c r="G143" s="52">
        <f>IFERROR(D143+E143-F143,"")</f>
        <v>3540</v>
      </c>
    </row>
    <row r="144" spans="1:7" ht="21.75" customHeight="1">
      <c r="A144" s="74"/>
      <c r="B144" s="74"/>
      <c r="C144" s="48" t="s">
        <v>25</v>
      </c>
      <c r="D144" s="54">
        <f>G132</f>
        <v>1934</v>
      </c>
      <c r="E144" s="50">
        <v>45</v>
      </c>
      <c r="F144" s="51">
        <v>32</v>
      </c>
      <c r="G144" s="52">
        <f>IFERROR(D144+E144-F144,"")</f>
        <v>1947</v>
      </c>
    </row>
    <row r="145" spans="1:7" ht="21.75" customHeight="1">
      <c r="A145" s="74"/>
      <c r="B145" s="74"/>
      <c r="C145" s="48" t="s">
        <v>35</v>
      </c>
      <c r="D145" s="54">
        <f>G133</f>
        <v>2063</v>
      </c>
      <c r="E145" s="50">
        <v>49</v>
      </c>
      <c r="F145" s="51">
        <v>42</v>
      </c>
      <c r="G145" s="52">
        <f>IFERROR(D145+E145-F145,"")</f>
        <v>2070</v>
      </c>
    </row>
    <row r="146" spans="1:7" ht="21.75" customHeight="1">
      <c r="A146" s="74"/>
      <c r="B146" s="74"/>
      <c r="C146" s="48" t="s">
        <v>29</v>
      </c>
      <c r="D146" s="54">
        <f>G134</f>
        <v>2416</v>
      </c>
      <c r="E146" s="50">
        <v>46</v>
      </c>
      <c r="F146" s="51">
        <v>31</v>
      </c>
      <c r="G146" s="52">
        <f>IFERROR(D146+E146-F146,"")</f>
        <v>2431</v>
      </c>
    </row>
    <row r="147" spans="1:7" ht="21.75" customHeight="1">
      <c r="A147" s="74"/>
      <c r="B147" s="74"/>
      <c r="C147" s="48" t="s">
        <v>31</v>
      </c>
      <c r="D147" s="54">
        <f>G135</f>
        <v>3030</v>
      </c>
      <c r="E147" s="50">
        <v>34</v>
      </c>
      <c r="F147" s="51">
        <v>28</v>
      </c>
      <c r="G147" s="52">
        <f>IFERROR(D147+E147-F147,"")</f>
        <v>3036</v>
      </c>
    </row>
    <row r="148" spans="1:7" ht="21.75" customHeight="1">
      <c r="A148" s="74"/>
      <c r="B148" s="74"/>
      <c r="C148" s="48" t="s">
        <v>33</v>
      </c>
      <c r="D148" s="54">
        <f>G136</f>
        <v>1174</v>
      </c>
      <c r="E148" s="50">
        <v>41</v>
      </c>
      <c r="F148" s="51">
        <v>40</v>
      </c>
      <c r="G148" s="52">
        <f>IFERROR(D148+E148-F148,"")</f>
        <v>1175</v>
      </c>
    </row>
    <row r="149" spans="1:7" ht="21.75" customHeight="1">
      <c r="A149" s="74"/>
      <c r="B149" s="74"/>
      <c r="C149" s="48" t="s">
        <v>36</v>
      </c>
      <c r="D149" s="54">
        <f>G137</f>
        <v>3836</v>
      </c>
      <c r="E149" s="50">
        <v>44</v>
      </c>
      <c r="F149" s="51">
        <v>27</v>
      </c>
      <c r="G149" s="52">
        <f>IFERROR(D149+E149-F149,"")</f>
        <v>3853</v>
      </c>
    </row>
    <row r="150" spans="1:7" ht="21.75" customHeight="1">
      <c r="A150" s="73" t="s">
        <v>167</v>
      </c>
      <c r="B150" s="73"/>
      <c r="C150" s="73"/>
      <c r="D150" s="53">
        <f>IFERROR(SUM(D139:D149),"")</f>
        <v>28484</v>
      </c>
      <c r="E150" s="53">
        <f>IFERROR(SUM(E139:E149),"")</f>
        <v>545</v>
      </c>
      <c r="F150" s="53">
        <f>IFERROR(SUM(F139:F149),"")</f>
        <v>416</v>
      </c>
      <c r="G150" s="53">
        <f>IFERROR(SUM(G139:G149),"")</f>
        <v>28613</v>
      </c>
    </row>
    <row r="151" spans="1:7" ht="21.75" customHeight="1">
      <c r="A151" s="71">
        <v>46125</v>
      </c>
      <c r="B151" s="72" t="s">
        <v>51</v>
      </c>
      <c r="C151" s="48" t="s">
        <v>26</v>
      </c>
      <c r="D151" s="54">
        <f>G139</f>
        <v>3070</v>
      </c>
      <c r="E151" s="50">
        <v>127</v>
      </c>
      <c r="F151" s="51">
        <v>91</v>
      </c>
      <c r="G151" s="52">
        <f>IFERROR(D151+E151-F151,"")</f>
        <v>3106</v>
      </c>
    </row>
    <row r="152" spans="1:7" ht="21.75" customHeight="1">
      <c r="A152" s="71"/>
      <c r="B152" s="71"/>
      <c r="C152" s="48" t="s">
        <v>27</v>
      </c>
      <c r="D152" s="54">
        <f>G140</f>
        <v>2229</v>
      </c>
      <c r="E152" s="50">
        <v>80</v>
      </c>
      <c r="F152" s="51">
        <v>70</v>
      </c>
      <c r="G152" s="52">
        <f>IFERROR(D152+E152-F152,"")</f>
        <v>2239</v>
      </c>
    </row>
    <row r="153" spans="1:7" ht="21.75" customHeight="1">
      <c r="A153" s="71"/>
      <c r="B153" s="71"/>
      <c r="C153" s="48" t="s">
        <v>30</v>
      </c>
      <c r="D153" s="54">
        <f>G141</f>
        <v>3590</v>
      </c>
      <c r="E153" s="50">
        <v>159</v>
      </c>
      <c r="F153" s="51">
        <v>114</v>
      </c>
      <c r="G153" s="52">
        <f>IFERROR(D153+E153-F153,"")</f>
        <v>3635</v>
      </c>
    </row>
    <row r="154" spans="1:7" ht="21.75" customHeight="1">
      <c r="A154" s="71"/>
      <c r="B154" s="71"/>
      <c r="C154" s="48" t="s">
        <v>32</v>
      </c>
      <c r="D154" s="54">
        <f>G142</f>
        <v>1672</v>
      </c>
      <c r="E154" s="50">
        <v>99</v>
      </c>
      <c r="F154" s="51">
        <v>94</v>
      </c>
      <c r="G154" s="52">
        <f>IFERROR(D154+E154-F154,"")</f>
        <v>1677</v>
      </c>
    </row>
    <row r="155" spans="1:7" ht="21.75" customHeight="1">
      <c r="A155" s="71"/>
      <c r="B155" s="71"/>
      <c r="C155" s="48" t="s">
        <v>34</v>
      </c>
      <c r="D155" s="54">
        <f>G143</f>
        <v>3540</v>
      </c>
      <c r="E155" s="50">
        <v>167</v>
      </c>
      <c r="F155" s="51">
        <v>103</v>
      </c>
      <c r="G155" s="52">
        <f>IFERROR(D155+E155-F155,"")</f>
        <v>3604</v>
      </c>
    </row>
    <row r="156" spans="1:7" ht="21.75" customHeight="1">
      <c r="A156" s="71"/>
      <c r="B156" s="71"/>
      <c r="C156" s="48" t="s">
        <v>25</v>
      </c>
      <c r="D156" s="54">
        <f>G144</f>
        <v>1947</v>
      </c>
      <c r="E156" s="50">
        <v>92</v>
      </c>
      <c r="F156" s="51">
        <v>79</v>
      </c>
      <c r="G156" s="52">
        <f>IFERROR(D156+E156-F156,"")</f>
        <v>1960</v>
      </c>
    </row>
    <row r="157" spans="1:7" ht="21.75" customHeight="1">
      <c r="A157" s="71"/>
      <c r="B157" s="71"/>
      <c r="C157" s="48" t="s">
        <v>35</v>
      </c>
      <c r="D157" s="54">
        <f>G145</f>
        <v>2070</v>
      </c>
      <c r="E157" s="50">
        <v>113</v>
      </c>
      <c r="F157" s="51">
        <v>102</v>
      </c>
      <c r="G157" s="52">
        <f>IFERROR(D157+E157-F157,"")</f>
        <v>2081</v>
      </c>
    </row>
    <row r="158" spans="1:7" ht="21.75" customHeight="1">
      <c r="A158" s="71"/>
      <c r="B158" s="71"/>
      <c r="C158" s="48" t="s">
        <v>29</v>
      </c>
      <c r="D158" s="54">
        <f>G146</f>
        <v>2431</v>
      </c>
      <c r="E158" s="50">
        <v>71</v>
      </c>
      <c r="F158" s="51">
        <v>50</v>
      </c>
      <c r="G158" s="52">
        <f>IFERROR(D158+E158-F158,"")</f>
        <v>2452</v>
      </c>
    </row>
    <row r="159" spans="1:7" ht="21.75" customHeight="1">
      <c r="A159" s="71"/>
      <c r="B159" s="71"/>
      <c r="C159" s="48" t="s">
        <v>31</v>
      </c>
      <c r="D159" s="54">
        <f>G147</f>
        <v>3036</v>
      </c>
      <c r="E159" s="50">
        <v>118</v>
      </c>
      <c r="F159" s="51">
        <v>78</v>
      </c>
      <c r="G159" s="52">
        <f>IFERROR(D159+E159-F159,"")</f>
        <v>3076</v>
      </c>
    </row>
    <row r="160" spans="1:7" ht="21.75" customHeight="1">
      <c r="A160" s="71"/>
      <c r="B160" s="71"/>
      <c r="C160" s="48" t="s">
        <v>33</v>
      </c>
      <c r="D160" s="54">
        <f>G148</f>
        <v>1175</v>
      </c>
      <c r="E160" s="50">
        <v>61</v>
      </c>
      <c r="F160" s="51">
        <v>58</v>
      </c>
      <c r="G160" s="52">
        <f>IFERROR(D160+E160-F160,"")</f>
        <v>1178</v>
      </c>
    </row>
    <row r="161" spans="1:7" ht="21.75" customHeight="1">
      <c r="A161" s="71"/>
      <c r="B161" s="71"/>
      <c r="C161" s="48" t="s">
        <v>36</v>
      </c>
      <c r="D161" s="54">
        <f>G149</f>
        <v>3853</v>
      </c>
      <c r="E161" s="50">
        <v>165</v>
      </c>
      <c r="F161" s="51">
        <v>109</v>
      </c>
      <c r="G161" s="52">
        <f>IFERROR(D161+E161-F161,"")</f>
        <v>3909</v>
      </c>
    </row>
    <row r="162" spans="1:7" ht="21.75" customHeight="1">
      <c r="A162" s="73" t="s">
        <v>168</v>
      </c>
      <c r="B162" s="73"/>
      <c r="C162" s="73"/>
      <c r="D162" s="53">
        <f>IFERROR(SUM(D151:D161),"")</f>
        <v>28613</v>
      </c>
      <c r="E162" s="53">
        <f>IFERROR(SUM(E151:E161),"")</f>
        <v>1252</v>
      </c>
      <c r="F162" s="53">
        <f>IFERROR(SUM(F151:F161),"")</f>
        <v>948</v>
      </c>
      <c r="G162" s="53">
        <f>IFERROR(SUM(G151:G161),"")</f>
        <v>28917</v>
      </c>
    </row>
    <row r="163" spans="1:7" ht="21.75" customHeight="1">
      <c r="A163" s="71">
        <v>46126</v>
      </c>
      <c r="B163" s="72" t="s">
        <v>52</v>
      </c>
      <c r="C163" s="48" t="s">
        <v>26</v>
      </c>
      <c r="D163" s="54">
        <f>G151</f>
        <v>3106</v>
      </c>
      <c r="E163" s="50">
        <v>142</v>
      </c>
      <c r="F163" s="51">
        <v>100</v>
      </c>
      <c r="G163" s="52">
        <f>IFERROR(D163+E163-F163,"")</f>
        <v>3148</v>
      </c>
    </row>
    <row r="164" spans="1:7" ht="21.75" customHeight="1">
      <c r="A164" s="71"/>
      <c r="B164" s="71"/>
      <c r="C164" s="48" t="s">
        <v>27</v>
      </c>
      <c r="D164" s="54">
        <f>G152</f>
        <v>2239</v>
      </c>
      <c r="E164" s="50">
        <v>127</v>
      </c>
      <c r="F164" s="51">
        <v>89</v>
      </c>
      <c r="G164" s="52">
        <f>IFERROR(D164+E164-F164,"")</f>
        <v>2277</v>
      </c>
    </row>
    <row r="165" spans="1:7" ht="21.75" customHeight="1">
      <c r="A165" s="71"/>
      <c r="B165" s="71"/>
      <c r="C165" s="48" t="s">
        <v>30</v>
      </c>
      <c r="D165" s="54">
        <f>G153</f>
        <v>3635</v>
      </c>
      <c r="E165" s="50">
        <v>101</v>
      </c>
      <c r="F165" s="51">
        <v>80</v>
      </c>
      <c r="G165" s="52">
        <f>IFERROR(D165+E165-F165,"")</f>
        <v>3656</v>
      </c>
    </row>
    <row r="166" spans="1:7" ht="21.75" customHeight="1">
      <c r="A166" s="71"/>
      <c r="B166" s="71"/>
      <c r="C166" s="48" t="s">
        <v>32</v>
      </c>
      <c r="D166" s="54">
        <f>G154</f>
        <v>1677</v>
      </c>
      <c r="E166" s="50">
        <v>87</v>
      </c>
      <c r="F166" s="51">
        <v>73</v>
      </c>
      <c r="G166" s="52">
        <f>IFERROR(D166+E166-F166,"")</f>
        <v>1691</v>
      </c>
    </row>
    <row r="167" spans="1:7" ht="21.75" customHeight="1">
      <c r="A167" s="71"/>
      <c r="B167" s="71"/>
      <c r="C167" s="48" t="s">
        <v>34</v>
      </c>
      <c r="D167" s="54">
        <f>G155</f>
        <v>3604</v>
      </c>
      <c r="E167" s="50">
        <v>105</v>
      </c>
      <c r="F167" s="51">
        <v>65</v>
      </c>
      <c r="G167" s="52">
        <f>IFERROR(D167+E167-F167,"")</f>
        <v>3644</v>
      </c>
    </row>
    <row r="168" spans="1:7" ht="21.75" customHeight="1">
      <c r="A168" s="71"/>
      <c r="B168" s="71"/>
      <c r="C168" s="48" t="s">
        <v>25</v>
      </c>
      <c r="D168" s="54">
        <f>G156</f>
        <v>1960</v>
      </c>
      <c r="E168" s="50">
        <v>71</v>
      </c>
      <c r="F168" s="51">
        <v>60</v>
      </c>
      <c r="G168" s="52">
        <f>IFERROR(D168+E168-F168,"")</f>
        <v>1971</v>
      </c>
    </row>
    <row r="169" spans="1:7" ht="21.75" customHeight="1">
      <c r="A169" s="71"/>
      <c r="B169" s="71"/>
      <c r="C169" s="48" t="s">
        <v>35</v>
      </c>
      <c r="D169" s="54">
        <f>G157</f>
        <v>2081</v>
      </c>
      <c r="E169" s="50">
        <v>91</v>
      </c>
      <c r="F169" s="51">
        <v>73</v>
      </c>
      <c r="G169" s="52">
        <f>IFERROR(D169+E169-F169,"")</f>
        <v>2099</v>
      </c>
    </row>
    <row r="170" spans="1:7" ht="21.75" customHeight="1">
      <c r="A170" s="71"/>
      <c r="B170" s="71"/>
      <c r="C170" s="48" t="s">
        <v>29</v>
      </c>
      <c r="D170" s="54">
        <f>G158</f>
        <v>2452</v>
      </c>
      <c r="E170" s="50">
        <v>75</v>
      </c>
      <c r="F170" s="51">
        <v>63</v>
      </c>
      <c r="G170" s="52">
        <f>IFERROR(D170+E170-F170,"")</f>
        <v>2464</v>
      </c>
    </row>
    <row r="171" spans="1:7" ht="21.75" customHeight="1">
      <c r="A171" s="71"/>
      <c r="B171" s="71"/>
      <c r="C171" s="48" t="s">
        <v>31</v>
      </c>
      <c r="D171" s="54">
        <f>G159</f>
        <v>3076</v>
      </c>
      <c r="E171" s="50">
        <v>155</v>
      </c>
      <c r="F171" s="51">
        <v>126</v>
      </c>
      <c r="G171" s="52">
        <f>IFERROR(D171+E171-F171,"")</f>
        <v>3105</v>
      </c>
    </row>
    <row r="172" spans="1:7" ht="21.75" customHeight="1">
      <c r="A172" s="71"/>
      <c r="B172" s="71"/>
      <c r="C172" s="48" t="s">
        <v>33</v>
      </c>
      <c r="D172" s="54">
        <f>G160</f>
        <v>1178</v>
      </c>
      <c r="E172" s="50">
        <v>90</v>
      </c>
      <c r="F172" s="51">
        <v>70</v>
      </c>
      <c r="G172" s="52">
        <f>IFERROR(D172+E172-F172,"")</f>
        <v>1198</v>
      </c>
    </row>
    <row r="173" spans="1:7" ht="21.75" customHeight="1">
      <c r="A173" s="71"/>
      <c r="B173" s="71"/>
      <c r="C173" s="48" t="s">
        <v>36</v>
      </c>
      <c r="D173" s="54">
        <f>G161</f>
        <v>3909</v>
      </c>
      <c r="E173" s="50">
        <v>109</v>
      </c>
      <c r="F173" s="51">
        <v>68</v>
      </c>
      <c r="G173" s="52">
        <f>IFERROR(D173+E173-F173,"")</f>
        <v>3950</v>
      </c>
    </row>
    <row r="174" spans="1:7" ht="21.75" customHeight="1">
      <c r="A174" s="73" t="s">
        <v>169</v>
      </c>
      <c r="B174" s="73"/>
      <c r="C174" s="73"/>
      <c r="D174" s="53">
        <f>IFERROR(SUM(D163:D173),"")</f>
        <v>28917</v>
      </c>
      <c r="E174" s="53">
        <f>IFERROR(SUM(E163:E173),"")</f>
        <v>1153</v>
      </c>
      <c r="F174" s="53">
        <f>IFERROR(SUM(F163:F173),"")</f>
        <v>867</v>
      </c>
      <c r="G174" s="53">
        <f>IFERROR(SUM(G163:G173),"")</f>
        <v>29203</v>
      </c>
    </row>
    <row r="175" spans="1:7" ht="21.75" customHeight="1">
      <c r="A175" s="71">
        <v>46127</v>
      </c>
      <c r="B175" s="72" t="s">
        <v>53</v>
      </c>
      <c r="C175" s="48" t="s">
        <v>26</v>
      </c>
      <c r="D175" s="54">
        <f>G163</f>
        <v>3148</v>
      </c>
      <c r="E175" s="50">
        <v>96</v>
      </c>
      <c r="F175" s="51">
        <v>63</v>
      </c>
      <c r="G175" s="52">
        <f>IFERROR(D175+E175-F175,"")</f>
        <v>3181</v>
      </c>
    </row>
    <row r="176" spans="1:7" ht="21.75" customHeight="1">
      <c r="A176" s="71"/>
      <c r="B176" s="71"/>
      <c r="C176" s="48" t="s">
        <v>27</v>
      </c>
      <c r="D176" s="54">
        <f>G164</f>
        <v>2277</v>
      </c>
      <c r="E176" s="50">
        <v>89</v>
      </c>
      <c r="F176" s="51">
        <v>73</v>
      </c>
      <c r="G176" s="52">
        <f>IFERROR(D176+E176-F176,"")</f>
        <v>2293</v>
      </c>
    </row>
    <row r="177" spans="1:7" ht="21.75" customHeight="1">
      <c r="A177" s="71"/>
      <c r="B177" s="71"/>
      <c r="C177" s="48" t="s">
        <v>30</v>
      </c>
      <c r="D177" s="54">
        <f>G165</f>
        <v>3656</v>
      </c>
      <c r="E177" s="50">
        <v>95</v>
      </c>
      <c r="F177" s="51">
        <v>68</v>
      </c>
      <c r="G177" s="52">
        <f>IFERROR(D177+E177-F177,"")</f>
        <v>3683</v>
      </c>
    </row>
    <row r="178" spans="1:7" ht="21.75" customHeight="1">
      <c r="A178" s="71"/>
      <c r="B178" s="71"/>
      <c r="C178" s="48" t="s">
        <v>32</v>
      </c>
      <c r="D178" s="54">
        <f>G166</f>
        <v>1691</v>
      </c>
      <c r="E178" s="50">
        <v>73</v>
      </c>
      <c r="F178" s="51">
        <v>61</v>
      </c>
      <c r="G178" s="52">
        <f>IFERROR(D178+E178-F178,"")</f>
        <v>1703</v>
      </c>
    </row>
    <row r="179" spans="1:7" ht="21.75" customHeight="1">
      <c r="A179" s="71"/>
      <c r="B179" s="71"/>
      <c r="C179" s="48" t="s">
        <v>34</v>
      </c>
      <c r="D179" s="54">
        <f>G167</f>
        <v>3644</v>
      </c>
      <c r="E179" s="50">
        <v>113</v>
      </c>
      <c r="F179" s="51">
        <v>81</v>
      </c>
      <c r="G179" s="52">
        <f>IFERROR(D179+E179-F179,"")</f>
        <v>3676</v>
      </c>
    </row>
    <row r="180" spans="1:7" ht="21.75" customHeight="1">
      <c r="A180" s="71"/>
      <c r="B180" s="71"/>
      <c r="C180" s="48" t="s">
        <v>25</v>
      </c>
      <c r="D180" s="54">
        <f>G168</f>
        <v>1971</v>
      </c>
      <c r="E180" s="50">
        <v>99</v>
      </c>
      <c r="F180" s="51">
        <v>84</v>
      </c>
      <c r="G180" s="52">
        <f>IFERROR(D180+E180-F180,"")</f>
        <v>1986</v>
      </c>
    </row>
    <row r="181" spans="1:7" ht="21.75" customHeight="1">
      <c r="A181" s="71"/>
      <c r="B181" s="71"/>
      <c r="C181" s="48" t="s">
        <v>35</v>
      </c>
      <c r="D181" s="54">
        <f>G169</f>
        <v>2099</v>
      </c>
      <c r="E181" s="50">
        <v>127</v>
      </c>
      <c r="F181" s="51">
        <v>110</v>
      </c>
      <c r="G181" s="52">
        <f>IFERROR(D181+E181-F181,"")</f>
        <v>2116</v>
      </c>
    </row>
    <row r="182" spans="1:7" ht="21.75" customHeight="1">
      <c r="A182" s="71"/>
      <c r="B182" s="71"/>
      <c r="C182" s="48" t="s">
        <v>29</v>
      </c>
      <c r="D182" s="54">
        <f>G170</f>
        <v>2464</v>
      </c>
      <c r="E182" s="50">
        <v>112</v>
      </c>
      <c r="F182" s="51">
        <v>77</v>
      </c>
      <c r="G182" s="52">
        <f>IFERROR(D182+E182-F182,"")</f>
        <v>2499</v>
      </c>
    </row>
    <row r="183" spans="1:7" ht="21.75" customHeight="1">
      <c r="A183" s="71"/>
      <c r="B183" s="71"/>
      <c r="C183" s="48" t="s">
        <v>31</v>
      </c>
      <c r="D183" s="54">
        <f>G171</f>
        <v>3105</v>
      </c>
      <c r="E183" s="50">
        <v>115</v>
      </c>
      <c r="F183" s="51">
        <v>78</v>
      </c>
      <c r="G183" s="52">
        <f>IFERROR(D183+E183-F183,"")</f>
        <v>3142</v>
      </c>
    </row>
    <row r="184" spans="1:7" ht="21.75" customHeight="1">
      <c r="A184" s="71"/>
      <c r="B184" s="71"/>
      <c r="C184" s="48" t="s">
        <v>33</v>
      </c>
      <c r="D184" s="54">
        <f>G172</f>
        <v>1198</v>
      </c>
      <c r="E184" s="50">
        <v>66</v>
      </c>
      <c r="F184" s="51">
        <v>57</v>
      </c>
      <c r="G184" s="52">
        <f>IFERROR(D184+E184-F184,"")</f>
        <v>1207</v>
      </c>
    </row>
    <row r="185" spans="1:7" ht="21.75" customHeight="1">
      <c r="A185" s="71"/>
      <c r="B185" s="71"/>
      <c r="C185" s="48" t="s">
        <v>36</v>
      </c>
      <c r="D185" s="54">
        <f>G173</f>
        <v>3950</v>
      </c>
      <c r="E185" s="50">
        <v>98</v>
      </c>
      <c r="F185" s="51">
        <v>64</v>
      </c>
      <c r="G185" s="52">
        <f>IFERROR(D185+E185-F185,"")</f>
        <v>3984</v>
      </c>
    </row>
    <row r="186" spans="1:7" ht="21.75" customHeight="1">
      <c r="A186" s="73" t="s">
        <v>170</v>
      </c>
      <c r="B186" s="73"/>
      <c r="C186" s="73"/>
      <c r="D186" s="53">
        <f>IFERROR(SUM(D175:D185),"")</f>
        <v>29203</v>
      </c>
      <c r="E186" s="53">
        <f>IFERROR(SUM(E175:E185),"")</f>
        <v>1083</v>
      </c>
      <c r="F186" s="53">
        <f>IFERROR(SUM(F175:F185),"")</f>
        <v>816</v>
      </c>
      <c r="G186" s="53">
        <f>IFERROR(SUM(G175:G185),"")</f>
        <v>29470</v>
      </c>
    </row>
    <row r="187" spans="1:7" ht="21.75" customHeight="1">
      <c r="A187" s="71">
        <v>46128</v>
      </c>
      <c r="B187" s="72" t="s">
        <v>45</v>
      </c>
      <c r="C187" s="48" t="s">
        <v>26</v>
      </c>
      <c r="D187" s="54">
        <f>G175</f>
        <v>3181</v>
      </c>
      <c r="E187" s="50">
        <v>84</v>
      </c>
      <c r="F187" s="51">
        <v>69</v>
      </c>
      <c r="G187" s="52">
        <f>IFERROR(D187+E187-F187,"")</f>
        <v>3196</v>
      </c>
    </row>
    <row r="188" spans="1:7" ht="21.75" customHeight="1">
      <c r="A188" s="71"/>
      <c r="B188" s="71"/>
      <c r="C188" s="48" t="s">
        <v>27</v>
      </c>
      <c r="D188" s="54">
        <f>G176</f>
        <v>2293</v>
      </c>
      <c r="E188" s="50">
        <v>84</v>
      </c>
      <c r="F188" s="51">
        <v>64</v>
      </c>
      <c r="G188" s="52">
        <f>IFERROR(D188+E188-F188,"")</f>
        <v>2313</v>
      </c>
    </row>
    <row r="189" spans="1:7" ht="21.75" customHeight="1">
      <c r="A189" s="71"/>
      <c r="B189" s="71"/>
      <c r="C189" s="48" t="s">
        <v>30</v>
      </c>
      <c r="D189" s="54">
        <f>G177</f>
        <v>3683</v>
      </c>
      <c r="E189" s="50">
        <v>148</v>
      </c>
      <c r="F189" s="51">
        <v>99</v>
      </c>
      <c r="G189" s="52">
        <f>IFERROR(D189+E189-F189,"")</f>
        <v>3732</v>
      </c>
    </row>
    <row r="190" spans="1:7" ht="21.75" customHeight="1">
      <c r="A190" s="71"/>
      <c r="B190" s="71"/>
      <c r="C190" s="48" t="s">
        <v>32</v>
      </c>
      <c r="D190" s="54">
        <f>G178</f>
        <v>1703</v>
      </c>
      <c r="E190" s="50">
        <v>79</v>
      </c>
      <c r="F190" s="51">
        <v>66</v>
      </c>
      <c r="G190" s="52">
        <f>IFERROR(D190+E190-F190,"")</f>
        <v>1716</v>
      </c>
    </row>
    <row r="191" spans="1:7" ht="21.75" customHeight="1">
      <c r="A191" s="71"/>
      <c r="B191" s="71"/>
      <c r="C191" s="48" t="s">
        <v>34</v>
      </c>
      <c r="D191" s="54">
        <f>G179</f>
        <v>3676</v>
      </c>
      <c r="E191" s="50">
        <v>128</v>
      </c>
      <c r="F191" s="51">
        <v>79</v>
      </c>
      <c r="G191" s="52">
        <f>IFERROR(D191+E191-F191,"")</f>
        <v>3725</v>
      </c>
    </row>
    <row r="192" spans="1:7" ht="21.75" customHeight="1">
      <c r="A192" s="71"/>
      <c r="B192" s="71"/>
      <c r="C192" s="48" t="s">
        <v>25</v>
      </c>
      <c r="D192" s="54">
        <f>G180</f>
        <v>1986</v>
      </c>
      <c r="E192" s="50">
        <v>92</v>
      </c>
      <c r="F192" s="51">
        <v>68</v>
      </c>
      <c r="G192" s="52">
        <f>IFERROR(D192+E192-F192,"")</f>
        <v>2010</v>
      </c>
    </row>
    <row r="193" spans="1:7" ht="21.75" customHeight="1">
      <c r="A193" s="71"/>
      <c r="B193" s="71"/>
      <c r="C193" s="48" t="s">
        <v>35</v>
      </c>
      <c r="D193" s="54">
        <f>G181</f>
        <v>2116</v>
      </c>
      <c r="E193" s="50">
        <v>126</v>
      </c>
      <c r="F193" s="51">
        <v>100</v>
      </c>
      <c r="G193" s="52">
        <f>IFERROR(D193+E193-F193,"")</f>
        <v>2142</v>
      </c>
    </row>
    <row r="194" spans="1:7" ht="21.75" customHeight="1">
      <c r="A194" s="71"/>
      <c r="B194" s="71"/>
      <c r="C194" s="48" t="s">
        <v>29</v>
      </c>
      <c r="D194" s="54">
        <f>G182</f>
        <v>2499</v>
      </c>
      <c r="E194" s="50">
        <v>82</v>
      </c>
      <c r="F194" s="51">
        <v>56</v>
      </c>
      <c r="G194" s="52">
        <f>IFERROR(D194+E194-F194,"")</f>
        <v>2525</v>
      </c>
    </row>
    <row r="195" spans="1:7" ht="21.75" customHeight="1">
      <c r="A195" s="71"/>
      <c r="B195" s="71"/>
      <c r="C195" s="48" t="s">
        <v>31</v>
      </c>
      <c r="D195" s="54">
        <f>G183</f>
        <v>3142</v>
      </c>
      <c r="E195" s="50">
        <v>120</v>
      </c>
      <c r="F195" s="51">
        <v>87</v>
      </c>
      <c r="G195" s="52">
        <f>IFERROR(D195+E195-F195,"")</f>
        <v>3175</v>
      </c>
    </row>
    <row r="196" spans="1:7" ht="21.75" customHeight="1">
      <c r="A196" s="71"/>
      <c r="B196" s="71"/>
      <c r="C196" s="48" t="s">
        <v>33</v>
      </c>
      <c r="D196" s="54">
        <f>G184</f>
        <v>1207</v>
      </c>
      <c r="E196" s="50">
        <v>96</v>
      </c>
      <c r="F196" s="51">
        <v>90</v>
      </c>
      <c r="G196" s="52">
        <f>IFERROR(D196+E196-F196,"")</f>
        <v>1213</v>
      </c>
    </row>
    <row r="197" spans="1:7" ht="21.75" customHeight="1">
      <c r="A197" s="71"/>
      <c r="B197" s="71"/>
      <c r="C197" s="48" t="s">
        <v>36</v>
      </c>
      <c r="D197" s="54">
        <f>G185</f>
        <v>3984</v>
      </c>
      <c r="E197" s="50">
        <v>146</v>
      </c>
      <c r="F197" s="51">
        <v>110</v>
      </c>
      <c r="G197" s="52">
        <f>IFERROR(D197+E197-F197,"")</f>
        <v>4020</v>
      </c>
    </row>
    <row r="198" spans="1:7" ht="21.75" customHeight="1">
      <c r="A198" s="73" t="s">
        <v>171</v>
      </c>
      <c r="B198" s="73"/>
      <c r="C198" s="73"/>
      <c r="D198" s="53">
        <f>IFERROR(SUM(D187:D197),"")</f>
        <v>29470</v>
      </c>
      <c r="E198" s="53">
        <f>IFERROR(SUM(E187:E197),"")</f>
        <v>1185</v>
      </c>
      <c r="F198" s="53">
        <f>IFERROR(SUM(F187:F197),"")</f>
        <v>888</v>
      </c>
      <c r="G198" s="53">
        <f>IFERROR(SUM(G187:G197),"")</f>
        <v>29767</v>
      </c>
    </row>
    <row r="199" spans="1:7" ht="21.75" customHeight="1">
      <c r="A199" s="71">
        <v>46129</v>
      </c>
      <c r="B199" s="72" t="s">
        <v>47</v>
      </c>
      <c r="C199" s="48" t="s">
        <v>26</v>
      </c>
      <c r="D199" s="54">
        <f>G187</f>
        <v>3196</v>
      </c>
      <c r="E199" s="50">
        <v>135</v>
      </c>
      <c r="F199" s="51">
        <v>98</v>
      </c>
      <c r="G199" s="52">
        <f>IFERROR(D199+E199-F199,"")</f>
        <v>3233</v>
      </c>
    </row>
    <row r="200" spans="1:7" ht="21.75" customHeight="1">
      <c r="A200" s="71"/>
      <c r="B200" s="71"/>
      <c r="C200" s="48" t="s">
        <v>27</v>
      </c>
      <c r="D200" s="54">
        <f>G188</f>
        <v>2313</v>
      </c>
      <c r="E200" s="50">
        <v>116</v>
      </c>
      <c r="F200" s="51">
        <v>91</v>
      </c>
      <c r="G200" s="52">
        <f>IFERROR(D200+E200-F200,"")</f>
        <v>2338</v>
      </c>
    </row>
    <row r="201" spans="1:7" ht="21.75" customHeight="1">
      <c r="A201" s="71"/>
      <c r="B201" s="71"/>
      <c r="C201" s="48" t="s">
        <v>30</v>
      </c>
      <c r="D201" s="54">
        <f>G189</f>
        <v>3732</v>
      </c>
      <c r="E201" s="50">
        <v>145</v>
      </c>
      <c r="F201" s="51">
        <v>106</v>
      </c>
      <c r="G201" s="52">
        <f>IFERROR(D201+E201-F201,"")</f>
        <v>3771</v>
      </c>
    </row>
    <row r="202" spans="1:7" ht="21.75" customHeight="1">
      <c r="A202" s="71"/>
      <c r="B202" s="71"/>
      <c r="C202" s="48" t="s">
        <v>32</v>
      </c>
      <c r="D202" s="54">
        <f>G190</f>
        <v>1716</v>
      </c>
      <c r="E202" s="50">
        <v>92</v>
      </c>
      <c r="F202" s="51">
        <v>72</v>
      </c>
      <c r="G202" s="52">
        <f>IFERROR(D202+E202-F202,"")</f>
        <v>1736</v>
      </c>
    </row>
    <row r="203" spans="1:7" ht="21.75" customHeight="1">
      <c r="A203" s="71"/>
      <c r="B203" s="71"/>
      <c r="C203" s="48" t="s">
        <v>34</v>
      </c>
      <c r="D203" s="54">
        <f>G191</f>
        <v>3725</v>
      </c>
      <c r="E203" s="50">
        <v>149</v>
      </c>
      <c r="F203" s="51">
        <v>120</v>
      </c>
      <c r="G203" s="52">
        <f>IFERROR(D203+E203-F203,"")</f>
        <v>3754</v>
      </c>
    </row>
    <row r="204" spans="1:7" ht="21.75" customHeight="1">
      <c r="A204" s="71"/>
      <c r="B204" s="71"/>
      <c r="C204" s="48" t="s">
        <v>25</v>
      </c>
      <c r="D204" s="54">
        <f>G192</f>
        <v>2010</v>
      </c>
      <c r="E204" s="50">
        <v>86</v>
      </c>
      <c r="F204" s="51">
        <v>64</v>
      </c>
      <c r="G204" s="52">
        <f>IFERROR(D204+E204-F204,"")</f>
        <v>2032</v>
      </c>
    </row>
    <row r="205" spans="1:7" ht="21.75" customHeight="1">
      <c r="A205" s="71"/>
      <c r="B205" s="71"/>
      <c r="C205" s="48" t="s">
        <v>35</v>
      </c>
      <c r="D205" s="54">
        <f>G193</f>
        <v>2142</v>
      </c>
      <c r="E205" s="50">
        <v>107</v>
      </c>
      <c r="F205" s="51">
        <v>78</v>
      </c>
      <c r="G205" s="52">
        <f>IFERROR(D205+E205-F205,"")</f>
        <v>2171</v>
      </c>
    </row>
    <row r="206" spans="1:7" ht="21.75" customHeight="1">
      <c r="A206" s="71"/>
      <c r="B206" s="71"/>
      <c r="C206" s="48" t="s">
        <v>29</v>
      </c>
      <c r="D206" s="54">
        <f>G194</f>
        <v>2525</v>
      </c>
      <c r="E206" s="50">
        <v>110</v>
      </c>
      <c r="F206" s="51">
        <v>85</v>
      </c>
      <c r="G206" s="52">
        <f>IFERROR(D206+E206-F206,"")</f>
        <v>2550</v>
      </c>
    </row>
    <row r="207" spans="1:7" ht="21.75" customHeight="1">
      <c r="A207" s="71"/>
      <c r="B207" s="71"/>
      <c r="C207" s="48" t="s">
        <v>31</v>
      </c>
      <c r="D207" s="54">
        <f>G195</f>
        <v>3175</v>
      </c>
      <c r="E207" s="50">
        <v>85</v>
      </c>
      <c r="F207" s="51">
        <v>70</v>
      </c>
      <c r="G207" s="52">
        <f>IFERROR(D207+E207-F207,"")</f>
        <v>3190</v>
      </c>
    </row>
    <row r="208" spans="1:7" ht="21.75" customHeight="1">
      <c r="A208" s="71"/>
      <c r="B208" s="71"/>
      <c r="C208" s="48" t="s">
        <v>33</v>
      </c>
      <c r="D208" s="54">
        <f>G196</f>
        <v>1213</v>
      </c>
      <c r="E208" s="50">
        <v>89</v>
      </c>
      <c r="F208" s="51">
        <v>75</v>
      </c>
      <c r="G208" s="52">
        <f>IFERROR(D208+E208-F208,"")</f>
        <v>1227</v>
      </c>
    </row>
    <row r="209" spans="1:7" ht="21.75" customHeight="1">
      <c r="A209" s="71"/>
      <c r="B209" s="71"/>
      <c r="C209" s="48" t="s">
        <v>36</v>
      </c>
      <c r="D209" s="54">
        <f>G197</f>
        <v>4020</v>
      </c>
      <c r="E209" s="50">
        <v>141</v>
      </c>
      <c r="F209" s="51">
        <v>99</v>
      </c>
      <c r="G209" s="52">
        <f>IFERROR(D209+E209-F209,"")</f>
        <v>4062</v>
      </c>
    </row>
    <row r="210" spans="1:7" ht="21.75" customHeight="1">
      <c r="A210" s="73" t="s">
        <v>172</v>
      </c>
      <c r="B210" s="73"/>
      <c r="C210" s="73"/>
      <c r="D210" s="53">
        <f>IFERROR(SUM(D199:D209),"")</f>
        <v>29767</v>
      </c>
      <c r="E210" s="53">
        <f>IFERROR(SUM(E199:E209),"")</f>
        <v>1255</v>
      </c>
      <c r="F210" s="53">
        <f>IFERROR(SUM(F199:F209),"")</f>
        <v>958</v>
      </c>
      <c r="G210" s="53">
        <f>IFERROR(SUM(G199:G209),"")</f>
        <v>30064</v>
      </c>
    </row>
    <row r="211" spans="1:7" ht="21.75" customHeight="1">
      <c r="A211" s="74">
        <v>46130</v>
      </c>
      <c r="B211" s="75" t="s">
        <v>48</v>
      </c>
      <c r="C211" s="48" t="s">
        <v>26</v>
      </c>
      <c r="D211" s="54">
        <f>G199</f>
        <v>3233</v>
      </c>
      <c r="E211" s="50">
        <v>51</v>
      </c>
      <c r="F211" s="51">
        <v>43</v>
      </c>
      <c r="G211" s="52">
        <f>IFERROR(D211+E211-F211,"")</f>
        <v>3241</v>
      </c>
    </row>
    <row r="212" spans="1:7" ht="21.75" customHeight="1">
      <c r="A212" s="74"/>
      <c r="B212" s="74"/>
      <c r="C212" s="48" t="s">
        <v>27</v>
      </c>
      <c r="D212" s="54">
        <f>G200</f>
        <v>2338</v>
      </c>
      <c r="E212" s="50">
        <v>54</v>
      </c>
      <c r="F212" s="51">
        <v>42</v>
      </c>
      <c r="G212" s="52">
        <f>IFERROR(D212+E212-F212,"")</f>
        <v>2350</v>
      </c>
    </row>
    <row r="213" spans="1:7" ht="21.75" customHeight="1">
      <c r="A213" s="74"/>
      <c r="B213" s="74"/>
      <c r="C213" s="48" t="s">
        <v>30</v>
      </c>
      <c r="D213" s="54">
        <f>G201</f>
        <v>3771</v>
      </c>
      <c r="E213" s="50">
        <v>61</v>
      </c>
      <c r="F213" s="51">
        <v>47</v>
      </c>
      <c r="G213" s="52">
        <f>IFERROR(D213+E213-F213,"")</f>
        <v>3785</v>
      </c>
    </row>
    <row r="214" spans="1:7" ht="21.75" customHeight="1">
      <c r="A214" s="74"/>
      <c r="B214" s="74"/>
      <c r="C214" s="48" t="s">
        <v>32</v>
      </c>
      <c r="D214" s="54">
        <f>G202</f>
        <v>1736</v>
      </c>
      <c r="E214" s="50">
        <v>42</v>
      </c>
      <c r="F214" s="51">
        <v>39</v>
      </c>
      <c r="G214" s="52">
        <f>IFERROR(D214+E214-F214,"")</f>
        <v>1739</v>
      </c>
    </row>
    <row r="215" spans="1:7" ht="21.75" customHeight="1">
      <c r="A215" s="74"/>
      <c r="B215" s="74"/>
      <c r="C215" s="48" t="s">
        <v>34</v>
      </c>
      <c r="D215" s="54">
        <f>G203</f>
        <v>3754</v>
      </c>
      <c r="E215" s="50">
        <v>48</v>
      </c>
      <c r="F215" s="51">
        <v>32</v>
      </c>
      <c r="G215" s="52">
        <f>IFERROR(D215+E215-F215,"")</f>
        <v>3770</v>
      </c>
    </row>
    <row r="216" spans="1:7" ht="21.75" customHeight="1">
      <c r="A216" s="74"/>
      <c r="B216" s="74"/>
      <c r="C216" s="48" t="s">
        <v>25</v>
      </c>
      <c r="D216" s="54">
        <f>G204</f>
        <v>2032</v>
      </c>
      <c r="E216" s="50">
        <v>46</v>
      </c>
      <c r="F216" s="51">
        <v>37</v>
      </c>
      <c r="G216" s="52">
        <f>IFERROR(D216+E216-F216,"")</f>
        <v>2041</v>
      </c>
    </row>
    <row r="217" spans="1:7" ht="21.75" customHeight="1">
      <c r="A217" s="74"/>
      <c r="B217" s="74"/>
      <c r="C217" s="48" t="s">
        <v>35</v>
      </c>
      <c r="D217" s="54">
        <f>G205</f>
        <v>2171</v>
      </c>
      <c r="E217" s="50">
        <v>41</v>
      </c>
      <c r="F217" s="51">
        <v>33</v>
      </c>
      <c r="G217" s="52">
        <f>IFERROR(D217+E217-F217,"")</f>
        <v>2179</v>
      </c>
    </row>
    <row r="218" spans="1:7" ht="21.75" customHeight="1">
      <c r="A218" s="74"/>
      <c r="B218" s="74"/>
      <c r="C218" s="48" t="s">
        <v>29</v>
      </c>
      <c r="D218" s="54">
        <f>G206</f>
        <v>2550</v>
      </c>
      <c r="E218" s="50">
        <v>51</v>
      </c>
      <c r="F218" s="51">
        <v>41</v>
      </c>
      <c r="G218" s="52">
        <f>IFERROR(D218+E218-F218,"")</f>
        <v>2560</v>
      </c>
    </row>
    <row r="219" spans="1:7" ht="21.75" customHeight="1">
      <c r="A219" s="74"/>
      <c r="B219" s="74"/>
      <c r="C219" s="48" t="s">
        <v>31</v>
      </c>
      <c r="D219" s="54">
        <f>G207</f>
        <v>3190</v>
      </c>
      <c r="E219" s="50">
        <v>34</v>
      </c>
      <c r="F219" s="51">
        <v>25</v>
      </c>
      <c r="G219" s="52">
        <f>IFERROR(D219+E219-F219,"")</f>
        <v>3199</v>
      </c>
    </row>
    <row r="220" spans="1:7" ht="21.75" customHeight="1">
      <c r="A220" s="74"/>
      <c r="B220" s="74"/>
      <c r="C220" s="48" t="s">
        <v>33</v>
      </c>
      <c r="D220" s="54">
        <f>G208</f>
        <v>1227</v>
      </c>
      <c r="E220" s="50">
        <v>31</v>
      </c>
      <c r="F220" s="51">
        <v>25</v>
      </c>
      <c r="G220" s="52">
        <f>IFERROR(D220+E220-F220,"")</f>
        <v>1233</v>
      </c>
    </row>
    <row r="221" spans="1:7" ht="21.75" customHeight="1">
      <c r="A221" s="74"/>
      <c r="B221" s="74"/>
      <c r="C221" s="48" t="s">
        <v>36</v>
      </c>
      <c r="D221" s="54">
        <f>G209</f>
        <v>4062</v>
      </c>
      <c r="E221" s="50">
        <v>65</v>
      </c>
      <c r="F221" s="51">
        <v>51</v>
      </c>
      <c r="G221" s="52">
        <f>IFERROR(D221+E221-F221,"")</f>
        <v>4076</v>
      </c>
    </row>
    <row r="222" spans="1:7" ht="21.75" customHeight="1">
      <c r="A222" s="73" t="s">
        <v>173</v>
      </c>
      <c r="B222" s="73"/>
      <c r="C222" s="73"/>
      <c r="D222" s="53">
        <f>IFERROR(SUM(D211:D221),"")</f>
        <v>30064</v>
      </c>
      <c r="E222" s="53">
        <f>IFERROR(SUM(E211:E221),"")</f>
        <v>524</v>
      </c>
      <c r="F222" s="53">
        <f>IFERROR(SUM(F211:F221),"")</f>
        <v>415</v>
      </c>
      <c r="G222" s="53">
        <f>IFERROR(SUM(G211:G221),"")</f>
        <v>30173</v>
      </c>
    </row>
    <row r="223" spans="1:7" ht="21.75" customHeight="1">
      <c r="A223" s="74">
        <v>46131</v>
      </c>
      <c r="B223" s="75" t="s">
        <v>50</v>
      </c>
      <c r="C223" s="48" t="s">
        <v>26</v>
      </c>
      <c r="D223" s="54">
        <f>G211</f>
        <v>3241</v>
      </c>
      <c r="E223" s="50">
        <v>64</v>
      </c>
      <c r="F223" s="51">
        <v>48</v>
      </c>
      <c r="G223" s="52">
        <f>IFERROR(D223+E223-F223,"")</f>
        <v>3257</v>
      </c>
    </row>
    <row r="224" spans="1:7" ht="21.75" customHeight="1">
      <c r="A224" s="74"/>
      <c r="B224" s="74"/>
      <c r="C224" s="48" t="s">
        <v>27</v>
      </c>
      <c r="D224" s="54">
        <f>G212</f>
        <v>2350</v>
      </c>
      <c r="E224" s="50">
        <v>38</v>
      </c>
      <c r="F224" s="51">
        <v>27</v>
      </c>
      <c r="G224" s="52">
        <f>IFERROR(D224+E224-F224,"")</f>
        <v>2361</v>
      </c>
    </row>
    <row r="225" spans="1:7" ht="21.75" customHeight="1">
      <c r="A225" s="74"/>
      <c r="B225" s="74"/>
      <c r="C225" s="48" t="s">
        <v>30</v>
      </c>
      <c r="D225" s="54">
        <f>G213</f>
        <v>3785</v>
      </c>
      <c r="E225" s="50">
        <v>54</v>
      </c>
      <c r="F225" s="51">
        <v>40</v>
      </c>
      <c r="G225" s="52">
        <f>IFERROR(D225+E225-F225,"")</f>
        <v>3799</v>
      </c>
    </row>
    <row r="226" spans="1:7" ht="21.75" customHeight="1">
      <c r="A226" s="74"/>
      <c r="B226" s="74"/>
      <c r="C226" s="48" t="s">
        <v>32</v>
      </c>
      <c r="D226" s="54">
        <f>G214</f>
        <v>1739</v>
      </c>
      <c r="E226" s="50">
        <v>45</v>
      </c>
      <c r="F226" s="51">
        <v>34</v>
      </c>
      <c r="G226" s="52">
        <f>IFERROR(D226+E226-F226,"")</f>
        <v>1750</v>
      </c>
    </row>
    <row r="227" spans="1:7" ht="21.75" customHeight="1">
      <c r="A227" s="74"/>
      <c r="B227" s="74"/>
      <c r="C227" s="48" t="s">
        <v>34</v>
      </c>
      <c r="D227" s="54">
        <f>G215</f>
        <v>3770</v>
      </c>
      <c r="E227" s="50">
        <v>88</v>
      </c>
      <c r="F227" s="51">
        <v>61</v>
      </c>
      <c r="G227" s="52">
        <f>IFERROR(D227+E227-F227,"")</f>
        <v>3797</v>
      </c>
    </row>
    <row r="228" spans="1:7" ht="21.75" customHeight="1">
      <c r="A228" s="74"/>
      <c r="B228" s="74"/>
      <c r="C228" s="48" t="s">
        <v>25</v>
      </c>
      <c r="D228" s="54">
        <f>G216</f>
        <v>2041</v>
      </c>
      <c r="E228" s="50">
        <v>39</v>
      </c>
      <c r="F228" s="51">
        <v>29</v>
      </c>
      <c r="G228" s="52">
        <f>IFERROR(D228+E228-F228,"")</f>
        <v>2051</v>
      </c>
    </row>
    <row r="229" spans="1:7" ht="21.75" customHeight="1">
      <c r="A229" s="74"/>
      <c r="B229" s="74"/>
      <c r="C229" s="48" t="s">
        <v>35</v>
      </c>
      <c r="D229" s="54">
        <f>G217</f>
        <v>2179</v>
      </c>
      <c r="E229" s="50">
        <v>42</v>
      </c>
      <c r="F229" s="51">
        <v>32</v>
      </c>
      <c r="G229" s="52">
        <f>IFERROR(D229+E229-F229,"")</f>
        <v>2189</v>
      </c>
    </row>
    <row r="230" spans="1:7" ht="21.75" customHeight="1">
      <c r="A230" s="74"/>
      <c r="B230" s="74"/>
      <c r="C230" s="48" t="s">
        <v>29</v>
      </c>
      <c r="D230" s="54">
        <f>G218</f>
        <v>2560</v>
      </c>
      <c r="E230" s="50">
        <v>27</v>
      </c>
      <c r="F230" s="51">
        <v>17</v>
      </c>
      <c r="G230" s="52">
        <f>IFERROR(D230+E230-F230,"")</f>
        <v>2570</v>
      </c>
    </row>
    <row r="231" spans="1:7" ht="21.75" customHeight="1">
      <c r="A231" s="74"/>
      <c r="B231" s="74"/>
      <c r="C231" s="48" t="s">
        <v>31</v>
      </c>
      <c r="D231" s="54">
        <f>G219</f>
        <v>3199</v>
      </c>
      <c r="E231" s="50">
        <v>49</v>
      </c>
      <c r="F231" s="51">
        <v>38</v>
      </c>
      <c r="G231" s="52">
        <f>IFERROR(D231+E231-F231,"")</f>
        <v>3210</v>
      </c>
    </row>
    <row r="232" spans="1:7" ht="21.75" customHeight="1">
      <c r="A232" s="74"/>
      <c r="B232" s="74"/>
      <c r="C232" s="48" t="s">
        <v>33</v>
      </c>
      <c r="D232" s="54">
        <f>G220</f>
        <v>1233</v>
      </c>
      <c r="E232" s="50">
        <v>41</v>
      </c>
      <c r="F232" s="51">
        <v>32</v>
      </c>
      <c r="G232" s="52">
        <f>IFERROR(D232+E232-F232,"")</f>
        <v>1242</v>
      </c>
    </row>
    <row r="233" spans="1:7" ht="21.75" customHeight="1">
      <c r="A233" s="74"/>
      <c r="B233" s="74"/>
      <c r="C233" s="48" t="s">
        <v>36</v>
      </c>
      <c r="D233" s="54">
        <f>G221</f>
        <v>4076</v>
      </c>
      <c r="E233" s="50">
        <v>67</v>
      </c>
      <c r="F233" s="51">
        <v>46</v>
      </c>
      <c r="G233" s="52">
        <f>IFERROR(D233+E233-F233,"")</f>
        <v>4097</v>
      </c>
    </row>
    <row r="234" spans="1:7" ht="21.75" customHeight="1">
      <c r="A234" s="73" t="s">
        <v>174</v>
      </c>
      <c r="B234" s="73"/>
      <c r="C234" s="73"/>
      <c r="D234" s="53">
        <f>IFERROR(SUM(D223:D233),"")</f>
        <v>30173</v>
      </c>
      <c r="E234" s="53">
        <f>IFERROR(SUM(E223:E233),"")</f>
        <v>554</v>
      </c>
      <c r="F234" s="53">
        <f>IFERROR(SUM(F223:F233),"")</f>
        <v>404</v>
      </c>
      <c r="G234" s="53">
        <f>IFERROR(SUM(G223:G233),"")</f>
        <v>30323</v>
      </c>
    </row>
    <row r="235" spans="1:7" ht="21.75" customHeight="1">
      <c r="A235" s="71">
        <v>46132</v>
      </c>
      <c r="B235" s="72" t="s">
        <v>51</v>
      </c>
      <c r="C235" s="48" t="s">
        <v>26</v>
      </c>
      <c r="D235" s="54">
        <f>G223</f>
        <v>3257</v>
      </c>
      <c r="E235" s="50">
        <v>93</v>
      </c>
      <c r="F235" s="51">
        <v>73</v>
      </c>
      <c r="G235" s="52">
        <f>IFERROR(D235+E235-F235,"")</f>
        <v>3277</v>
      </c>
    </row>
    <row r="236" spans="1:7" ht="21.75" customHeight="1">
      <c r="A236" s="71"/>
      <c r="B236" s="71"/>
      <c r="C236" s="48" t="s">
        <v>27</v>
      </c>
      <c r="D236" s="54">
        <f>G224</f>
        <v>2361</v>
      </c>
      <c r="E236" s="50">
        <v>84</v>
      </c>
      <c r="F236" s="51">
        <v>63</v>
      </c>
      <c r="G236" s="52">
        <f>IFERROR(D236+E236-F236,"")</f>
        <v>2382</v>
      </c>
    </row>
    <row r="237" spans="1:7" ht="21.75" customHeight="1">
      <c r="A237" s="71"/>
      <c r="B237" s="71"/>
      <c r="C237" s="48" t="s">
        <v>30</v>
      </c>
      <c r="D237" s="54">
        <f>G225</f>
        <v>3799</v>
      </c>
      <c r="E237" s="50">
        <v>156</v>
      </c>
      <c r="F237" s="51">
        <v>122</v>
      </c>
      <c r="G237" s="52">
        <f>IFERROR(D237+E237-F237,"")</f>
        <v>3833</v>
      </c>
    </row>
    <row r="238" spans="1:7" ht="21.75" customHeight="1">
      <c r="A238" s="71"/>
      <c r="B238" s="71"/>
      <c r="C238" s="48" t="s">
        <v>32</v>
      </c>
      <c r="D238" s="54">
        <f>G226</f>
        <v>1750</v>
      </c>
      <c r="E238" s="50">
        <v>63</v>
      </c>
      <c r="F238" s="51">
        <v>55</v>
      </c>
      <c r="G238" s="52">
        <f>IFERROR(D238+E238-F238,"")</f>
        <v>1758</v>
      </c>
    </row>
    <row r="239" spans="1:7" ht="21.75" customHeight="1">
      <c r="A239" s="71"/>
      <c r="B239" s="71"/>
      <c r="C239" s="48" t="s">
        <v>34</v>
      </c>
      <c r="D239" s="54">
        <f>G227</f>
        <v>3797</v>
      </c>
      <c r="E239" s="50">
        <v>131</v>
      </c>
      <c r="F239" s="51">
        <v>84</v>
      </c>
      <c r="G239" s="52">
        <f>IFERROR(D239+E239-F239,"")</f>
        <v>3844</v>
      </c>
    </row>
    <row r="240" spans="1:7" ht="21.75" customHeight="1">
      <c r="A240" s="71"/>
      <c r="B240" s="71"/>
      <c r="C240" s="48" t="s">
        <v>25</v>
      </c>
      <c r="D240" s="54">
        <f>G228</f>
        <v>2051</v>
      </c>
      <c r="E240" s="50">
        <v>79</v>
      </c>
      <c r="F240" s="51">
        <v>57</v>
      </c>
      <c r="G240" s="52">
        <f>IFERROR(D240+E240-F240,"")</f>
        <v>2073</v>
      </c>
    </row>
    <row r="241" spans="1:7" ht="21.75" customHeight="1">
      <c r="A241" s="71"/>
      <c r="B241" s="71"/>
      <c r="C241" s="48" t="s">
        <v>35</v>
      </c>
      <c r="D241" s="54">
        <f>G229</f>
        <v>2189</v>
      </c>
      <c r="E241" s="50">
        <v>134</v>
      </c>
      <c r="F241" s="51">
        <v>117</v>
      </c>
      <c r="G241" s="52">
        <f>IFERROR(D241+E241-F241,"")</f>
        <v>2206</v>
      </c>
    </row>
    <row r="242" spans="1:7" ht="21.75" customHeight="1">
      <c r="A242" s="71"/>
      <c r="B242" s="71"/>
      <c r="C242" s="48" t="s">
        <v>29</v>
      </c>
      <c r="D242" s="54">
        <f>G230</f>
        <v>2570</v>
      </c>
      <c r="E242" s="50">
        <v>98</v>
      </c>
      <c r="F242" s="51">
        <v>81</v>
      </c>
      <c r="G242" s="52">
        <f>IFERROR(D242+E242-F242,"")</f>
        <v>2587</v>
      </c>
    </row>
    <row r="243" spans="1:7" ht="21.75" customHeight="1">
      <c r="A243" s="71"/>
      <c r="B243" s="71"/>
      <c r="C243" s="48" t="s">
        <v>31</v>
      </c>
      <c r="D243" s="54">
        <f>G231</f>
        <v>3210</v>
      </c>
      <c r="E243" s="50">
        <v>125</v>
      </c>
      <c r="F243" s="51">
        <v>104</v>
      </c>
      <c r="G243" s="52">
        <f>IFERROR(D243+E243-F243,"")</f>
        <v>3231</v>
      </c>
    </row>
    <row r="244" spans="1:7" ht="21.75" customHeight="1">
      <c r="A244" s="71"/>
      <c r="B244" s="71"/>
      <c r="C244" s="48" t="s">
        <v>33</v>
      </c>
      <c r="D244" s="54">
        <f>G232</f>
        <v>1242</v>
      </c>
      <c r="E244" s="50">
        <v>83</v>
      </c>
      <c r="F244" s="51">
        <v>80</v>
      </c>
      <c r="G244" s="52">
        <f>IFERROR(D244+E244-F244,"")</f>
        <v>1245</v>
      </c>
    </row>
    <row r="245" spans="1:7" ht="21.75" customHeight="1">
      <c r="A245" s="71"/>
      <c r="B245" s="71"/>
      <c r="C245" s="48" t="s">
        <v>36</v>
      </c>
      <c r="D245" s="54">
        <f>G233</f>
        <v>4097</v>
      </c>
      <c r="E245" s="50">
        <v>149</v>
      </c>
      <c r="F245" s="51">
        <v>116</v>
      </c>
      <c r="G245" s="52">
        <f>IFERROR(D245+E245-F245,"")</f>
        <v>4130</v>
      </c>
    </row>
    <row r="246" spans="1:7" ht="21.75" customHeight="1">
      <c r="A246" s="73" t="s">
        <v>175</v>
      </c>
      <c r="B246" s="73"/>
      <c r="C246" s="73"/>
      <c r="D246" s="53">
        <f>IFERROR(SUM(D235:D245),"")</f>
        <v>30323</v>
      </c>
      <c r="E246" s="53">
        <f>IFERROR(SUM(E235:E245),"")</f>
        <v>1195</v>
      </c>
      <c r="F246" s="53">
        <f>IFERROR(SUM(F235:F245),"")</f>
        <v>952</v>
      </c>
      <c r="G246" s="53">
        <f>IFERROR(SUM(G235:G245),"")</f>
        <v>30566</v>
      </c>
    </row>
    <row r="247" spans="1:7" ht="21.75" customHeight="1">
      <c r="A247" s="71">
        <v>46133</v>
      </c>
      <c r="B247" s="72" t="s">
        <v>52</v>
      </c>
      <c r="C247" s="48" t="s">
        <v>26</v>
      </c>
      <c r="D247" s="54">
        <f>G235</f>
        <v>3277</v>
      </c>
      <c r="E247" s="50">
        <v>146</v>
      </c>
      <c r="F247" s="51">
        <v>109</v>
      </c>
      <c r="G247" s="52">
        <f>IFERROR(D247+E247-F247,"")</f>
        <v>3314</v>
      </c>
    </row>
    <row r="248" spans="1:7" ht="21.75" customHeight="1">
      <c r="A248" s="71"/>
      <c r="B248" s="71"/>
      <c r="C248" s="48" t="s">
        <v>27</v>
      </c>
      <c r="D248" s="54">
        <f>G236</f>
        <v>2382</v>
      </c>
      <c r="E248" s="50">
        <v>110</v>
      </c>
      <c r="F248" s="51">
        <v>84</v>
      </c>
      <c r="G248" s="52">
        <f>IFERROR(D248+E248-F248,"")</f>
        <v>2408</v>
      </c>
    </row>
    <row r="249" spans="1:7" ht="21.75" customHeight="1">
      <c r="A249" s="71"/>
      <c r="B249" s="71"/>
      <c r="C249" s="48" t="s">
        <v>30</v>
      </c>
      <c r="D249" s="54">
        <f>G237</f>
        <v>3833</v>
      </c>
      <c r="E249" s="50">
        <v>125</v>
      </c>
      <c r="F249" s="51">
        <v>89</v>
      </c>
      <c r="G249" s="52">
        <f>IFERROR(D249+E249-F249,"")</f>
        <v>3869</v>
      </c>
    </row>
    <row r="250" spans="1:7" ht="21.75" customHeight="1">
      <c r="A250" s="71"/>
      <c r="B250" s="71"/>
      <c r="C250" s="48" t="s">
        <v>32</v>
      </c>
      <c r="D250" s="54">
        <f>G238</f>
        <v>1758</v>
      </c>
      <c r="E250" s="50">
        <v>64</v>
      </c>
      <c r="F250" s="51">
        <v>59</v>
      </c>
      <c r="G250" s="52">
        <f>IFERROR(D250+E250-F250,"")</f>
        <v>1763</v>
      </c>
    </row>
    <row r="251" spans="1:7" ht="21.75" customHeight="1">
      <c r="A251" s="71"/>
      <c r="B251" s="71"/>
      <c r="C251" s="48" t="s">
        <v>34</v>
      </c>
      <c r="D251" s="54">
        <f>G239</f>
        <v>3844</v>
      </c>
      <c r="E251" s="50">
        <v>136</v>
      </c>
      <c r="F251" s="51">
        <v>91</v>
      </c>
      <c r="G251" s="52">
        <f>IFERROR(D251+E251-F251,"")</f>
        <v>3889</v>
      </c>
    </row>
    <row r="252" spans="1:7" ht="21.75" customHeight="1">
      <c r="A252" s="71"/>
      <c r="B252" s="71"/>
      <c r="C252" s="48" t="s">
        <v>25</v>
      </c>
      <c r="D252" s="54">
        <f>G240</f>
        <v>2073</v>
      </c>
      <c r="E252" s="50">
        <v>67</v>
      </c>
      <c r="F252" s="51">
        <v>50</v>
      </c>
      <c r="G252" s="52">
        <f>IFERROR(D252+E252-F252,"")</f>
        <v>2090</v>
      </c>
    </row>
    <row r="253" spans="1:7" ht="21.75" customHeight="1">
      <c r="A253" s="71"/>
      <c r="B253" s="71"/>
      <c r="C253" s="48" t="s">
        <v>35</v>
      </c>
      <c r="D253" s="54">
        <f>G241</f>
        <v>2206</v>
      </c>
      <c r="E253" s="50">
        <v>115</v>
      </c>
      <c r="F253" s="51">
        <v>99</v>
      </c>
      <c r="G253" s="52">
        <f>IFERROR(D253+E253-F253,"")</f>
        <v>2222</v>
      </c>
    </row>
    <row r="254" spans="1:7" ht="21.75" customHeight="1">
      <c r="A254" s="71"/>
      <c r="B254" s="71"/>
      <c r="C254" s="48" t="s">
        <v>29</v>
      </c>
      <c r="D254" s="54">
        <f>G242</f>
        <v>2587</v>
      </c>
      <c r="E254" s="50">
        <v>70</v>
      </c>
      <c r="F254" s="51">
        <v>48</v>
      </c>
      <c r="G254" s="52">
        <f>IFERROR(D254+E254-F254,"")</f>
        <v>2609</v>
      </c>
    </row>
    <row r="255" spans="1:7" ht="21.75" customHeight="1">
      <c r="A255" s="71"/>
      <c r="B255" s="71"/>
      <c r="C255" s="48" t="s">
        <v>31</v>
      </c>
      <c r="D255" s="54">
        <f>G243</f>
        <v>3231</v>
      </c>
      <c r="E255" s="50">
        <v>104</v>
      </c>
      <c r="F255" s="51">
        <v>73</v>
      </c>
      <c r="G255" s="52">
        <f>IFERROR(D255+E255-F255,"")</f>
        <v>3262</v>
      </c>
    </row>
    <row r="256" spans="1:7" ht="21.75" customHeight="1">
      <c r="A256" s="71"/>
      <c r="B256" s="71"/>
      <c r="C256" s="48" t="s">
        <v>33</v>
      </c>
      <c r="D256" s="54">
        <f>G244</f>
        <v>1245</v>
      </c>
      <c r="E256" s="50">
        <v>79</v>
      </c>
      <c r="F256" s="51">
        <v>65</v>
      </c>
      <c r="G256" s="52">
        <f>IFERROR(D256+E256-F256,"")</f>
        <v>1259</v>
      </c>
    </row>
    <row r="257" spans="1:7" ht="21.75" customHeight="1">
      <c r="A257" s="71"/>
      <c r="B257" s="71"/>
      <c r="C257" s="48" t="s">
        <v>36</v>
      </c>
      <c r="D257" s="54">
        <f>G245</f>
        <v>4130</v>
      </c>
      <c r="E257" s="50">
        <v>122</v>
      </c>
      <c r="F257" s="51">
        <v>76</v>
      </c>
      <c r="G257" s="52">
        <f>IFERROR(D257+E257-F257,"")</f>
        <v>4176</v>
      </c>
    </row>
    <row r="258" spans="1:7" ht="21.75" customHeight="1">
      <c r="A258" s="73" t="s">
        <v>176</v>
      </c>
      <c r="B258" s="73"/>
      <c r="C258" s="73"/>
      <c r="D258" s="53">
        <f>IFERROR(SUM(D247:D257),"")</f>
        <v>30566</v>
      </c>
      <c r="E258" s="53">
        <f>IFERROR(SUM(E247:E257),"")</f>
        <v>1138</v>
      </c>
      <c r="F258" s="53">
        <f>IFERROR(SUM(F247:F257),"")</f>
        <v>843</v>
      </c>
      <c r="G258" s="53">
        <f>IFERROR(SUM(G247:G257),"")</f>
        <v>30861</v>
      </c>
    </row>
    <row r="259" spans="1:7" ht="21.75" customHeight="1">
      <c r="A259" s="71">
        <v>46134</v>
      </c>
      <c r="B259" s="72" t="s">
        <v>53</v>
      </c>
      <c r="C259" s="48" t="s">
        <v>26</v>
      </c>
      <c r="D259" s="54">
        <f>G247</f>
        <v>3314</v>
      </c>
      <c r="E259" s="50">
        <v>133</v>
      </c>
      <c r="F259" s="51">
        <v>98</v>
      </c>
      <c r="G259" s="52">
        <f>IFERROR(D259+E259-F259,"")</f>
        <v>3349</v>
      </c>
    </row>
    <row r="260" spans="1:7" ht="21.75" customHeight="1">
      <c r="A260" s="71"/>
      <c r="B260" s="71"/>
      <c r="C260" s="48" t="s">
        <v>27</v>
      </c>
      <c r="D260" s="54">
        <f>G248</f>
        <v>2408</v>
      </c>
      <c r="E260" s="50">
        <v>127</v>
      </c>
      <c r="F260" s="51">
        <v>112</v>
      </c>
      <c r="G260" s="52">
        <f>IFERROR(D260+E260-F260,"")</f>
        <v>2423</v>
      </c>
    </row>
    <row r="261" spans="1:7" ht="21.75" customHeight="1">
      <c r="A261" s="71"/>
      <c r="B261" s="71"/>
      <c r="C261" s="48" t="s">
        <v>30</v>
      </c>
      <c r="D261" s="54">
        <f>G249</f>
        <v>3869</v>
      </c>
      <c r="E261" s="50">
        <v>92</v>
      </c>
      <c r="F261" s="51">
        <v>73</v>
      </c>
      <c r="G261" s="52">
        <f>IFERROR(D261+E261-F261,"")</f>
        <v>3888</v>
      </c>
    </row>
    <row r="262" spans="1:7" ht="21.75" customHeight="1">
      <c r="A262" s="71"/>
      <c r="B262" s="71"/>
      <c r="C262" s="48" t="s">
        <v>32</v>
      </c>
      <c r="D262" s="54">
        <f>G250</f>
        <v>1763</v>
      </c>
      <c r="E262" s="50">
        <v>84</v>
      </c>
      <c r="F262" s="51">
        <v>78</v>
      </c>
      <c r="G262" s="52">
        <f>IFERROR(D262+E262-F262,"")</f>
        <v>1769</v>
      </c>
    </row>
    <row r="263" spans="1:7" ht="21.75" customHeight="1">
      <c r="A263" s="71"/>
      <c r="B263" s="71"/>
      <c r="C263" s="48" t="s">
        <v>34</v>
      </c>
      <c r="D263" s="54">
        <f>G251</f>
        <v>3889</v>
      </c>
      <c r="E263" s="50">
        <v>100</v>
      </c>
      <c r="F263" s="51">
        <v>73</v>
      </c>
      <c r="G263" s="52">
        <f>IFERROR(D263+E263-F263,"")</f>
        <v>3916</v>
      </c>
    </row>
    <row r="264" spans="1:7" ht="21.75" customHeight="1">
      <c r="A264" s="71"/>
      <c r="B264" s="71"/>
      <c r="C264" s="48" t="s">
        <v>25</v>
      </c>
      <c r="D264" s="54">
        <f>G252</f>
        <v>2090</v>
      </c>
      <c r="E264" s="50">
        <v>69</v>
      </c>
      <c r="F264" s="51">
        <v>58</v>
      </c>
      <c r="G264" s="52">
        <f>IFERROR(D264+E264-F264,"")</f>
        <v>2101</v>
      </c>
    </row>
    <row r="265" spans="1:7" ht="21.75" customHeight="1">
      <c r="A265" s="71"/>
      <c r="B265" s="71"/>
      <c r="C265" s="48" t="s">
        <v>35</v>
      </c>
      <c r="D265" s="54">
        <f>G253</f>
        <v>2222</v>
      </c>
      <c r="E265" s="50">
        <v>124</v>
      </c>
      <c r="F265" s="51">
        <v>102</v>
      </c>
      <c r="G265" s="52">
        <f>IFERROR(D265+E265-F265,"")</f>
        <v>2244</v>
      </c>
    </row>
    <row r="266" spans="1:7" ht="21.75" customHeight="1">
      <c r="A266" s="71"/>
      <c r="B266" s="71"/>
      <c r="C266" s="48" t="s">
        <v>29</v>
      </c>
      <c r="D266" s="54">
        <f>G254</f>
        <v>2609</v>
      </c>
      <c r="E266" s="50">
        <v>99</v>
      </c>
      <c r="F266" s="51">
        <v>82</v>
      </c>
      <c r="G266" s="52">
        <f>IFERROR(D266+E266-F266,"")</f>
        <v>2626</v>
      </c>
    </row>
    <row r="267" spans="1:7" ht="21.75" customHeight="1">
      <c r="A267" s="71"/>
      <c r="B267" s="71"/>
      <c r="C267" s="48" t="s">
        <v>31</v>
      </c>
      <c r="D267" s="54">
        <f>G255</f>
        <v>3262</v>
      </c>
      <c r="E267" s="50">
        <v>113</v>
      </c>
      <c r="F267" s="51">
        <v>87</v>
      </c>
      <c r="G267" s="52">
        <f>IFERROR(D267+E267-F267,"")</f>
        <v>3288</v>
      </c>
    </row>
    <row r="268" spans="1:7" ht="21.75" customHeight="1">
      <c r="A268" s="71"/>
      <c r="B268" s="71"/>
      <c r="C268" s="48" t="s">
        <v>33</v>
      </c>
      <c r="D268" s="54">
        <f>G256</f>
        <v>1259</v>
      </c>
      <c r="E268" s="50">
        <v>69</v>
      </c>
      <c r="F268" s="51">
        <v>57</v>
      </c>
      <c r="G268" s="52">
        <f>IFERROR(D268+E268-F268,"")</f>
        <v>1271</v>
      </c>
    </row>
    <row r="269" spans="1:7" ht="21.75" customHeight="1">
      <c r="A269" s="71"/>
      <c r="B269" s="71"/>
      <c r="C269" s="48" t="s">
        <v>36</v>
      </c>
      <c r="D269" s="54">
        <f>G257</f>
        <v>4176</v>
      </c>
      <c r="E269" s="50">
        <v>150</v>
      </c>
      <c r="F269" s="51">
        <v>106</v>
      </c>
      <c r="G269" s="52">
        <f>IFERROR(D269+E269-F269,"")</f>
        <v>4220</v>
      </c>
    </row>
    <row r="270" spans="1:7" ht="21.75" customHeight="1">
      <c r="A270" s="73" t="s">
        <v>177</v>
      </c>
      <c r="B270" s="73"/>
      <c r="C270" s="73"/>
      <c r="D270" s="53">
        <f>IFERROR(SUM(D259:D269),"")</f>
        <v>30861</v>
      </c>
      <c r="E270" s="53">
        <f>IFERROR(SUM(E259:E269),"")</f>
        <v>1160</v>
      </c>
      <c r="F270" s="53">
        <f>IFERROR(SUM(F259:F269),"")</f>
        <v>926</v>
      </c>
      <c r="G270" s="53">
        <f>IFERROR(SUM(G259:G269),"")</f>
        <v>31095</v>
      </c>
    </row>
    <row r="271" spans="1:7" ht="21.75" customHeight="1">
      <c r="A271" s="71">
        <v>46135</v>
      </c>
      <c r="B271" s="72" t="s">
        <v>45</v>
      </c>
      <c r="C271" s="48" t="s">
        <v>26</v>
      </c>
      <c r="D271" s="54">
        <f>G259</f>
        <v>3349</v>
      </c>
      <c r="E271" s="50">
        <v>96</v>
      </c>
      <c r="F271" s="51">
        <v>81</v>
      </c>
      <c r="G271" s="52">
        <f>IFERROR(D271+E271-F271,"")</f>
        <v>3364</v>
      </c>
    </row>
    <row r="272" spans="1:7" ht="21.75" customHeight="1">
      <c r="A272" s="71"/>
      <c r="B272" s="71"/>
      <c r="C272" s="48" t="s">
        <v>27</v>
      </c>
      <c r="D272" s="54">
        <f>G260</f>
        <v>2423</v>
      </c>
      <c r="E272" s="50">
        <v>104</v>
      </c>
      <c r="F272" s="51">
        <v>72</v>
      </c>
      <c r="G272" s="52">
        <f>IFERROR(D272+E272-F272,"")</f>
        <v>2455</v>
      </c>
    </row>
    <row r="273" spans="1:7" ht="21.75" customHeight="1">
      <c r="A273" s="71"/>
      <c r="B273" s="71"/>
      <c r="C273" s="48" t="s">
        <v>30</v>
      </c>
      <c r="D273" s="54">
        <f>G261</f>
        <v>3888</v>
      </c>
      <c r="E273" s="50">
        <v>140</v>
      </c>
      <c r="F273" s="51">
        <v>102</v>
      </c>
      <c r="G273" s="52">
        <f>IFERROR(D273+E273-F273,"")</f>
        <v>3926</v>
      </c>
    </row>
    <row r="274" spans="1:7" ht="21.75" customHeight="1">
      <c r="A274" s="71"/>
      <c r="B274" s="71"/>
      <c r="C274" s="48" t="s">
        <v>32</v>
      </c>
      <c r="D274" s="54">
        <f>G262</f>
        <v>1769</v>
      </c>
      <c r="E274" s="50">
        <v>96</v>
      </c>
      <c r="F274" s="51">
        <v>72</v>
      </c>
      <c r="G274" s="52">
        <f>IFERROR(D274+E274-F274,"")</f>
        <v>1793</v>
      </c>
    </row>
    <row r="275" spans="1:7" ht="21.75" customHeight="1">
      <c r="A275" s="71"/>
      <c r="B275" s="71"/>
      <c r="C275" s="48" t="s">
        <v>34</v>
      </c>
      <c r="D275" s="54">
        <f>G263</f>
        <v>3916</v>
      </c>
      <c r="E275" s="50">
        <v>110</v>
      </c>
      <c r="F275" s="51">
        <v>88</v>
      </c>
      <c r="G275" s="52">
        <f>IFERROR(D275+E275-F275,"")</f>
        <v>3938</v>
      </c>
    </row>
    <row r="276" spans="1:7" ht="21.75" customHeight="1">
      <c r="A276" s="71"/>
      <c r="B276" s="71"/>
      <c r="C276" s="48" t="s">
        <v>25</v>
      </c>
      <c r="D276" s="54">
        <f>G264</f>
        <v>2101</v>
      </c>
      <c r="E276" s="50">
        <v>77</v>
      </c>
      <c r="F276" s="51">
        <v>56</v>
      </c>
      <c r="G276" s="52">
        <f>IFERROR(D276+E276-F276,"")</f>
        <v>2122</v>
      </c>
    </row>
    <row r="277" spans="1:7" ht="21.75" customHeight="1">
      <c r="A277" s="71"/>
      <c r="B277" s="71"/>
      <c r="C277" s="48" t="s">
        <v>35</v>
      </c>
      <c r="D277" s="54">
        <f>G265</f>
        <v>2244</v>
      </c>
      <c r="E277" s="50">
        <v>134</v>
      </c>
      <c r="F277" s="51">
        <v>101</v>
      </c>
      <c r="G277" s="52">
        <f>IFERROR(D277+E277-F277,"")</f>
        <v>2277</v>
      </c>
    </row>
    <row r="278" spans="1:7" ht="21.75" customHeight="1">
      <c r="A278" s="71"/>
      <c r="B278" s="71"/>
      <c r="C278" s="48" t="s">
        <v>29</v>
      </c>
      <c r="D278" s="54">
        <f>G266</f>
        <v>2626</v>
      </c>
      <c r="E278" s="50">
        <v>68</v>
      </c>
      <c r="F278" s="51">
        <v>48</v>
      </c>
      <c r="G278" s="52">
        <f>IFERROR(D278+E278-F278,"")</f>
        <v>2646</v>
      </c>
    </row>
    <row r="279" spans="1:7" ht="21.75" customHeight="1">
      <c r="A279" s="71"/>
      <c r="B279" s="71"/>
      <c r="C279" s="48" t="s">
        <v>31</v>
      </c>
      <c r="D279" s="54">
        <f>G267</f>
        <v>3288</v>
      </c>
      <c r="E279" s="50">
        <v>133</v>
      </c>
      <c r="F279" s="51">
        <v>95</v>
      </c>
      <c r="G279" s="52">
        <f>IFERROR(D279+E279-F279,"")</f>
        <v>3326</v>
      </c>
    </row>
    <row r="280" spans="1:7" ht="21.75" customHeight="1">
      <c r="A280" s="71"/>
      <c r="B280" s="71"/>
      <c r="C280" s="48" t="s">
        <v>33</v>
      </c>
      <c r="D280" s="54">
        <f>G268</f>
        <v>1271</v>
      </c>
      <c r="E280" s="50">
        <v>68</v>
      </c>
      <c r="F280" s="51">
        <v>60</v>
      </c>
      <c r="G280" s="52">
        <f>IFERROR(D280+E280-F280,"")</f>
        <v>1279</v>
      </c>
    </row>
    <row r="281" spans="1:7" ht="21.75" customHeight="1">
      <c r="A281" s="71"/>
      <c r="B281" s="71"/>
      <c r="C281" s="48" t="s">
        <v>36</v>
      </c>
      <c r="D281" s="54">
        <f>G269</f>
        <v>4220</v>
      </c>
      <c r="E281" s="50">
        <v>136</v>
      </c>
      <c r="F281" s="51">
        <v>92</v>
      </c>
      <c r="G281" s="52">
        <f>IFERROR(D281+E281-F281,"")</f>
        <v>4264</v>
      </c>
    </row>
    <row r="282" spans="1:7" ht="21.75" customHeight="1">
      <c r="A282" s="73" t="s">
        <v>178</v>
      </c>
      <c r="B282" s="73"/>
      <c r="C282" s="73"/>
      <c r="D282" s="53">
        <f>IFERROR(SUM(D271:D281),"")</f>
        <v>31095</v>
      </c>
      <c r="E282" s="53">
        <f>IFERROR(SUM(E271:E281),"")</f>
        <v>1162</v>
      </c>
      <c r="F282" s="53">
        <f>IFERROR(SUM(F271:F281),"")</f>
        <v>867</v>
      </c>
      <c r="G282" s="53">
        <f>IFERROR(SUM(G271:G281),"")</f>
        <v>31390</v>
      </c>
    </row>
    <row r="283" spans="1:7" ht="21.75" customHeight="1">
      <c r="A283" s="71">
        <v>46136</v>
      </c>
      <c r="B283" s="72" t="s">
        <v>47</v>
      </c>
      <c r="C283" s="48" t="s">
        <v>26</v>
      </c>
      <c r="D283" s="54">
        <f>G271</f>
        <v>3364</v>
      </c>
      <c r="E283" s="50">
        <v>149</v>
      </c>
      <c r="F283" s="51">
        <v>97</v>
      </c>
      <c r="G283" s="52">
        <f>IFERROR(D283+E283-F283,"")</f>
        <v>3416</v>
      </c>
    </row>
    <row r="284" spans="1:7" ht="21.75" customHeight="1">
      <c r="A284" s="71"/>
      <c r="B284" s="71"/>
      <c r="C284" s="48" t="s">
        <v>27</v>
      </c>
      <c r="D284" s="54">
        <f>G272</f>
        <v>2455</v>
      </c>
      <c r="E284" s="50">
        <v>130</v>
      </c>
      <c r="F284" s="51">
        <v>102</v>
      </c>
      <c r="G284" s="52">
        <f>IFERROR(D284+E284-F284,"")</f>
        <v>2483</v>
      </c>
    </row>
    <row r="285" spans="1:7" ht="21.75" customHeight="1">
      <c r="A285" s="71"/>
      <c r="B285" s="71"/>
      <c r="C285" s="48" t="s">
        <v>30</v>
      </c>
      <c r="D285" s="54">
        <f>G273</f>
        <v>3926</v>
      </c>
      <c r="E285" s="50">
        <v>118</v>
      </c>
      <c r="F285" s="51">
        <v>90</v>
      </c>
      <c r="G285" s="52">
        <f>IFERROR(D285+E285-F285,"")</f>
        <v>3954</v>
      </c>
    </row>
    <row r="286" spans="1:7" ht="21.75" customHeight="1">
      <c r="A286" s="71"/>
      <c r="B286" s="71"/>
      <c r="C286" s="48" t="s">
        <v>32</v>
      </c>
      <c r="D286" s="54">
        <f>G274</f>
        <v>1793</v>
      </c>
      <c r="E286" s="50">
        <v>64</v>
      </c>
      <c r="F286" s="51">
        <v>60</v>
      </c>
      <c r="G286" s="52">
        <f>IFERROR(D286+E286-F286,"")</f>
        <v>1797</v>
      </c>
    </row>
    <row r="287" spans="1:7" ht="21.75" customHeight="1">
      <c r="A287" s="71"/>
      <c r="B287" s="71"/>
      <c r="C287" s="48" t="s">
        <v>34</v>
      </c>
      <c r="D287" s="54">
        <f>G275</f>
        <v>3938</v>
      </c>
      <c r="E287" s="50">
        <v>105</v>
      </c>
      <c r="F287" s="51">
        <v>65</v>
      </c>
      <c r="G287" s="52">
        <f>IFERROR(D287+E287-F287,"")</f>
        <v>3978</v>
      </c>
    </row>
    <row r="288" spans="1:7" ht="21.75" customHeight="1">
      <c r="A288" s="71"/>
      <c r="B288" s="71"/>
      <c r="C288" s="48" t="s">
        <v>25</v>
      </c>
      <c r="D288" s="54">
        <f>G276</f>
        <v>2122</v>
      </c>
      <c r="E288" s="50">
        <v>110</v>
      </c>
      <c r="F288" s="51">
        <v>81</v>
      </c>
      <c r="G288" s="52">
        <f>IFERROR(D288+E288-F288,"")</f>
        <v>2151</v>
      </c>
    </row>
    <row r="289" spans="1:7" ht="21.75" customHeight="1">
      <c r="A289" s="71"/>
      <c r="B289" s="71"/>
      <c r="C289" s="48" t="s">
        <v>35</v>
      </c>
      <c r="D289" s="54">
        <f>G277</f>
        <v>2277</v>
      </c>
      <c r="E289" s="50">
        <v>100</v>
      </c>
      <c r="F289" s="51">
        <v>72</v>
      </c>
      <c r="G289" s="52">
        <f>IFERROR(D289+E289-F289,"")</f>
        <v>2305</v>
      </c>
    </row>
    <row r="290" spans="1:7" ht="21.75" customHeight="1">
      <c r="A290" s="71"/>
      <c r="B290" s="71"/>
      <c r="C290" s="48" t="s">
        <v>29</v>
      </c>
      <c r="D290" s="54">
        <f>G278</f>
        <v>2646</v>
      </c>
      <c r="E290" s="50">
        <v>104</v>
      </c>
      <c r="F290" s="51">
        <v>72</v>
      </c>
      <c r="G290" s="52">
        <f>IFERROR(D290+E290-F290,"")</f>
        <v>2678</v>
      </c>
    </row>
    <row r="291" spans="1:7" ht="21.75" customHeight="1">
      <c r="A291" s="71"/>
      <c r="B291" s="71"/>
      <c r="C291" s="48" t="s">
        <v>31</v>
      </c>
      <c r="D291" s="54">
        <f>G279</f>
        <v>3326</v>
      </c>
      <c r="E291" s="50">
        <v>115</v>
      </c>
      <c r="F291" s="51">
        <v>77</v>
      </c>
      <c r="G291" s="52">
        <f>IFERROR(D291+E291-F291,"")</f>
        <v>3364</v>
      </c>
    </row>
    <row r="292" spans="1:7" ht="21.75" customHeight="1">
      <c r="A292" s="71"/>
      <c r="B292" s="71"/>
      <c r="C292" s="48" t="s">
        <v>33</v>
      </c>
      <c r="D292" s="54">
        <f>G280</f>
        <v>1279</v>
      </c>
      <c r="E292" s="50">
        <v>85</v>
      </c>
      <c r="F292" s="51">
        <v>69</v>
      </c>
      <c r="G292" s="52">
        <f>IFERROR(D292+E292-F292,"")</f>
        <v>1295</v>
      </c>
    </row>
    <row r="293" spans="1:7" ht="21.75" customHeight="1">
      <c r="A293" s="71"/>
      <c r="B293" s="71"/>
      <c r="C293" s="48" t="s">
        <v>36</v>
      </c>
      <c r="D293" s="54">
        <f>G281</f>
        <v>4264</v>
      </c>
      <c r="E293" s="50">
        <v>167</v>
      </c>
      <c r="F293" s="51">
        <v>114</v>
      </c>
      <c r="G293" s="52">
        <f>IFERROR(D293+E293-F293,"")</f>
        <v>4317</v>
      </c>
    </row>
    <row r="294" spans="1:7" ht="21.75" customHeight="1">
      <c r="A294" s="73" t="s">
        <v>179</v>
      </c>
      <c r="B294" s="73"/>
      <c r="C294" s="73"/>
      <c r="D294" s="53">
        <f>IFERROR(SUM(D283:D293),"")</f>
        <v>31390</v>
      </c>
      <c r="E294" s="53">
        <f>IFERROR(SUM(E283:E293),"")</f>
        <v>1247</v>
      </c>
      <c r="F294" s="53">
        <f>IFERROR(SUM(F283:F293),"")</f>
        <v>899</v>
      </c>
      <c r="G294" s="53">
        <f>IFERROR(SUM(G283:G293),"")</f>
        <v>31738</v>
      </c>
    </row>
    <row r="295" spans="1:7" ht="21.75" customHeight="1">
      <c r="A295" s="74">
        <v>46137</v>
      </c>
      <c r="B295" s="75" t="s">
        <v>48</v>
      </c>
      <c r="C295" s="48" t="s">
        <v>26</v>
      </c>
      <c r="D295" s="54">
        <f>G283</f>
        <v>3416</v>
      </c>
      <c r="E295" s="50">
        <v>51</v>
      </c>
      <c r="F295" s="51">
        <v>34</v>
      </c>
      <c r="G295" s="52">
        <f>IFERROR(D295+E295-F295,"")</f>
        <v>3433</v>
      </c>
    </row>
    <row r="296" spans="1:7" ht="21.75" customHeight="1">
      <c r="A296" s="74"/>
      <c r="B296" s="74"/>
      <c r="C296" s="48" t="s">
        <v>27</v>
      </c>
      <c r="D296" s="54">
        <f>G284</f>
        <v>2483</v>
      </c>
      <c r="E296" s="50">
        <v>65</v>
      </c>
      <c r="F296" s="51">
        <v>45</v>
      </c>
      <c r="G296" s="52">
        <f>IFERROR(D296+E296-F296,"")</f>
        <v>2503</v>
      </c>
    </row>
    <row r="297" spans="1:7" ht="21.75" customHeight="1">
      <c r="A297" s="74"/>
      <c r="B297" s="74"/>
      <c r="C297" s="48" t="s">
        <v>30</v>
      </c>
      <c r="D297" s="54">
        <f>G285</f>
        <v>3954</v>
      </c>
      <c r="E297" s="50">
        <v>55</v>
      </c>
      <c r="F297" s="51">
        <v>42</v>
      </c>
      <c r="G297" s="52">
        <f>IFERROR(D297+E297-F297,"")</f>
        <v>3967</v>
      </c>
    </row>
    <row r="298" spans="1:7" ht="21.75" customHeight="1">
      <c r="A298" s="74"/>
      <c r="B298" s="74"/>
      <c r="C298" s="48" t="s">
        <v>32</v>
      </c>
      <c r="D298" s="54">
        <f>G286</f>
        <v>1797</v>
      </c>
      <c r="E298" s="50">
        <v>48</v>
      </c>
      <c r="F298" s="51">
        <v>42</v>
      </c>
      <c r="G298" s="52">
        <f>IFERROR(D298+E298-F298,"")</f>
        <v>1803</v>
      </c>
    </row>
    <row r="299" spans="1:7" ht="21.75" customHeight="1">
      <c r="A299" s="74"/>
      <c r="B299" s="74"/>
      <c r="C299" s="48" t="s">
        <v>34</v>
      </c>
      <c r="D299" s="54">
        <f>G287</f>
        <v>3978</v>
      </c>
      <c r="E299" s="50">
        <v>85</v>
      </c>
      <c r="F299" s="51">
        <v>58</v>
      </c>
      <c r="G299" s="52">
        <f>IFERROR(D299+E299-F299,"")</f>
        <v>4005</v>
      </c>
    </row>
    <row r="300" spans="1:7" ht="21.75" customHeight="1">
      <c r="A300" s="74"/>
      <c r="B300" s="74"/>
      <c r="C300" s="48" t="s">
        <v>25</v>
      </c>
      <c r="D300" s="54">
        <f>G288</f>
        <v>2151</v>
      </c>
      <c r="E300" s="50">
        <v>24</v>
      </c>
      <c r="F300" s="51">
        <v>20</v>
      </c>
      <c r="G300" s="52">
        <f>IFERROR(D300+E300-F300,"")</f>
        <v>2155</v>
      </c>
    </row>
    <row r="301" spans="1:7" ht="21.75" customHeight="1">
      <c r="A301" s="74"/>
      <c r="B301" s="74"/>
      <c r="C301" s="48" t="s">
        <v>35</v>
      </c>
      <c r="D301" s="54">
        <f>G289</f>
        <v>2305</v>
      </c>
      <c r="E301" s="50">
        <v>70</v>
      </c>
      <c r="F301" s="51">
        <v>53</v>
      </c>
      <c r="G301" s="52">
        <f>IFERROR(D301+E301-F301,"")</f>
        <v>2322</v>
      </c>
    </row>
    <row r="302" spans="1:7" ht="21.75" customHeight="1">
      <c r="A302" s="74"/>
      <c r="B302" s="74"/>
      <c r="C302" s="48" t="s">
        <v>29</v>
      </c>
      <c r="D302" s="54">
        <f>G290</f>
        <v>2678</v>
      </c>
      <c r="E302" s="50">
        <v>32</v>
      </c>
      <c r="F302" s="51">
        <v>26</v>
      </c>
      <c r="G302" s="52">
        <f>IFERROR(D302+E302-F302,"")</f>
        <v>2684</v>
      </c>
    </row>
    <row r="303" spans="1:7" ht="21.75" customHeight="1">
      <c r="A303" s="74"/>
      <c r="B303" s="74"/>
      <c r="C303" s="48" t="s">
        <v>31</v>
      </c>
      <c r="D303" s="54">
        <f>G291</f>
        <v>3364</v>
      </c>
      <c r="E303" s="50">
        <v>53</v>
      </c>
      <c r="F303" s="51">
        <v>43</v>
      </c>
      <c r="G303" s="52">
        <f>IFERROR(D303+E303-F303,"")</f>
        <v>3374</v>
      </c>
    </row>
    <row r="304" spans="1:7" ht="21.75" customHeight="1">
      <c r="A304" s="74"/>
      <c r="B304" s="74"/>
      <c r="C304" s="48" t="s">
        <v>33</v>
      </c>
      <c r="D304" s="54">
        <f>G292</f>
        <v>1295</v>
      </c>
      <c r="E304" s="50">
        <v>41</v>
      </c>
      <c r="F304" s="51">
        <v>32</v>
      </c>
      <c r="G304" s="52">
        <f>IFERROR(D304+E304-F304,"")</f>
        <v>1304</v>
      </c>
    </row>
    <row r="305" spans="1:7" ht="21.75" customHeight="1">
      <c r="A305" s="74"/>
      <c r="B305" s="74"/>
      <c r="C305" s="48" t="s">
        <v>36</v>
      </c>
      <c r="D305" s="54">
        <f>G293</f>
        <v>4317</v>
      </c>
      <c r="E305" s="50">
        <v>74</v>
      </c>
      <c r="F305" s="51">
        <v>57</v>
      </c>
      <c r="G305" s="52">
        <f>IFERROR(D305+E305-F305,"")</f>
        <v>4334</v>
      </c>
    </row>
    <row r="306" spans="1:7" ht="21.75" customHeight="1">
      <c r="A306" s="73" t="s">
        <v>180</v>
      </c>
      <c r="B306" s="73"/>
      <c r="C306" s="73"/>
      <c r="D306" s="53">
        <f>IFERROR(SUM(D295:D305),"")</f>
        <v>31738</v>
      </c>
      <c r="E306" s="53">
        <f>IFERROR(SUM(E295:E305),"")</f>
        <v>598</v>
      </c>
      <c r="F306" s="53">
        <f>IFERROR(SUM(F295:F305),"")</f>
        <v>452</v>
      </c>
      <c r="G306" s="53">
        <f>IFERROR(SUM(G295:G305),"")</f>
        <v>31884</v>
      </c>
    </row>
    <row r="307" spans="1:7" ht="21.75" customHeight="1">
      <c r="A307" s="74">
        <v>46138</v>
      </c>
      <c r="B307" s="75" t="s">
        <v>50</v>
      </c>
      <c r="C307" s="48" t="s">
        <v>26</v>
      </c>
      <c r="D307" s="54">
        <f>G295</f>
        <v>3433</v>
      </c>
      <c r="E307" s="50">
        <v>53</v>
      </c>
      <c r="F307" s="51">
        <v>34</v>
      </c>
      <c r="G307" s="52">
        <f>IFERROR(D307+E307-F307,"")</f>
        <v>3452</v>
      </c>
    </row>
    <row r="308" spans="1:7" ht="21.75" customHeight="1">
      <c r="A308" s="74"/>
      <c r="B308" s="74"/>
      <c r="C308" s="48" t="s">
        <v>27</v>
      </c>
      <c r="D308" s="54">
        <f>G296</f>
        <v>2503</v>
      </c>
      <c r="E308" s="50">
        <v>54</v>
      </c>
      <c r="F308" s="51">
        <v>44</v>
      </c>
      <c r="G308" s="52">
        <f>IFERROR(D308+E308-F308,"")</f>
        <v>2513</v>
      </c>
    </row>
    <row r="309" spans="1:7" ht="21.75" customHeight="1">
      <c r="A309" s="74"/>
      <c r="B309" s="74"/>
      <c r="C309" s="48" t="s">
        <v>30</v>
      </c>
      <c r="D309" s="54">
        <f>G297</f>
        <v>3967</v>
      </c>
      <c r="E309" s="50">
        <v>42</v>
      </c>
      <c r="F309" s="51">
        <v>31</v>
      </c>
      <c r="G309" s="52">
        <f>IFERROR(D309+E309-F309,"")</f>
        <v>3978</v>
      </c>
    </row>
    <row r="310" spans="1:7" ht="21.75" customHeight="1">
      <c r="A310" s="74"/>
      <c r="B310" s="74"/>
      <c r="C310" s="48" t="s">
        <v>32</v>
      </c>
      <c r="D310" s="54">
        <f>G298</f>
        <v>1803</v>
      </c>
      <c r="E310" s="50">
        <v>47</v>
      </c>
      <c r="F310" s="51">
        <v>42</v>
      </c>
      <c r="G310" s="52">
        <f>IFERROR(D310+E310-F310,"")</f>
        <v>1808</v>
      </c>
    </row>
    <row r="311" spans="1:7" ht="21.75" customHeight="1">
      <c r="A311" s="74"/>
      <c r="B311" s="74"/>
      <c r="C311" s="48" t="s">
        <v>34</v>
      </c>
      <c r="D311" s="54">
        <f>G299</f>
        <v>4005</v>
      </c>
      <c r="E311" s="50">
        <v>85</v>
      </c>
      <c r="F311" s="51">
        <v>56</v>
      </c>
      <c r="G311" s="52">
        <f>IFERROR(D311+E311-F311,"")</f>
        <v>4034</v>
      </c>
    </row>
    <row r="312" spans="1:7" ht="21.75" customHeight="1">
      <c r="A312" s="74"/>
      <c r="B312" s="74"/>
      <c r="C312" s="48" t="s">
        <v>25</v>
      </c>
      <c r="D312" s="54">
        <f>G300</f>
        <v>2155</v>
      </c>
      <c r="E312" s="50">
        <v>47</v>
      </c>
      <c r="F312" s="51">
        <v>33</v>
      </c>
      <c r="G312" s="52">
        <f>IFERROR(D312+E312-F312,"")</f>
        <v>2169</v>
      </c>
    </row>
    <row r="313" spans="1:7" ht="21.75" customHeight="1">
      <c r="A313" s="74"/>
      <c r="B313" s="74"/>
      <c r="C313" s="48" t="s">
        <v>35</v>
      </c>
      <c r="D313" s="54">
        <f>G301</f>
        <v>2322</v>
      </c>
      <c r="E313" s="50">
        <v>63</v>
      </c>
      <c r="F313" s="51">
        <v>55</v>
      </c>
      <c r="G313" s="52">
        <f>IFERROR(D313+E313-F313,"")</f>
        <v>2330</v>
      </c>
    </row>
    <row r="314" spans="1:7" ht="21.75" customHeight="1">
      <c r="A314" s="74"/>
      <c r="B314" s="74"/>
      <c r="C314" s="48" t="s">
        <v>29</v>
      </c>
      <c r="D314" s="54">
        <f>G302</f>
        <v>2684</v>
      </c>
      <c r="E314" s="50">
        <v>43</v>
      </c>
      <c r="F314" s="51">
        <v>36</v>
      </c>
      <c r="G314" s="52">
        <f>IFERROR(D314+E314-F314,"")</f>
        <v>2691</v>
      </c>
    </row>
    <row r="315" spans="1:7" ht="21.75" customHeight="1">
      <c r="A315" s="74"/>
      <c r="B315" s="74"/>
      <c r="C315" s="48" t="s">
        <v>31</v>
      </c>
      <c r="D315" s="54">
        <f>G303</f>
        <v>3374</v>
      </c>
      <c r="E315" s="50">
        <v>64</v>
      </c>
      <c r="F315" s="51">
        <v>47</v>
      </c>
      <c r="G315" s="52">
        <f>IFERROR(D315+E315-F315,"")</f>
        <v>3391</v>
      </c>
    </row>
    <row r="316" spans="1:7" ht="21.75" customHeight="1">
      <c r="A316" s="74"/>
      <c r="B316" s="74"/>
      <c r="C316" s="48" t="s">
        <v>33</v>
      </c>
      <c r="D316" s="54">
        <f>G304</f>
        <v>1304</v>
      </c>
      <c r="E316" s="50">
        <v>35</v>
      </c>
      <c r="F316" s="51">
        <v>31</v>
      </c>
      <c r="G316" s="52">
        <f>IFERROR(D316+E316-F316,"")</f>
        <v>1308</v>
      </c>
    </row>
    <row r="317" spans="1:7" ht="21.75" customHeight="1">
      <c r="A317" s="74"/>
      <c r="B317" s="74"/>
      <c r="C317" s="48" t="s">
        <v>36</v>
      </c>
      <c r="D317" s="54">
        <f>G305</f>
        <v>4334</v>
      </c>
      <c r="E317" s="50">
        <v>58</v>
      </c>
      <c r="F317" s="51">
        <v>38</v>
      </c>
      <c r="G317" s="52">
        <f>IFERROR(D317+E317-F317,"")</f>
        <v>4354</v>
      </c>
    </row>
    <row r="318" spans="1:7" ht="21.75" customHeight="1">
      <c r="A318" s="73" t="s">
        <v>181</v>
      </c>
      <c r="B318" s="73"/>
      <c r="C318" s="73"/>
      <c r="D318" s="53">
        <f>IFERROR(SUM(D307:D317),"")</f>
        <v>31884</v>
      </c>
      <c r="E318" s="53">
        <f>IFERROR(SUM(E307:E317),"")</f>
        <v>591</v>
      </c>
      <c r="F318" s="53">
        <f>IFERROR(SUM(F307:F317),"")</f>
        <v>447</v>
      </c>
      <c r="G318" s="53">
        <f>IFERROR(SUM(G307:G317),"")</f>
        <v>32028</v>
      </c>
    </row>
    <row r="319" spans="1:7" ht="21.75" customHeight="1">
      <c r="A319" s="71">
        <v>46139</v>
      </c>
      <c r="B319" s="72" t="s">
        <v>51</v>
      </c>
      <c r="C319" s="48" t="s">
        <v>26</v>
      </c>
      <c r="D319" s="54">
        <f>G307</f>
        <v>3452</v>
      </c>
      <c r="E319" s="50">
        <v>123</v>
      </c>
      <c r="F319" s="51">
        <v>79</v>
      </c>
      <c r="G319" s="52">
        <f>IFERROR(D319+E319-F319,"")</f>
        <v>3496</v>
      </c>
    </row>
    <row r="320" spans="1:7" ht="21.75" customHeight="1">
      <c r="A320" s="71"/>
      <c r="B320" s="71"/>
      <c r="C320" s="48" t="s">
        <v>27</v>
      </c>
      <c r="D320" s="54">
        <f>G308</f>
        <v>2513</v>
      </c>
      <c r="E320" s="50">
        <v>101</v>
      </c>
      <c r="F320" s="51">
        <v>80</v>
      </c>
      <c r="G320" s="52">
        <f>IFERROR(D320+E320-F320,"")</f>
        <v>2534</v>
      </c>
    </row>
    <row r="321" spans="1:7" ht="21.75" customHeight="1">
      <c r="A321" s="71"/>
      <c r="B321" s="71"/>
      <c r="C321" s="48" t="s">
        <v>30</v>
      </c>
      <c r="D321" s="54">
        <f>G309</f>
        <v>3978</v>
      </c>
      <c r="E321" s="50">
        <v>113</v>
      </c>
      <c r="F321" s="51">
        <v>82</v>
      </c>
      <c r="G321" s="52">
        <f>IFERROR(D321+E321-F321,"")</f>
        <v>4009</v>
      </c>
    </row>
    <row r="322" spans="1:7" ht="21.75" customHeight="1">
      <c r="A322" s="71"/>
      <c r="B322" s="71"/>
      <c r="C322" s="48" t="s">
        <v>32</v>
      </c>
      <c r="D322" s="54">
        <f>G310</f>
        <v>1808</v>
      </c>
      <c r="E322" s="50">
        <v>73</v>
      </c>
      <c r="F322" s="51">
        <v>65</v>
      </c>
      <c r="G322" s="52">
        <f>IFERROR(D322+E322-F322,"")</f>
        <v>1816</v>
      </c>
    </row>
    <row r="323" spans="1:7" ht="21.75" customHeight="1">
      <c r="A323" s="71"/>
      <c r="B323" s="71"/>
      <c r="C323" s="48" t="s">
        <v>34</v>
      </c>
      <c r="D323" s="54">
        <f>G311</f>
        <v>4034</v>
      </c>
      <c r="E323" s="50">
        <v>133</v>
      </c>
      <c r="F323" s="51">
        <v>92</v>
      </c>
      <c r="G323" s="52">
        <f>IFERROR(D323+E323-F323,"")</f>
        <v>4075</v>
      </c>
    </row>
    <row r="324" spans="1:7" ht="21.75" customHeight="1">
      <c r="A324" s="71"/>
      <c r="B324" s="71"/>
      <c r="C324" s="48" t="s">
        <v>25</v>
      </c>
      <c r="D324" s="54">
        <f>G312</f>
        <v>2169</v>
      </c>
      <c r="E324" s="50">
        <v>67</v>
      </c>
      <c r="F324" s="51">
        <v>54</v>
      </c>
      <c r="G324" s="52">
        <f>IFERROR(D324+E324-F324,"")</f>
        <v>2182</v>
      </c>
    </row>
    <row r="325" spans="1:7" ht="21.75" customHeight="1">
      <c r="A325" s="71"/>
      <c r="B325" s="71"/>
      <c r="C325" s="48" t="s">
        <v>35</v>
      </c>
      <c r="D325" s="54">
        <f>G313</f>
        <v>2330</v>
      </c>
      <c r="E325" s="50">
        <v>110</v>
      </c>
      <c r="F325" s="51">
        <v>96</v>
      </c>
      <c r="G325" s="52">
        <f>IFERROR(D325+E325-F325,"")</f>
        <v>2344</v>
      </c>
    </row>
    <row r="326" spans="1:7" ht="21.75" customHeight="1">
      <c r="A326" s="71"/>
      <c r="B326" s="71"/>
      <c r="C326" s="48" t="s">
        <v>29</v>
      </c>
      <c r="D326" s="54">
        <f>G314</f>
        <v>2691</v>
      </c>
      <c r="E326" s="50">
        <v>65</v>
      </c>
      <c r="F326" s="51">
        <v>50</v>
      </c>
      <c r="G326" s="52">
        <f>IFERROR(D326+E326-F326,"")</f>
        <v>2706</v>
      </c>
    </row>
    <row r="327" spans="1:7" ht="21.75" customHeight="1">
      <c r="A327" s="71"/>
      <c r="B327" s="71"/>
      <c r="C327" s="48" t="s">
        <v>31</v>
      </c>
      <c r="D327" s="54">
        <f>G315</f>
        <v>3391</v>
      </c>
      <c r="E327" s="50">
        <v>109</v>
      </c>
      <c r="F327" s="51">
        <v>71</v>
      </c>
      <c r="G327" s="52">
        <f>IFERROR(D327+E327-F327,"")</f>
        <v>3429</v>
      </c>
    </row>
    <row r="328" spans="1:7" ht="21.75" customHeight="1">
      <c r="A328" s="71"/>
      <c r="B328" s="71"/>
      <c r="C328" s="48" t="s">
        <v>33</v>
      </c>
      <c r="D328" s="54">
        <f>G316</f>
        <v>1308</v>
      </c>
      <c r="E328" s="50">
        <v>70</v>
      </c>
      <c r="F328" s="51">
        <v>65</v>
      </c>
      <c r="G328" s="52">
        <f>IFERROR(D328+E328-F328,"")</f>
        <v>1313</v>
      </c>
    </row>
    <row r="329" spans="1:7" ht="21.75" customHeight="1">
      <c r="A329" s="71"/>
      <c r="B329" s="71"/>
      <c r="C329" s="48" t="s">
        <v>36</v>
      </c>
      <c r="D329" s="54">
        <f>G317</f>
        <v>4354</v>
      </c>
      <c r="E329" s="50">
        <v>147</v>
      </c>
      <c r="F329" s="51">
        <v>104</v>
      </c>
      <c r="G329" s="52">
        <f>IFERROR(D329+E329-F329,"")</f>
        <v>4397</v>
      </c>
    </row>
    <row r="330" spans="1:7" ht="21.75" customHeight="1">
      <c r="A330" s="73" t="s">
        <v>182</v>
      </c>
      <c r="B330" s="73"/>
      <c r="C330" s="73"/>
      <c r="D330" s="53">
        <f>IFERROR(SUM(D319:D329),"")</f>
        <v>32028</v>
      </c>
      <c r="E330" s="53">
        <f>IFERROR(SUM(E319:E329),"")</f>
        <v>1111</v>
      </c>
      <c r="F330" s="53">
        <f>IFERROR(SUM(F319:F329),"")</f>
        <v>838</v>
      </c>
      <c r="G330" s="53">
        <f>IFERROR(SUM(G319:G329),"")</f>
        <v>32301</v>
      </c>
    </row>
    <row r="331" spans="1:7" ht="21.75" customHeight="1">
      <c r="A331" s="71">
        <v>46140</v>
      </c>
      <c r="B331" s="72" t="s">
        <v>52</v>
      </c>
      <c r="C331" s="48" t="s">
        <v>26</v>
      </c>
      <c r="D331" s="54">
        <f>G319</f>
        <v>3496</v>
      </c>
      <c r="E331" s="50">
        <v>108</v>
      </c>
      <c r="F331" s="51">
        <v>82</v>
      </c>
      <c r="G331" s="52">
        <f>IFERROR(D331+E331-F331,"")</f>
        <v>3522</v>
      </c>
    </row>
    <row r="332" spans="1:7" ht="21.75" customHeight="1">
      <c r="A332" s="71"/>
      <c r="B332" s="71"/>
      <c r="C332" s="48" t="s">
        <v>27</v>
      </c>
      <c r="D332" s="54">
        <f>G320</f>
        <v>2534</v>
      </c>
      <c r="E332" s="50">
        <v>114</v>
      </c>
      <c r="F332" s="51">
        <v>86</v>
      </c>
      <c r="G332" s="52">
        <f>IFERROR(D332+E332-F332,"")</f>
        <v>2562</v>
      </c>
    </row>
    <row r="333" spans="1:7" ht="21.75" customHeight="1">
      <c r="A333" s="71"/>
      <c r="B333" s="71"/>
      <c r="C333" s="48" t="s">
        <v>30</v>
      </c>
      <c r="D333" s="54">
        <f>G321</f>
        <v>4009</v>
      </c>
      <c r="E333" s="50">
        <v>129</v>
      </c>
      <c r="F333" s="51">
        <v>98</v>
      </c>
      <c r="G333" s="52">
        <f>IFERROR(D333+E333-F333,"")</f>
        <v>4040</v>
      </c>
    </row>
    <row r="334" spans="1:7" ht="21.75" customHeight="1">
      <c r="A334" s="71"/>
      <c r="B334" s="71"/>
      <c r="C334" s="48" t="s">
        <v>32</v>
      </c>
      <c r="D334" s="54">
        <f>G322</f>
        <v>1816</v>
      </c>
      <c r="E334" s="50">
        <v>97</v>
      </c>
      <c r="F334" s="51">
        <v>83</v>
      </c>
      <c r="G334" s="52">
        <f>IFERROR(D334+E334-F334,"")</f>
        <v>1830</v>
      </c>
    </row>
    <row r="335" spans="1:7" ht="21.75" customHeight="1">
      <c r="A335" s="71"/>
      <c r="B335" s="71"/>
      <c r="C335" s="48" t="s">
        <v>34</v>
      </c>
      <c r="D335" s="54">
        <f>G323</f>
        <v>4075</v>
      </c>
      <c r="E335" s="50">
        <v>160</v>
      </c>
      <c r="F335" s="51">
        <v>121</v>
      </c>
      <c r="G335" s="52">
        <f>IFERROR(D335+E335-F335,"")</f>
        <v>4114</v>
      </c>
    </row>
    <row r="336" spans="1:7" ht="21.75" customHeight="1">
      <c r="A336" s="71"/>
      <c r="B336" s="71"/>
      <c r="C336" s="48" t="s">
        <v>25</v>
      </c>
      <c r="D336" s="54">
        <f>G324</f>
        <v>2182</v>
      </c>
      <c r="E336" s="50">
        <v>77</v>
      </c>
      <c r="F336" s="51">
        <v>62</v>
      </c>
      <c r="G336" s="52">
        <f>IFERROR(D336+E336-F336,"")</f>
        <v>2197</v>
      </c>
    </row>
    <row r="337" spans="1:7" ht="21.75" customHeight="1">
      <c r="A337" s="71"/>
      <c r="B337" s="71"/>
      <c r="C337" s="48" t="s">
        <v>35</v>
      </c>
      <c r="D337" s="54">
        <f>G325</f>
        <v>2344</v>
      </c>
      <c r="E337" s="50">
        <v>120</v>
      </c>
      <c r="F337" s="51">
        <v>108</v>
      </c>
      <c r="G337" s="52">
        <f>IFERROR(D337+E337-F337,"")</f>
        <v>2356</v>
      </c>
    </row>
    <row r="338" spans="1:7" ht="21.75" customHeight="1">
      <c r="A338" s="71"/>
      <c r="B338" s="71"/>
      <c r="C338" s="48" t="s">
        <v>29</v>
      </c>
      <c r="D338" s="54">
        <f>G326</f>
        <v>2706</v>
      </c>
      <c r="E338" s="50">
        <v>94</v>
      </c>
      <c r="F338" s="51">
        <v>70</v>
      </c>
      <c r="G338" s="52">
        <f>IFERROR(D338+E338-F338,"")</f>
        <v>2730</v>
      </c>
    </row>
    <row r="339" spans="1:7" ht="21.75" customHeight="1">
      <c r="A339" s="71"/>
      <c r="B339" s="71"/>
      <c r="C339" s="48" t="s">
        <v>31</v>
      </c>
      <c r="D339" s="54">
        <f>G327</f>
        <v>3429</v>
      </c>
      <c r="E339" s="50">
        <v>124</v>
      </c>
      <c r="F339" s="51">
        <v>87</v>
      </c>
      <c r="G339" s="52">
        <f>IFERROR(D339+E339-F339,"")</f>
        <v>3466</v>
      </c>
    </row>
    <row r="340" spans="1:7" ht="21.75" customHeight="1">
      <c r="A340" s="71"/>
      <c r="B340" s="71"/>
      <c r="C340" s="48" t="s">
        <v>33</v>
      </c>
      <c r="D340" s="54">
        <f>G328</f>
        <v>1313</v>
      </c>
      <c r="E340" s="50">
        <v>69</v>
      </c>
      <c r="F340" s="51">
        <v>54</v>
      </c>
      <c r="G340" s="52">
        <f>IFERROR(D340+E340-F340,"")</f>
        <v>1328</v>
      </c>
    </row>
    <row r="341" spans="1:7" ht="21.75" customHeight="1">
      <c r="A341" s="71"/>
      <c r="B341" s="71"/>
      <c r="C341" s="48" t="s">
        <v>36</v>
      </c>
      <c r="D341" s="54">
        <f>G329</f>
        <v>4397</v>
      </c>
      <c r="E341" s="50">
        <v>119</v>
      </c>
      <c r="F341" s="51">
        <v>82</v>
      </c>
      <c r="G341" s="52">
        <f>IFERROR(D341+E341-F341,"")</f>
        <v>4434</v>
      </c>
    </row>
    <row r="342" spans="1:7" ht="21.75" customHeight="1">
      <c r="A342" s="73" t="s">
        <v>183</v>
      </c>
      <c r="B342" s="73"/>
      <c r="C342" s="73"/>
      <c r="D342" s="53">
        <f>IFERROR(SUM(D331:D341),"")</f>
        <v>32301</v>
      </c>
      <c r="E342" s="53">
        <f>IFERROR(SUM(E331:E341),"")</f>
        <v>1211</v>
      </c>
      <c r="F342" s="53">
        <f>IFERROR(SUM(F331:F341),"")</f>
        <v>933</v>
      </c>
      <c r="G342" s="53">
        <f>IFERROR(SUM(G331:G341),"")</f>
        <v>32579</v>
      </c>
    </row>
    <row r="343" spans="1:7" ht="21.75" customHeight="1">
      <c r="A343" s="71">
        <v>46141</v>
      </c>
      <c r="B343" s="72" t="s">
        <v>53</v>
      </c>
      <c r="C343" s="48" t="s">
        <v>26</v>
      </c>
      <c r="D343" s="54">
        <f>G331</f>
        <v>3522</v>
      </c>
      <c r="E343" s="50">
        <v>147</v>
      </c>
      <c r="F343" s="51">
        <v>114</v>
      </c>
      <c r="G343" s="52">
        <f>IFERROR(D343+E343-F343,"")</f>
        <v>3555</v>
      </c>
    </row>
    <row r="344" spans="1:7" ht="21.75" customHeight="1">
      <c r="A344" s="71"/>
      <c r="B344" s="71"/>
      <c r="C344" s="48" t="s">
        <v>27</v>
      </c>
      <c r="D344" s="54">
        <f>G332</f>
        <v>2562</v>
      </c>
      <c r="E344" s="50">
        <v>88</v>
      </c>
      <c r="F344" s="51">
        <v>64</v>
      </c>
      <c r="G344" s="52">
        <f>IFERROR(D344+E344-F344,"")</f>
        <v>2586</v>
      </c>
    </row>
    <row r="345" spans="1:7" ht="21.75" customHeight="1">
      <c r="A345" s="71"/>
      <c r="B345" s="71"/>
      <c r="C345" s="48" t="s">
        <v>30</v>
      </c>
      <c r="D345" s="54">
        <f>G333</f>
        <v>4040</v>
      </c>
      <c r="E345" s="50">
        <v>114</v>
      </c>
      <c r="F345" s="51">
        <v>77</v>
      </c>
      <c r="G345" s="52">
        <f>IFERROR(D345+E345-F345,"")</f>
        <v>4077</v>
      </c>
    </row>
    <row r="346" spans="1:7" ht="21.75" customHeight="1">
      <c r="A346" s="71"/>
      <c r="B346" s="71"/>
      <c r="C346" s="48" t="s">
        <v>32</v>
      </c>
      <c r="D346" s="54">
        <f>G334</f>
        <v>1830</v>
      </c>
      <c r="E346" s="50">
        <v>74</v>
      </c>
      <c r="F346" s="51">
        <v>66</v>
      </c>
      <c r="G346" s="52">
        <f>IFERROR(D346+E346-F346,"")</f>
        <v>1838</v>
      </c>
    </row>
    <row r="347" spans="1:7" ht="21.75" customHeight="1">
      <c r="A347" s="71"/>
      <c r="B347" s="71"/>
      <c r="C347" s="48" t="s">
        <v>34</v>
      </c>
      <c r="D347" s="54">
        <f>G335</f>
        <v>4114</v>
      </c>
      <c r="E347" s="50">
        <v>122</v>
      </c>
      <c r="F347" s="51">
        <v>84</v>
      </c>
      <c r="G347" s="52">
        <f>IFERROR(D347+E347-F347,"")</f>
        <v>4152</v>
      </c>
    </row>
    <row r="348" spans="1:7" ht="21.75" customHeight="1">
      <c r="A348" s="71"/>
      <c r="B348" s="71"/>
      <c r="C348" s="48" t="s">
        <v>25</v>
      </c>
      <c r="D348" s="54">
        <f>G336</f>
        <v>2197</v>
      </c>
      <c r="E348" s="50">
        <v>50</v>
      </c>
      <c r="F348" s="51">
        <v>42</v>
      </c>
      <c r="G348" s="52">
        <f>IFERROR(D348+E348-F348,"")</f>
        <v>2205</v>
      </c>
    </row>
    <row r="349" spans="1:7" ht="21.75" customHeight="1">
      <c r="A349" s="71"/>
      <c r="B349" s="71"/>
      <c r="C349" s="48" t="s">
        <v>35</v>
      </c>
      <c r="D349" s="54">
        <f>G337</f>
        <v>2356</v>
      </c>
      <c r="E349" s="50">
        <v>91</v>
      </c>
      <c r="F349" s="51">
        <v>73</v>
      </c>
      <c r="G349" s="52">
        <f>IFERROR(D349+E349-F349,"")</f>
        <v>2374</v>
      </c>
    </row>
    <row r="350" spans="1:7" ht="21.75" customHeight="1">
      <c r="A350" s="71"/>
      <c r="B350" s="71"/>
      <c r="C350" s="48" t="s">
        <v>29</v>
      </c>
      <c r="D350" s="54">
        <f>G338</f>
        <v>2730</v>
      </c>
      <c r="E350" s="50">
        <v>67</v>
      </c>
      <c r="F350" s="51">
        <v>44</v>
      </c>
      <c r="G350" s="52">
        <f>IFERROR(D350+E350-F350,"")</f>
        <v>2753</v>
      </c>
    </row>
    <row r="351" spans="1:7" ht="21.75" customHeight="1">
      <c r="A351" s="71"/>
      <c r="B351" s="71"/>
      <c r="C351" s="48" t="s">
        <v>31</v>
      </c>
      <c r="D351" s="54">
        <f>G339</f>
        <v>3466</v>
      </c>
      <c r="E351" s="50">
        <v>155</v>
      </c>
      <c r="F351" s="51">
        <v>117</v>
      </c>
      <c r="G351" s="52">
        <f>IFERROR(D351+E351-F351,"")</f>
        <v>3504</v>
      </c>
    </row>
    <row r="352" spans="1:7" ht="21.75" customHeight="1">
      <c r="A352" s="71"/>
      <c r="B352" s="71"/>
      <c r="C352" s="48" t="s">
        <v>33</v>
      </c>
      <c r="D352" s="54">
        <f>G340</f>
        <v>1328</v>
      </c>
      <c r="E352" s="50">
        <v>99</v>
      </c>
      <c r="F352" s="51">
        <v>81</v>
      </c>
      <c r="G352" s="52">
        <f>IFERROR(D352+E352-F352,"")</f>
        <v>1346</v>
      </c>
    </row>
    <row r="353" spans="1:7" ht="21.75" customHeight="1">
      <c r="A353" s="71"/>
      <c r="B353" s="71"/>
      <c r="C353" s="48" t="s">
        <v>36</v>
      </c>
      <c r="D353" s="54">
        <f>G341</f>
        <v>4434</v>
      </c>
      <c r="E353" s="50">
        <v>157</v>
      </c>
      <c r="F353" s="51">
        <v>101</v>
      </c>
      <c r="G353" s="52">
        <f>IFERROR(D353+E353-F353,"")</f>
        <v>4490</v>
      </c>
    </row>
    <row r="354" spans="1:7" ht="21.75" customHeight="1">
      <c r="A354" s="73" t="s">
        <v>184</v>
      </c>
      <c r="B354" s="73"/>
      <c r="C354" s="73"/>
      <c r="D354" s="53">
        <f>IFERROR(SUM(D343:D353),"")</f>
        <v>32579</v>
      </c>
      <c r="E354" s="53">
        <f>IFERROR(SUM(E343:E353),"")</f>
        <v>1164</v>
      </c>
      <c r="F354" s="53">
        <f>IFERROR(SUM(F343:F353),"")</f>
        <v>863</v>
      </c>
      <c r="G354" s="53">
        <f>IFERROR(SUM(G343:G353),"")</f>
        <v>32880</v>
      </c>
    </row>
    <row r="355" spans="1:7" ht="21.75" customHeight="1">
      <c r="A355" s="71">
        <v>46142</v>
      </c>
      <c r="B355" s="72" t="s">
        <v>45</v>
      </c>
      <c r="C355" s="48" t="s">
        <v>26</v>
      </c>
      <c r="D355" s="54">
        <f>G343</f>
        <v>3555</v>
      </c>
      <c r="E355" s="50">
        <v>112</v>
      </c>
      <c r="F355" s="51">
        <v>87</v>
      </c>
      <c r="G355" s="52">
        <f>IFERROR(D355+E355-F355,"")</f>
        <v>3580</v>
      </c>
    </row>
    <row r="356" spans="1:7" ht="21.75" customHeight="1">
      <c r="A356" s="71"/>
      <c r="B356" s="71"/>
      <c r="C356" s="48" t="s">
        <v>27</v>
      </c>
      <c r="D356" s="54">
        <f>G344</f>
        <v>2586</v>
      </c>
      <c r="E356" s="50">
        <v>77</v>
      </c>
      <c r="F356" s="51">
        <v>55</v>
      </c>
      <c r="G356" s="52">
        <f>IFERROR(D356+E356-F356,"")</f>
        <v>2608</v>
      </c>
    </row>
    <row r="357" spans="1:7" ht="21.75" customHeight="1">
      <c r="A357" s="71"/>
      <c r="B357" s="71"/>
      <c r="C357" s="48" t="s">
        <v>30</v>
      </c>
      <c r="D357" s="54">
        <f>G345</f>
        <v>4077</v>
      </c>
      <c r="E357" s="50">
        <v>141</v>
      </c>
      <c r="F357" s="51">
        <v>99</v>
      </c>
      <c r="G357" s="52">
        <f>IFERROR(D357+E357-F357,"")</f>
        <v>4119</v>
      </c>
    </row>
    <row r="358" spans="1:7" ht="21.75" customHeight="1">
      <c r="A358" s="71"/>
      <c r="B358" s="71"/>
      <c r="C358" s="48" t="s">
        <v>32</v>
      </c>
      <c r="D358" s="54">
        <f>G346</f>
        <v>1838</v>
      </c>
      <c r="E358" s="50">
        <v>64</v>
      </c>
      <c r="F358" s="51">
        <v>57</v>
      </c>
      <c r="G358" s="52">
        <f>IFERROR(D358+E358-F358,"")</f>
        <v>1845</v>
      </c>
    </row>
    <row r="359" spans="1:7" ht="21.75" customHeight="1">
      <c r="A359" s="71"/>
      <c r="B359" s="71"/>
      <c r="C359" s="48" t="s">
        <v>34</v>
      </c>
      <c r="D359" s="54">
        <f>G347</f>
        <v>4152</v>
      </c>
      <c r="E359" s="50">
        <v>180</v>
      </c>
      <c r="F359" s="51">
        <v>114</v>
      </c>
      <c r="G359" s="52">
        <f>IFERROR(D359+E359-F359,"")</f>
        <v>4218</v>
      </c>
    </row>
    <row r="360" spans="1:7" ht="21.75" customHeight="1">
      <c r="A360" s="71"/>
      <c r="B360" s="71"/>
      <c r="C360" s="48" t="s">
        <v>25</v>
      </c>
      <c r="D360" s="54">
        <f>G348</f>
        <v>2205</v>
      </c>
      <c r="E360" s="50">
        <v>59</v>
      </c>
      <c r="F360" s="51">
        <v>42</v>
      </c>
      <c r="G360" s="52">
        <f>IFERROR(D360+E360-F360,"")</f>
        <v>2222</v>
      </c>
    </row>
    <row r="361" spans="1:7" ht="21.75" customHeight="1">
      <c r="A361" s="71"/>
      <c r="B361" s="71"/>
      <c r="C361" s="48" t="s">
        <v>35</v>
      </c>
      <c r="D361" s="54">
        <f>G349</f>
        <v>2374</v>
      </c>
      <c r="E361" s="50">
        <v>113</v>
      </c>
      <c r="F361" s="51">
        <v>83</v>
      </c>
      <c r="G361" s="52">
        <f>IFERROR(D361+E361-F361,"")</f>
        <v>2404</v>
      </c>
    </row>
    <row r="362" spans="1:7" ht="21.75" customHeight="1">
      <c r="A362" s="71"/>
      <c r="B362" s="71"/>
      <c r="C362" s="48" t="s">
        <v>29</v>
      </c>
      <c r="D362" s="54">
        <f>G350</f>
        <v>2753</v>
      </c>
      <c r="E362" s="50">
        <v>80</v>
      </c>
      <c r="F362" s="51">
        <v>55</v>
      </c>
      <c r="G362" s="52">
        <f>IFERROR(D362+E362-F362,"")</f>
        <v>2778</v>
      </c>
    </row>
    <row r="363" spans="1:7" ht="21.75" customHeight="1">
      <c r="A363" s="71"/>
      <c r="B363" s="71"/>
      <c r="C363" s="48" t="s">
        <v>31</v>
      </c>
      <c r="D363" s="54">
        <f>G351</f>
        <v>3504</v>
      </c>
      <c r="E363" s="50">
        <v>138</v>
      </c>
      <c r="F363" s="51">
        <v>107</v>
      </c>
      <c r="G363" s="52">
        <f>IFERROR(D363+E363-F363,"")</f>
        <v>3535</v>
      </c>
    </row>
    <row r="364" spans="1:7" ht="21.75" customHeight="1">
      <c r="A364" s="71"/>
      <c r="B364" s="71"/>
      <c r="C364" s="48" t="s">
        <v>33</v>
      </c>
      <c r="D364" s="54">
        <f>G352</f>
        <v>1346</v>
      </c>
      <c r="E364" s="50">
        <v>93</v>
      </c>
      <c r="F364" s="51">
        <v>91</v>
      </c>
      <c r="G364" s="52">
        <f>IFERROR(D364+E364-F364,"")</f>
        <v>1348</v>
      </c>
    </row>
    <row r="365" spans="1:7" ht="21.75" customHeight="1">
      <c r="A365" s="71"/>
      <c r="B365" s="71"/>
      <c r="C365" s="48" t="s">
        <v>36</v>
      </c>
      <c r="D365" s="54">
        <f>G353</f>
        <v>4490</v>
      </c>
      <c r="E365" s="50">
        <v>123</v>
      </c>
      <c r="F365" s="51">
        <v>99</v>
      </c>
      <c r="G365" s="52">
        <f>IFERROR(D365+E365-F365,"")</f>
        <v>4514</v>
      </c>
    </row>
    <row r="366" spans="1:7" ht="21.75" customHeight="1">
      <c r="A366" s="73" t="s">
        <v>185</v>
      </c>
      <c r="B366" s="73"/>
      <c r="C366" s="73"/>
      <c r="D366" s="53">
        <f>IFERROR(SUM(D355:D365),"")</f>
        <v>32880</v>
      </c>
      <c r="E366" s="53">
        <f>IFERROR(SUM(E355:E365),"")</f>
        <v>1180</v>
      </c>
      <c r="F366" s="53">
        <f>IFERROR(SUM(F355:F365),"")</f>
        <v>889</v>
      </c>
      <c r="G366" s="53">
        <f>IFERROR(SUM(G355:G365),"")</f>
        <v>33171</v>
      </c>
    </row>
    <row r="367" spans="1:7" ht="25.5" customHeight="1">
      <c r="A367" s="76" t="s">
        <v>186</v>
      </c>
      <c r="B367" s="76"/>
      <c r="C367" s="76"/>
      <c r="D367" s="55">
        <f>IFERROR(SUM(D7:D17),"")</f>
        <v>25721</v>
      </c>
      <c r="E367" s="55">
        <f>IFERROR(E18+E30+E42+E54+E66+E78+E90+E102+E114+E126+E138+E150+E162+E174+E186+E198+E210+E222+E234+E246+E258+E270+E282+E294+E306+E318+E330+E342+E354+E366,"")</f>
        <v>30277</v>
      </c>
      <c r="F367" s="55">
        <f>IFERROR(F18+F30+F42+F54+F66+F78+F90+F102+F114+F126+F138+F150+F162+F174+F186+F198+F210+F222+F234+F246+F258+F270+F282+F294+F306+F318+F330+F342+F354+F366,"")</f>
        <v>22827</v>
      </c>
      <c r="G367" s="55">
        <f>IFERROR(G366,"")</f>
        <v>33171</v>
      </c>
    </row>
  </sheetData>
  <mergeCells count="93">
    <mergeCell ref="A354:C354"/>
    <mergeCell ref="A355:A365"/>
    <mergeCell ref="B355:B365"/>
    <mergeCell ref="A366:C366"/>
    <mergeCell ref="A367:C367"/>
    <mergeCell ref="A330:C330"/>
    <mergeCell ref="A331:A341"/>
    <mergeCell ref="B331:B341"/>
    <mergeCell ref="A342:C342"/>
    <mergeCell ref="A343:A353"/>
    <mergeCell ref="B343:B35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33C00"/>
  </sheetPr>
  <dimension ref="A1:G379"/>
  <sheetViews>
    <sheetView zoomScaleNormal="100" workbookViewId="0">
      <pane ySplit="6" topLeftCell="A376" activePane="bottomLeft" state="frozen"/>
      <selection pane="bottomLeft" activeCell="A7" sqref="A7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187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1">
        <v>46143</v>
      </c>
      <c r="B7" s="72" t="s">
        <v>47</v>
      </c>
      <c r="C7" s="48" t="s">
        <v>26</v>
      </c>
      <c r="D7" s="49">
        <f>'Apr 2026'!G355</f>
        <v>3580</v>
      </c>
      <c r="E7" s="50">
        <v>87</v>
      </c>
      <c r="F7" s="51">
        <v>59</v>
      </c>
      <c r="G7" s="52">
        <f>IFERROR(D7+E7-F7,"")</f>
        <v>3608</v>
      </c>
    </row>
    <row r="8" spans="1:7" ht="21.75" customHeight="1">
      <c r="A8" s="71"/>
      <c r="B8" s="71"/>
      <c r="C8" s="48" t="s">
        <v>27</v>
      </c>
      <c r="D8" s="49">
        <f>'Apr 2026'!G356</f>
        <v>2608</v>
      </c>
      <c r="E8" s="50">
        <v>130</v>
      </c>
      <c r="F8" s="51">
        <v>115</v>
      </c>
      <c r="G8" s="52">
        <f>IFERROR(D8+E8-F8,"")</f>
        <v>2623</v>
      </c>
    </row>
    <row r="9" spans="1:7" ht="21.75" customHeight="1">
      <c r="A9" s="71"/>
      <c r="B9" s="71"/>
      <c r="C9" s="48" t="s">
        <v>30</v>
      </c>
      <c r="D9" s="49">
        <f>'Apr 2026'!G357</f>
        <v>4119</v>
      </c>
      <c r="E9" s="50">
        <v>116</v>
      </c>
      <c r="F9" s="51">
        <v>89</v>
      </c>
      <c r="G9" s="52">
        <f>IFERROR(D9+E9-F9,"")</f>
        <v>4146</v>
      </c>
    </row>
    <row r="10" spans="1:7" ht="21.75" customHeight="1">
      <c r="A10" s="71"/>
      <c r="B10" s="71"/>
      <c r="C10" s="48" t="s">
        <v>32</v>
      </c>
      <c r="D10" s="49">
        <f>'Apr 2026'!G358</f>
        <v>1845</v>
      </c>
      <c r="E10" s="50">
        <v>73</v>
      </c>
      <c r="F10" s="51">
        <v>62</v>
      </c>
      <c r="G10" s="52">
        <f>IFERROR(D10+E10-F10,"")</f>
        <v>1856</v>
      </c>
    </row>
    <row r="11" spans="1:7" ht="21.75" customHeight="1">
      <c r="A11" s="71"/>
      <c r="B11" s="71"/>
      <c r="C11" s="48" t="s">
        <v>34</v>
      </c>
      <c r="D11" s="49">
        <f>'Apr 2026'!G359</f>
        <v>4218</v>
      </c>
      <c r="E11" s="50">
        <v>110</v>
      </c>
      <c r="F11" s="51">
        <v>73</v>
      </c>
      <c r="G11" s="52">
        <f>IFERROR(D11+E11-F11,"")</f>
        <v>4255</v>
      </c>
    </row>
    <row r="12" spans="1:7" ht="21.75" customHeight="1">
      <c r="A12" s="71"/>
      <c r="B12" s="71"/>
      <c r="C12" s="48" t="s">
        <v>25</v>
      </c>
      <c r="D12" s="49">
        <f>'Apr 2026'!G360</f>
        <v>2222</v>
      </c>
      <c r="E12" s="50">
        <v>65</v>
      </c>
      <c r="F12" s="51">
        <v>46</v>
      </c>
      <c r="G12" s="52">
        <f>IFERROR(D12+E12-F12,"")</f>
        <v>2241</v>
      </c>
    </row>
    <row r="13" spans="1:7" ht="21.75" customHeight="1">
      <c r="A13" s="71"/>
      <c r="B13" s="71"/>
      <c r="C13" s="48" t="s">
        <v>35</v>
      </c>
      <c r="D13" s="49">
        <f>'Apr 2026'!G361</f>
        <v>2404</v>
      </c>
      <c r="E13" s="50">
        <v>84</v>
      </c>
      <c r="F13" s="51">
        <v>65</v>
      </c>
      <c r="G13" s="52">
        <f>IFERROR(D13+E13-F13,"")</f>
        <v>2423</v>
      </c>
    </row>
    <row r="14" spans="1:7" ht="21.75" customHeight="1">
      <c r="A14" s="71"/>
      <c r="B14" s="71"/>
      <c r="C14" s="48" t="s">
        <v>29</v>
      </c>
      <c r="D14" s="49">
        <f>'Apr 2026'!G362</f>
        <v>2778</v>
      </c>
      <c r="E14" s="50">
        <v>65</v>
      </c>
      <c r="F14" s="51">
        <v>48</v>
      </c>
      <c r="G14" s="52">
        <f>IFERROR(D14+E14-F14,"")</f>
        <v>2795</v>
      </c>
    </row>
    <row r="15" spans="1:7" ht="21.75" customHeight="1">
      <c r="A15" s="71"/>
      <c r="B15" s="71"/>
      <c r="C15" s="48" t="s">
        <v>31</v>
      </c>
      <c r="D15" s="49">
        <f>'Apr 2026'!G363</f>
        <v>3535</v>
      </c>
      <c r="E15" s="50">
        <v>142</v>
      </c>
      <c r="F15" s="51">
        <v>112</v>
      </c>
      <c r="G15" s="52">
        <f>IFERROR(D15+E15-F15,"")</f>
        <v>3565</v>
      </c>
    </row>
    <row r="16" spans="1:7" ht="21.75" customHeight="1">
      <c r="A16" s="71"/>
      <c r="B16" s="71"/>
      <c r="C16" s="48" t="s">
        <v>33</v>
      </c>
      <c r="D16" s="49">
        <f>'Apr 2026'!G364</f>
        <v>1348</v>
      </c>
      <c r="E16" s="50">
        <v>93</v>
      </c>
      <c r="F16" s="51">
        <v>87</v>
      </c>
      <c r="G16" s="52">
        <f>IFERROR(D16+E16-F16,"")</f>
        <v>1354</v>
      </c>
    </row>
    <row r="17" spans="1:7" ht="21.75" customHeight="1">
      <c r="A17" s="71"/>
      <c r="B17" s="71"/>
      <c r="C17" s="48" t="s">
        <v>36</v>
      </c>
      <c r="D17" s="49">
        <f>'Apr 2026'!G365</f>
        <v>4514</v>
      </c>
      <c r="E17" s="50">
        <v>132</v>
      </c>
      <c r="F17" s="51">
        <v>81</v>
      </c>
      <c r="G17" s="52">
        <f>IFERROR(D17+E17-F17,"")</f>
        <v>4565</v>
      </c>
    </row>
    <row r="18" spans="1:7" ht="21.75" customHeight="1">
      <c r="A18" s="73" t="s">
        <v>188</v>
      </c>
      <c r="B18" s="73"/>
      <c r="C18" s="73"/>
      <c r="D18" s="53">
        <f>IFERROR(SUM(D7:D17),"")</f>
        <v>33171</v>
      </c>
      <c r="E18" s="53">
        <f>IFERROR(SUM(E7:E17),"")</f>
        <v>1097</v>
      </c>
      <c r="F18" s="53">
        <f>IFERROR(SUM(F7:F17),"")</f>
        <v>837</v>
      </c>
      <c r="G18" s="53">
        <f>IFERROR(SUM(G7:G17),"")</f>
        <v>33431</v>
      </c>
    </row>
    <row r="19" spans="1:7" ht="21.75" customHeight="1">
      <c r="A19" s="74">
        <v>46144</v>
      </c>
      <c r="B19" s="75" t="s">
        <v>48</v>
      </c>
      <c r="C19" s="48" t="s">
        <v>26</v>
      </c>
      <c r="D19" s="54">
        <f>G7</f>
        <v>3608</v>
      </c>
      <c r="E19" s="50">
        <v>48</v>
      </c>
      <c r="F19" s="51">
        <v>40</v>
      </c>
      <c r="G19" s="52">
        <f>IFERROR(D19+E19-F19,"")</f>
        <v>3616</v>
      </c>
    </row>
    <row r="20" spans="1:7" ht="21.75" customHeight="1">
      <c r="A20" s="74"/>
      <c r="B20" s="74"/>
      <c r="C20" s="48" t="s">
        <v>27</v>
      </c>
      <c r="D20" s="54">
        <f>G8</f>
        <v>2623</v>
      </c>
      <c r="E20" s="50">
        <v>40</v>
      </c>
      <c r="F20" s="51">
        <v>34</v>
      </c>
      <c r="G20" s="52">
        <f>IFERROR(D20+E20-F20,"")</f>
        <v>2629</v>
      </c>
    </row>
    <row r="21" spans="1:7" ht="21.75" customHeight="1">
      <c r="A21" s="74"/>
      <c r="B21" s="74"/>
      <c r="C21" s="48" t="s">
        <v>30</v>
      </c>
      <c r="D21" s="54">
        <f>G9</f>
        <v>4146</v>
      </c>
      <c r="E21" s="50">
        <v>43</v>
      </c>
      <c r="F21" s="51">
        <v>33</v>
      </c>
      <c r="G21" s="52">
        <f>IFERROR(D21+E21-F21,"")</f>
        <v>4156</v>
      </c>
    </row>
    <row r="22" spans="1:7" ht="21.75" customHeight="1">
      <c r="A22" s="74"/>
      <c r="B22" s="74"/>
      <c r="C22" s="48" t="s">
        <v>32</v>
      </c>
      <c r="D22" s="54">
        <f>G10</f>
        <v>1856</v>
      </c>
      <c r="E22" s="50">
        <v>38</v>
      </c>
      <c r="F22" s="51">
        <v>30</v>
      </c>
      <c r="G22" s="52">
        <f>IFERROR(D22+E22-F22,"")</f>
        <v>1864</v>
      </c>
    </row>
    <row r="23" spans="1:7" ht="21.75" customHeight="1">
      <c r="A23" s="74"/>
      <c r="B23" s="74"/>
      <c r="C23" s="48" t="s">
        <v>34</v>
      </c>
      <c r="D23" s="54">
        <f>G11</f>
        <v>4255</v>
      </c>
      <c r="E23" s="50">
        <v>57</v>
      </c>
      <c r="F23" s="51">
        <v>37</v>
      </c>
      <c r="G23" s="52">
        <f>IFERROR(D23+E23-F23,"")</f>
        <v>4275</v>
      </c>
    </row>
    <row r="24" spans="1:7" ht="21.75" customHeight="1">
      <c r="A24" s="74"/>
      <c r="B24" s="74"/>
      <c r="C24" s="48" t="s">
        <v>25</v>
      </c>
      <c r="D24" s="54">
        <f>G12</f>
        <v>2241</v>
      </c>
      <c r="E24" s="50">
        <v>24</v>
      </c>
      <c r="F24" s="51">
        <v>16</v>
      </c>
      <c r="G24" s="52">
        <f>IFERROR(D24+E24-F24,"")</f>
        <v>2249</v>
      </c>
    </row>
    <row r="25" spans="1:7" ht="21.75" customHeight="1">
      <c r="A25" s="74"/>
      <c r="B25" s="74"/>
      <c r="C25" s="48" t="s">
        <v>35</v>
      </c>
      <c r="D25" s="54">
        <f>G13</f>
        <v>2423</v>
      </c>
      <c r="E25" s="50">
        <v>40</v>
      </c>
      <c r="F25" s="51">
        <v>32</v>
      </c>
      <c r="G25" s="52">
        <f>IFERROR(D25+E25-F25,"")</f>
        <v>2431</v>
      </c>
    </row>
    <row r="26" spans="1:7" ht="21.75" customHeight="1">
      <c r="A26" s="74"/>
      <c r="B26" s="74"/>
      <c r="C26" s="48" t="s">
        <v>29</v>
      </c>
      <c r="D26" s="54">
        <f>G14</f>
        <v>2795</v>
      </c>
      <c r="E26" s="50">
        <v>62</v>
      </c>
      <c r="F26" s="51">
        <v>44</v>
      </c>
      <c r="G26" s="52">
        <f>IFERROR(D26+E26-F26,"")</f>
        <v>2813</v>
      </c>
    </row>
    <row r="27" spans="1:7" ht="21.75" customHeight="1">
      <c r="A27" s="74"/>
      <c r="B27" s="74"/>
      <c r="C27" s="48" t="s">
        <v>31</v>
      </c>
      <c r="D27" s="54">
        <f>G15</f>
        <v>3565</v>
      </c>
      <c r="E27" s="50">
        <v>62</v>
      </c>
      <c r="F27" s="51">
        <v>40</v>
      </c>
      <c r="G27" s="52">
        <f>IFERROR(D27+E27-F27,"")</f>
        <v>3587</v>
      </c>
    </row>
    <row r="28" spans="1:7" ht="21.75" customHeight="1">
      <c r="A28" s="74"/>
      <c r="B28" s="74"/>
      <c r="C28" s="48" t="s">
        <v>33</v>
      </c>
      <c r="D28" s="54">
        <f>G16</f>
        <v>1354</v>
      </c>
      <c r="E28" s="50">
        <v>36</v>
      </c>
      <c r="F28" s="51">
        <v>32</v>
      </c>
      <c r="G28" s="52">
        <f>IFERROR(D28+E28-F28,"")</f>
        <v>1358</v>
      </c>
    </row>
    <row r="29" spans="1:7" ht="21.75" customHeight="1">
      <c r="A29" s="74"/>
      <c r="B29" s="74"/>
      <c r="C29" s="48" t="s">
        <v>36</v>
      </c>
      <c r="D29" s="54">
        <f>G17</f>
        <v>4565</v>
      </c>
      <c r="E29" s="50">
        <v>82</v>
      </c>
      <c r="F29" s="51">
        <v>62</v>
      </c>
      <c r="G29" s="52">
        <f>IFERROR(D29+E29-F29,"")</f>
        <v>4585</v>
      </c>
    </row>
    <row r="30" spans="1:7" ht="21.75" customHeight="1">
      <c r="A30" s="73" t="s">
        <v>189</v>
      </c>
      <c r="B30" s="73"/>
      <c r="C30" s="73"/>
      <c r="D30" s="53">
        <f>IFERROR(SUM(D19:D29),"")</f>
        <v>33431</v>
      </c>
      <c r="E30" s="53">
        <f>IFERROR(SUM(E19:E29),"")</f>
        <v>532</v>
      </c>
      <c r="F30" s="53">
        <f>IFERROR(SUM(F19:F29),"")</f>
        <v>400</v>
      </c>
      <c r="G30" s="53">
        <f>IFERROR(SUM(G19:G29),"")</f>
        <v>33563</v>
      </c>
    </row>
    <row r="31" spans="1:7" ht="21.75" customHeight="1">
      <c r="A31" s="74">
        <v>46145</v>
      </c>
      <c r="B31" s="75" t="s">
        <v>50</v>
      </c>
      <c r="C31" s="48" t="s">
        <v>26</v>
      </c>
      <c r="D31" s="54">
        <f>G19</f>
        <v>3616</v>
      </c>
      <c r="E31" s="50">
        <v>59</v>
      </c>
      <c r="F31" s="51">
        <v>49</v>
      </c>
      <c r="G31" s="52">
        <f>IFERROR(D31+E31-F31,"")</f>
        <v>3626</v>
      </c>
    </row>
    <row r="32" spans="1:7" ht="21.75" customHeight="1">
      <c r="A32" s="74"/>
      <c r="B32" s="74"/>
      <c r="C32" s="48" t="s">
        <v>27</v>
      </c>
      <c r="D32" s="54">
        <f>G20</f>
        <v>2629</v>
      </c>
      <c r="E32" s="50">
        <v>48</v>
      </c>
      <c r="F32" s="51">
        <v>42</v>
      </c>
      <c r="G32" s="52">
        <f>IFERROR(D32+E32-F32,"")</f>
        <v>2635</v>
      </c>
    </row>
    <row r="33" spans="1:7" ht="21.75" customHeight="1">
      <c r="A33" s="74"/>
      <c r="B33" s="74"/>
      <c r="C33" s="48" t="s">
        <v>30</v>
      </c>
      <c r="D33" s="54">
        <f>G21</f>
        <v>4156</v>
      </c>
      <c r="E33" s="50">
        <v>52</v>
      </c>
      <c r="F33" s="51">
        <v>31</v>
      </c>
      <c r="G33" s="52">
        <f>IFERROR(D33+E33-F33,"")</f>
        <v>4177</v>
      </c>
    </row>
    <row r="34" spans="1:7" ht="21.75" customHeight="1">
      <c r="A34" s="74"/>
      <c r="B34" s="74"/>
      <c r="C34" s="48" t="s">
        <v>32</v>
      </c>
      <c r="D34" s="54">
        <f>G22</f>
        <v>1864</v>
      </c>
      <c r="E34" s="50">
        <v>29</v>
      </c>
      <c r="F34" s="51">
        <v>22</v>
      </c>
      <c r="G34" s="52">
        <f>IFERROR(D34+E34-F34,"")</f>
        <v>1871</v>
      </c>
    </row>
    <row r="35" spans="1:7" ht="21.75" customHeight="1">
      <c r="A35" s="74"/>
      <c r="B35" s="74"/>
      <c r="C35" s="48" t="s">
        <v>34</v>
      </c>
      <c r="D35" s="54">
        <f>G23</f>
        <v>4275</v>
      </c>
      <c r="E35" s="50">
        <v>83</v>
      </c>
      <c r="F35" s="51">
        <v>51</v>
      </c>
      <c r="G35" s="52">
        <f>IFERROR(D35+E35-F35,"")</f>
        <v>4307</v>
      </c>
    </row>
    <row r="36" spans="1:7" ht="21.75" customHeight="1">
      <c r="A36" s="74"/>
      <c r="B36" s="74"/>
      <c r="C36" s="48" t="s">
        <v>25</v>
      </c>
      <c r="D36" s="54">
        <f>G24</f>
        <v>2249</v>
      </c>
      <c r="E36" s="50">
        <v>37</v>
      </c>
      <c r="F36" s="51">
        <v>25</v>
      </c>
      <c r="G36" s="52">
        <f>IFERROR(D36+E36-F36,"")</f>
        <v>2261</v>
      </c>
    </row>
    <row r="37" spans="1:7" ht="21.75" customHeight="1">
      <c r="A37" s="74"/>
      <c r="B37" s="74"/>
      <c r="C37" s="48" t="s">
        <v>35</v>
      </c>
      <c r="D37" s="54">
        <f>G25</f>
        <v>2431</v>
      </c>
      <c r="E37" s="50">
        <v>41</v>
      </c>
      <c r="F37" s="51">
        <v>36</v>
      </c>
      <c r="G37" s="52">
        <f>IFERROR(D37+E37-F37,"")</f>
        <v>2436</v>
      </c>
    </row>
    <row r="38" spans="1:7" ht="21.75" customHeight="1">
      <c r="A38" s="74"/>
      <c r="B38" s="74"/>
      <c r="C38" s="48" t="s">
        <v>29</v>
      </c>
      <c r="D38" s="54">
        <f>G26</f>
        <v>2813</v>
      </c>
      <c r="E38" s="50">
        <v>59</v>
      </c>
      <c r="F38" s="51">
        <v>48</v>
      </c>
      <c r="G38" s="52">
        <f>IFERROR(D38+E38-F38,"")</f>
        <v>2824</v>
      </c>
    </row>
    <row r="39" spans="1:7" ht="21.75" customHeight="1">
      <c r="A39" s="74"/>
      <c r="B39" s="74"/>
      <c r="C39" s="48" t="s">
        <v>31</v>
      </c>
      <c r="D39" s="54">
        <f>G27</f>
        <v>3587</v>
      </c>
      <c r="E39" s="50">
        <v>62</v>
      </c>
      <c r="F39" s="51">
        <v>43</v>
      </c>
      <c r="G39" s="52">
        <f>IFERROR(D39+E39-F39,"")</f>
        <v>3606</v>
      </c>
    </row>
    <row r="40" spans="1:7" ht="21.75" customHeight="1">
      <c r="A40" s="74"/>
      <c r="B40" s="74"/>
      <c r="C40" s="48" t="s">
        <v>33</v>
      </c>
      <c r="D40" s="54">
        <f>G28</f>
        <v>1358</v>
      </c>
      <c r="E40" s="50">
        <v>27</v>
      </c>
      <c r="F40" s="51">
        <v>25</v>
      </c>
      <c r="G40" s="52">
        <f>IFERROR(D40+E40-F40,"")</f>
        <v>1360</v>
      </c>
    </row>
    <row r="41" spans="1:7" ht="21.75" customHeight="1">
      <c r="A41" s="74"/>
      <c r="B41" s="74"/>
      <c r="C41" s="48" t="s">
        <v>36</v>
      </c>
      <c r="D41" s="54">
        <f>G29</f>
        <v>4585</v>
      </c>
      <c r="E41" s="50">
        <v>65</v>
      </c>
      <c r="F41" s="51">
        <v>49</v>
      </c>
      <c r="G41" s="52">
        <f>IFERROR(D41+E41-F41,"")</f>
        <v>4601</v>
      </c>
    </row>
    <row r="42" spans="1:7" ht="21.75" customHeight="1">
      <c r="A42" s="73" t="s">
        <v>190</v>
      </c>
      <c r="B42" s="73"/>
      <c r="C42" s="73"/>
      <c r="D42" s="53">
        <f>IFERROR(SUM(D31:D41),"")</f>
        <v>33563</v>
      </c>
      <c r="E42" s="53">
        <f>IFERROR(SUM(E31:E41),"")</f>
        <v>562</v>
      </c>
      <c r="F42" s="53">
        <f>IFERROR(SUM(F31:F41),"")</f>
        <v>421</v>
      </c>
      <c r="G42" s="53">
        <f>IFERROR(SUM(G31:G41),"")</f>
        <v>33704</v>
      </c>
    </row>
    <row r="43" spans="1:7" ht="21.75" customHeight="1">
      <c r="A43" s="71">
        <v>46146</v>
      </c>
      <c r="B43" s="72" t="s">
        <v>51</v>
      </c>
      <c r="C43" s="48" t="s">
        <v>26</v>
      </c>
      <c r="D43" s="54">
        <f>G31</f>
        <v>3626</v>
      </c>
      <c r="E43" s="50">
        <v>93</v>
      </c>
      <c r="F43" s="51">
        <v>65</v>
      </c>
      <c r="G43" s="52">
        <f>IFERROR(D43+E43-F43,"")</f>
        <v>3654</v>
      </c>
    </row>
    <row r="44" spans="1:7" ht="21.75" customHeight="1">
      <c r="A44" s="71"/>
      <c r="B44" s="71"/>
      <c r="C44" s="48" t="s">
        <v>27</v>
      </c>
      <c r="D44" s="54">
        <f>G32</f>
        <v>2635</v>
      </c>
      <c r="E44" s="50">
        <v>91</v>
      </c>
      <c r="F44" s="51">
        <v>76</v>
      </c>
      <c r="G44" s="52">
        <f>IFERROR(D44+E44-F44,"")</f>
        <v>2650</v>
      </c>
    </row>
    <row r="45" spans="1:7" ht="21.75" customHeight="1">
      <c r="A45" s="71"/>
      <c r="B45" s="71"/>
      <c r="C45" s="48" t="s">
        <v>30</v>
      </c>
      <c r="D45" s="54">
        <f>G33</f>
        <v>4177</v>
      </c>
      <c r="E45" s="50">
        <v>153</v>
      </c>
      <c r="F45" s="51">
        <v>109</v>
      </c>
      <c r="G45" s="52">
        <f>IFERROR(D45+E45-F45,"")</f>
        <v>4221</v>
      </c>
    </row>
    <row r="46" spans="1:7" ht="21.75" customHeight="1">
      <c r="A46" s="71"/>
      <c r="B46" s="71"/>
      <c r="C46" s="48" t="s">
        <v>32</v>
      </c>
      <c r="D46" s="54">
        <f>G34</f>
        <v>1871</v>
      </c>
      <c r="E46" s="50">
        <v>102</v>
      </c>
      <c r="F46" s="51">
        <v>88</v>
      </c>
      <c r="G46" s="52">
        <f>IFERROR(D46+E46-F46,"")</f>
        <v>1885</v>
      </c>
    </row>
    <row r="47" spans="1:7" ht="21.75" customHeight="1">
      <c r="A47" s="71"/>
      <c r="B47" s="71"/>
      <c r="C47" s="48" t="s">
        <v>34</v>
      </c>
      <c r="D47" s="54">
        <f>G35</f>
        <v>4307</v>
      </c>
      <c r="E47" s="50">
        <v>170</v>
      </c>
      <c r="F47" s="51">
        <v>107</v>
      </c>
      <c r="G47" s="52">
        <f>IFERROR(D47+E47-F47,"")</f>
        <v>4370</v>
      </c>
    </row>
    <row r="48" spans="1:7" ht="21.75" customHeight="1">
      <c r="A48" s="71"/>
      <c r="B48" s="71"/>
      <c r="C48" s="48" t="s">
        <v>25</v>
      </c>
      <c r="D48" s="54">
        <f>G36</f>
        <v>2261</v>
      </c>
      <c r="E48" s="50">
        <v>79</v>
      </c>
      <c r="F48" s="51">
        <v>55</v>
      </c>
      <c r="G48" s="52">
        <f>IFERROR(D48+E48-F48,"")</f>
        <v>2285</v>
      </c>
    </row>
    <row r="49" spans="1:7" ht="21.75" customHeight="1">
      <c r="A49" s="71"/>
      <c r="B49" s="71"/>
      <c r="C49" s="48" t="s">
        <v>35</v>
      </c>
      <c r="D49" s="54">
        <f>G37</f>
        <v>2436</v>
      </c>
      <c r="E49" s="50">
        <v>115</v>
      </c>
      <c r="F49" s="51">
        <v>90</v>
      </c>
      <c r="G49" s="52">
        <f>IFERROR(D49+E49-F49,"")</f>
        <v>2461</v>
      </c>
    </row>
    <row r="50" spans="1:7" ht="21.75" customHeight="1">
      <c r="A50" s="71"/>
      <c r="B50" s="71"/>
      <c r="C50" s="48" t="s">
        <v>29</v>
      </c>
      <c r="D50" s="54">
        <f>G38</f>
        <v>2824</v>
      </c>
      <c r="E50" s="50">
        <v>85</v>
      </c>
      <c r="F50" s="51">
        <v>59</v>
      </c>
      <c r="G50" s="52">
        <f>IFERROR(D50+E50-F50,"")</f>
        <v>2850</v>
      </c>
    </row>
    <row r="51" spans="1:7" ht="21.75" customHeight="1">
      <c r="A51" s="71"/>
      <c r="B51" s="71"/>
      <c r="C51" s="48" t="s">
        <v>31</v>
      </c>
      <c r="D51" s="54">
        <f>G39</f>
        <v>3606</v>
      </c>
      <c r="E51" s="50">
        <v>136</v>
      </c>
      <c r="F51" s="51">
        <v>114</v>
      </c>
      <c r="G51" s="52">
        <f>IFERROR(D51+E51-F51,"")</f>
        <v>3628</v>
      </c>
    </row>
    <row r="52" spans="1:7" ht="21.75" customHeight="1">
      <c r="A52" s="71"/>
      <c r="B52" s="71"/>
      <c r="C52" s="48" t="s">
        <v>33</v>
      </c>
      <c r="D52" s="54">
        <f>G40</f>
        <v>1360</v>
      </c>
      <c r="E52" s="50">
        <v>87</v>
      </c>
      <c r="F52" s="51">
        <v>67</v>
      </c>
      <c r="G52" s="52">
        <f>IFERROR(D52+E52-F52,"")</f>
        <v>1380</v>
      </c>
    </row>
    <row r="53" spans="1:7" ht="21.75" customHeight="1">
      <c r="A53" s="71"/>
      <c r="B53" s="71"/>
      <c r="C53" s="48" t="s">
        <v>36</v>
      </c>
      <c r="D53" s="54">
        <f>G41</f>
        <v>4601</v>
      </c>
      <c r="E53" s="50">
        <v>164</v>
      </c>
      <c r="F53" s="51">
        <v>129</v>
      </c>
      <c r="G53" s="52">
        <f>IFERROR(D53+E53-F53,"")</f>
        <v>4636</v>
      </c>
    </row>
    <row r="54" spans="1:7" ht="21.75" customHeight="1">
      <c r="A54" s="73" t="s">
        <v>191</v>
      </c>
      <c r="B54" s="73"/>
      <c r="C54" s="73"/>
      <c r="D54" s="53">
        <f>IFERROR(SUM(D43:D53),"")</f>
        <v>33704</v>
      </c>
      <c r="E54" s="53">
        <f>IFERROR(SUM(E43:E53),"")</f>
        <v>1275</v>
      </c>
      <c r="F54" s="53">
        <f>IFERROR(SUM(F43:F53),"")</f>
        <v>959</v>
      </c>
      <c r="G54" s="53">
        <f>IFERROR(SUM(G43:G53),"")</f>
        <v>34020</v>
      </c>
    </row>
    <row r="55" spans="1:7" ht="21.75" customHeight="1">
      <c r="A55" s="71">
        <v>46147</v>
      </c>
      <c r="B55" s="72" t="s">
        <v>52</v>
      </c>
      <c r="C55" s="48" t="s">
        <v>26</v>
      </c>
      <c r="D55" s="54">
        <f>G43</f>
        <v>3654</v>
      </c>
      <c r="E55" s="50">
        <v>86</v>
      </c>
      <c r="F55" s="51">
        <v>61</v>
      </c>
      <c r="G55" s="52">
        <f>IFERROR(D55+E55-F55,"")</f>
        <v>3679</v>
      </c>
    </row>
    <row r="56" spans="1:7" ht="21.75" customHeight="1">
      <c r="A56" s="71"/>
      <c r="B56" s="71"/>
      <c r="C56" s="48" t="s">
        <v>27</v>
      </c>
      <c r="D56" s="54">
        <f>G44</f>
        <v>2650</v>
      </c>
      <c r="E56" s="50">
        <v>87</v>
      </c>
      <c r="F56" s="51">
        <v>77</v>
      </c>
      <c r="G56" s="52">
        <f>IFERROR(D56+E56-F56,"")</f>
        <v>2660</v>
      </c>
    </row>
    <row r="57" spans="1:7" ht="21.75" customHeight="1">
      <c r="A57" s="71"/>
      <c r="B57" s="71"/>
      <c r="C57" s="48" t="s">
        <v>30</v>
      </c>
      <c r="D57" s="54">
        <f>G45</f>
        <v>4221</v>
      </c>
      <c r="E57" s="50">
        <v>106</v>
      </c>
      <c r="F57" s="51">
        <v>72</v>
      </c>
      <c r="G57" s="52">
        <f>IFERROR(D57+E57-F57,"")</f>
        <v>4255</v>
      </c>
    </row>
    <row r="58" spans="1:7" ht="21.75" customHeight="1">
      <c r="A58" s="71"/>
      <c r="B58" s="71"/>
      <c r="C58" s="48" t="s">
        <v>32</v>
      </c>
      <c r="D58" s="54">
        <f>G46</f>
        <v>1885</v>
      </c>
      <c r="E58" s="50">
        <v>88</v>
      </c>
      <c r="F58" s="51">
        <v>81</v>
      </c>
      <c r="G58" s="52">
        <f>IFERROR(D58+E58-F58,"")</f>
        <v>1892</v>
      </c>
    </row>
    <row r="59" spans="1:7" ht="21.75" customHeight="1">
      <c r="A59" s="71"/>
      <c r="B59" s="71"/>
      <c r="C59" s="48" t="s">
        <v>34</v>
      </c>
      <c r="D59" s="54">
        <f>G47</f>
        <v>4370</v>
      </c>
      <c r="E59" s="50">
        <v>115</v>
      </c>
      <c r="F59" s="51">
        <v>71</v>
      </c>
      <c r="G59" s="52">
        <f>IFERROR(D59+E59-F59,"")</f>
        <v>4414</v>
      </c>
    </row>
    <row r="60" spans="1:7" ht="21.75" customHeight="1">
      <c r="A60" s="71"/>
      <c r="B60" s="71"/>
      <c r="C60" s="48" t="s">
        <v>25</v>
      </c>
      <c r="D60" s="54">
        <f>G48</f>
        <v>2285</v>
      </c>
      <c r="E60" s="50">
        <v>90</v>
      </c>
      <c r="F60" s="51">
        <v>68</v>
      </c>
      <c r="G60" s="52">
        <f>IFERROR(D60+E60-F60,"")</f>
        <v>2307</v>
      </c>
    </row>
    <row r="61" spans="1:7" ht="21.75" customHeight="1">
      <c r="A61" s="71"/>
      <c r="B61" s="71"/>
      <c r="C61" s="48" t="s">
        <v>35</v>
      </c>
      <c r="D61" s="54">
        <f>G49</f>
        <v>2461</v>
      </c>
      <c r="E61" s="50">
        <v>95</v>
      </c>
      <c r="F61" s="51">
        <v>77</v>
      </c>
      <c r="G61" s="52">
        <f>IFERROR(D61+E61-F61,"")</f>
        <v>2479</v>
      </c>
    </row>
    <row r="62" spans="1:7" ht="21.75" customHeight="1">
      <c r="A62" s="71"/>
      <c r="B62" s="71"/>
      <c r="C62" s="48" t="s">
        <v>29</v>
      </c>
      <c r="D62" s="54">
        <f>G50</f>
        <v>2850</v>
      </c>
      <c r="E62" s="50">
        <v>100</v>
      </c>
      <c r="F62" s="51">
        <v>66</v>
      </c>
      <c r="G62" s="52">
        <f>IFERROR(D62+E62-F62,"")</f>
        <v>2884</v>
      </c>
    </row>
    <row r="63" spans="1:7" ht="21.75" customHeight="1">
      <c r="A63" s="71"/>
      <c r="B63" s="71"/>
      <c r="C63" s="48" t="s">
        <v>31</v>
      </c>
      <c r="D63" s="54">
        <f>G51</f>
        <v>3628</v>
      </c>
      <c r="E63" s="50">
        <v>155</v>
      </c>
      <c r="F63" s="51">
        <v>125</v>
      </c>
      <c r="G63" s="52">
        <f>IFERROR(D63+E63-F63,"")</f>
        <v>3658</v>
      </c>
    </row>
    <row r="64" spans="1:7" ht="21.75" customHeight="1">
      <c r="A64" s="71"/>
      <c r="B64" s="71"/>
      <c r="C64" s="48" t="s">
        <v>33</v>
      </c>
      <c r="D64" s="54">
        <f>G52</f>
        <v>1380</v>
      </c>
      <c r="E64" s="50">
        <v>60</v>
      </c>
      <c r="F64" s="51">
        <v>49</v>
      </c>
      <c r="G64" s="52">
        <f>IFERROR(D64+E64-F64,"")</f>
        <v>1391</v>
      </c>
    </row>
    <row r="65" spans="1:7" ht="21.75" customHeight="1">
      <c r="A65" s="71"/>
      <c r="B65" s="71"/>
      <c r="C65" s="48" t="s">
        <v>36</v>
      </c>
      <c r="D65" s="54">
        <f>G53</f>
        <v>4636</v>
      </c>
      <c r="E65" s="50">
        <v>109</v>
      </c>
      <c r="F65" s="51">
        <v>80</v>
      </c>
      <c r="G65" s="52">
        <f>IFERROR(D65+E65-F65,"")</f>
        <v>4665</v>
      </c>
    </row>
    <row r="66" spans="1:7" ht="21.75" customHeight="1">
      <c r="A66" s="73" t="s">
        <v>192</v>
      </c>
      <c r="B66" s="73"/>
      <c r="C66" s="73"/>
      <c r="D66" s="53">
        <f>IFERROR(SUM(D55:D65),"")</f>
        <v>34020</v>
      </c>
      <c r="E66" s="53">
        <f>IFERROR(SUM(E55:E65),"")</f>
        <v>1091</v>
      </c>
      <c r="F66" s="53">
        <f>IFERROR(SUM(F55:F65),"")</f>
        <v>827</v>
      </c>
      <c r="G66" s="53">
        <f>IFERROR(SUM(G55:G65),"")</f>
        <v>34284</v>
      </c>
    </row>
    <row r="67" spans="1:7" ht="21.75" customHeight="1">
      <c r="A67" s="71">
        <v>46148</v>
      </c>
      <c r="B67" s="72" t="s">
        <v>53</v>
      </c>
      <c r="C67" s="48" t="s">
        <v>26</v>
      </c>
      <c r="D67" s="54">
        <f>G55</f>
        <v>3679</v>
      </c>
      <c r="E67" s="50">
        <v>133</v>
      </c>
      <c r="F67" s="51">
        <v>112</v>
      </c>
      <c r="G67" s="52">
        <f>IFERROR(D67+E67-F67,"")</f>
        <v>3700</v>
      </c>
    </row>
    <row r="68" spans="1:7" ht="21.75" customHeight="1">
      <c r="A68" s="71"/>
      <c r="B68" s="71"/>
      <c r="C68" s="48" t="s">
        <v>27</v>
      </c>
      <c r="D68" s="54">
        <f>G56</f>
        <v>2660</v>
      </c>
      <c r="E68" s="50">
        <v>100</v>
      </c>
      <c r="F68" s="51">
        <v>85</v>
      </c>
      <c r="G68" s="52">
        <f>IFERROR(D68+E68-F68,"")</f>
        <v>2675</v>
      </c>
    </row>
    <row r="69" spans="1:7" ht="21.75" customHeight="1">
      <c r="A69" s="71"/>
      <c r="B69" s="71"/>
      <c r="C69" s="48" t="s">
        <v>30</v>
      </c>
      <c r="D69" s="54">
        <f>G57</f>
        <v>4255</v>
      </c>
      <c r="E69" s="50">
        <v>121</v>
      </c>
      <c r="F69" s="51">
        <v>86</v>
      </c>
      <c r="G69" s="52">
        <f>IFERROR(D69+E69-F69,"")</f>
        <v>4290</v>
      </c>
    </row>
    <row r="70" spans="1:7" ht="21.75" customHeight="1">
      <c r="A70" s="71"/>
      <c r="B70" s="71"/>
      <c r="C70" s="48" t="s">
        <v>32</v>
      </c>
      <c r="D70" s="54">
        <f>G58</f>
        <v>1892</v>
      </c>
      <c r="E70" s="50">
        <v>95</v>
      </c>
      <c r="F70" s="51">
        <v>75</v>
      </c>
      <c r="G70" s="52">
        <f>IFERROR(D70+E70-F70,"")</f>
        <v>1912</v>
      </c>
    </row>
    <row r="71" spans="1:7" ht="21.75" customHeight="1">
      <c r="A71" s="71"/>
      <c r="B71" s="71"/>
      <c r="C71" s="48" t="s">
        <v>34</v>
      </c>
      <c r="D71" s="54">
        <f>G59</f>
        <v>4414</v>
      </c>
      <c r="E71" s="50">
        <v>149</v>
      </c>
      <c r="F71" s="51">
        <v>98</v>
      </c>
      <c r="G71" s="52">
        <f>IFERROR(D71+E71-F71,"")</f>
        <v>4465</v>
      </c>
    </row>
    <row r="72" spans="1:7" ht="21.75" customHeight="1">
      <c r="A72" s="71"/>
      <c r="B72" s="71"/>
      <c r="C72" s="48" t="s">
        <v>25</v>
      </c>
      <c r="D72" s="54">
        <f>G60</f>
        <v>2307</v>
      </c>
      <c r="E72" s="50">
        <v>108</v>
      </c>
      <c r="F72" s="51">
        <v>92</v>
      </c>
      <c r="G72" s="52">
        <f>IFERROR(D72+E72-F72,"")</f>
        <v>2323</v>
      </c>
    </row>
    <row r="73" spans="1:7" ht="21.75" customHeight="1">
      <c r="A73" s="71"/>
      <c r="B73" s="71"/>
      <c r="C73" s="48" t="s">
        <v>35</v>
      </c>
      <c r="D73" s="54">
        <f>G61</f>
        <v>2479</v>
      </c>
      <c r="E73" s="50">
        <v>140</v>
      </c>
      <c r="F73" s="51">
        <v>123</v>
      </c>
      <c r="G73" s="52">
        <f>IFERROR(D73+E73-F73,"")</f>
        <v>2496</v>
      </c>
    </row>
    <row r="74" spans="1:7" ht="21.75" customHeight="1">
      <c r="A74" s="71"/>
      <c r="B74" s="71"/>
      <c r="C74" s="48" t="s">
        <v>29</v>
      </c>
      <c r="D74" s="54">
        <f>G62</f>
        <v>2884</v>
      </c>
      <c r="E74" s="50">
        <v>121</v>
      </c>
      <c r="F74" s="51">
        <v>83</v>
      </c>
      <c r="G74" s="52">
        <f>IFERROR(D74+E74-F74,"")</f>
        <v>2922</v>
      </c>
    </row>
    <row r="75" spans="1:7" ht="21.75" customHeight="1">
      <c r="A75" s="71"/>
      <c r="B75" s="71"/>
      <c r="C75" s="48" t="s">
        <v>31</v>
      </c>
      <c r="D75" s="54">
        <f>G63</f>
        <v>3658</v>
      </c>
      <c r="E75" s="50">
        <v>93</v>
      </c>
      <c r="F75" s="51">
        <v>67</v>
      </c>
      <c r="G75" s="52">
        <f>IFERROR(D75+E75-F75,"")</f>
        <v>3684</v>
      </c>
    </row>
    <row r="76" spans="1:7" ht="21.75" customHeight="1">
      <c r="A76" s="71"/>
      <c r="B76" s="71"/>
      <c r="C76" s="48" t="s">
        <v>33</v>
      </c>
      <c r="D76" s="54">
        <f>G64</f>
        <v>1391</v>
      </c>
      <c r="E76" s="50">
        <v>104</v>
      </c>
      <c r="F76" s="51">
        <v>94</v>
      </c>
      <c r="G76" s="52">
        <f>IFERROR(D76+E76-F76,"")</f>
        <v>1401</v>
      </c>
    </row>
    <row r="77" spans="1:7" ht="21.75" customHeight="1">
      <c r="A77" s="71"/>
      <c r="B77" s="71"/>
      <c r="C77" s="48" t="s">
        <v>36</v>
      </c>
      <c r="D77" s="54">
        <f>G65</f>
        <v>4665</v>
      </c>
      <c r="E77" s="50">
        <v>138</v>
      </c>
      <c r="F77" s="51">
        <v>109</v>
      </c>
      <c r="G77" s="52">
        <f>IFERROR(D77+E77-F77,"")</f>
        <v>4694</v>
      </c>
    </row>
    <row r="78" spans="1:7" ht="21.75" customHeight="1">
      <c r="A78" s="73" t="s">
        <v>193</v>
      </c>
      <c r="B78" s="73"/>
      <c r="C78" s="73"/>
      <c r="D78" s="53">
        <f>IFERROR(SUM(D67:D77),"")</f>
        <v>34284</v>
      </c>
      <c r="E78" s="53">
        <f>IFERROR(SUM(E67:E77),"")</f>
        <v>1302</v>
      </c>
      <c r="F78" s="53">
        <f>IFERROR(SUM(F67:F77),"")</f>
        <v>1024</v>
      </c>
      <c r="G78" s="53">
        <f>IFERROR(SUM(G67:G77),"")</f>
        <v>34562</v>
      </c>
    </row>
    <row r="79" spans="1:7" ht="21.75" customHeight="1">
      <c r="A79" s="71">
        <v>46149</v>
      </c>
      <c r="B79" s="72" t="s">
        <v>45</v>
      </c>
      <c r="C79" s="48" t="s">
        <v>26</v>
      </c>
      <c r="D79" s="54">
        <f>G67</f>
        <v>3700</v>
      </c>
      <c r="E79" s="50">
        <v>99</v>
      </c>
      <c r="F79" s="51">
        <v>78</v>
      </c>
      <c r="G79" s="52">
        <f>IFERROR(D79+E79-F79,"")</f>
        <v>3721</v>
      </c>
    </row>
    <row r="80" spans="1:7" ht="21.75" customHeight="1">
      <c r="A80" s="71"/>
      <c r="B80" s="71"/>
      <c r="C80" s="48" t="s">
        <v>27</v>
      </c>
      <c r="D80" s="54">
        <f>G68</f>
        <v>2675</v>
      </c>
      <c r="E80" s="50">
        <v>104</v>
      </c>
      <c r="F80" s="51">
        <v>87</v>
      </c>
      <c r="G80" s="52">
        <f>IFERROR(D80+E80-F80,"")</f>
        <v>2692</v>
      </c>
    </row>
    <row r="81" spans="1:7" ht="21.75" customHeight="1">
      <c r="A81" s="71"/>
      <c r="B81" s="71"/>
      <c r="C81" s="48" t="s">
        <v>30</v>
      </c>
      <c r="D81" s="54">
        <f>G69</f>
        <v>4290</v>
      </c>
      <c r="E81" s="50">
        <v>134</v>
      </c>
      <c r="F81" s="51">
        <v>90</v>
      </c>
      <c r="G81" s="52">
        <f>IFERROR(D81+E81-F81,"")</f>
        <v>4334</v>
      </c>
    </row>
    <row r="82" spans="1:7" ht="21.75" customHeight="1">
      <c r="A82" s="71"/>
      <c r="B82" s="71"/>
      <c r="C82" s="48" t="s">
        <v>32</v>
      </c>
      <c r="D82" s="54">
        <f>G70</f>
        <v>1912</v>
      </c>
      <c r="E82" s="50">
        <v>95</v>
      </c>
      <c r="F82" s="51">
        <v>88</v>
      </c>
      <c r="G82" s="52">
        <f>IFERROR(D82+E82-F82,"")</f>
        <v>1919</v>
      </c>
    </row>
    <row r="83" spans="1:7" ht="21.75" customHeight="1">
      <c r="A83" s="71"/>
      <c r="B83" s="71"/>
      <c r="C83" s="48" t="s">
        <v>34</v>
      </c>
      <c r="D83" s="54">
        <f>G71</f>
        <v>4465</v>
      </c>
      <c r="E83" s="50">
        <v>148</v>
      </c>
      <c r="F83" s="51">
        <v>105</v>
      </c>
      <c r="G83" s="52">
        <f>IFERROR(D83+E83-F83,"")</f>
        <v>4508</v>
      </c>
    </row>
    <row r="84" spans="1:7" ht="21.75" customHeight="1">
      <c r="A84" s="71"/>
      <c r="B84" s="71"/>
      <c r="C84" s="48" t="s">
        <v>25</v>
      </c>
      <c r="D84" s="54">
        <f>G72</f>
        <v>2323</v>
      </c>
      <c r="E84" s="50">
        <v>109</v>
      </c>
      <c r="F84" s="51">
        <v>84</v>
      </c>
      <c r="G84" s="52">
        <f>IFERROR(D84+E84-F84,"")</f>
        <v>2348</v>
      </c>
    </row>
    <row r="85" spans="1:7" ht="21.75" customHeight="1">
      <c r="A85" s="71"/>
      <c r="B85" s="71"/>
      <c r="C85" s="48" t="s">
        <v>35</v>
      </c>
      <c r="D85" s="54">
        <f>G73</f>
        <v>2496</v>
      </c>
      <c r="E85" s="50">
        <v>99</v>
      </c>
      <c r="F85" s="51">
        <v>78</v>
      </c>
      <c r="G85" s="52">
        <f>IFERROR(D85+E85-F85,"")</f>
        <v>2517</v>
      </c>
    </row>
    <row r="86" spans="1:7" ht="21.75" customHeight="1">
      <c r="A86" s="71"/>
      <c r="B86" s="71"/>
      <c r="C86" s="48" t="s">
        <v>29</v>
      </c>
      <c r="D86" s="54">
        <f>G74</f>
        <v>2922</v>
      </c>
      <c r="E86" s="50">
        <v>101</v>
      </c>
      <c r="F86" s="51">
        <v>78</v>
      </c>
      <c r="G86" s="52">
        <f>IFERROR(D86+E86-F86,"")</f>
        <v>2945</v>
      </c>
    </row>
    <row r="87" spans="1:7" ht="21.75" customHeight="1">
      <c r="A87" s="71"/>
      <c r="B87" s="71"/>
      <c r="C87" s="48" t="s">
        <v>31</v>
      </c>
      <c r="D87" s="54">
        <f>G75</f>
        <v>3684</v>
      </c>
      <c r="E87" s="50">
        <v>114</v>
      </c>
      <c r="F87" s="51">
        <v>85</v>
      </c>
      <c r="G87" s="52">
        <f>IFERROR(D87+E87-F87,"")</f>
        <v>3713</v>
      </c>
    </row>
    <row r="88" spans="1:7" ht="21.75" customHeight="1">
      <c r="A88" s="71"/>
      <c r="B88" s="71"/>
      <c r="C88" s="48" t="s">
        <v>33</v>
      </c>
      <c r="D88" s="54">
        <f>G76</f>
        <v>1401</v>
      </c>
      <c r="E88" s="50">
        <v>57</v>
      </c>
      <c r="F88" s="51">
        <v>49</v>
      </c>
      <c r="G88" s="52">
        <f>IFERROR(D88+E88-F88,"")</f>
        <v>1409</v>
      </c>
    </row>
    <row r="89" spans="1:7" ht="21.75" customHeight="1">
      <c r="A89" s="71"/>
      <c r="B89" s="71"/>
      <c r="C89" s="48" t="s">
        <v>36</v>
      </c>
      <c r="D89" s="54">
        <f>G77</f>
        <v>4694</v>
      </c>
      <c r="E89" s="50">
        <v>155</v>
      </c>
      <c r="F89" s="51">
        <v>118</v>
      </c>
      <c r="G89" s="52">
        <f>IFERROR(D89+E89-F89,"")</f>
        <v>4731</v>
      </c>
    </row>
    <row r="90" spans="1:7" ht="21.75" customHeight="1">
      <c r="A90" s="73" t="s">
        <v>194</v>
      </c>
      <c r="B90" s="73"/>
      <c r="C90" s="73"/>
      <c r="D90" s="53">
        <f>IFERROR(SUM(D79:D89),"")</f>
        <v>34562</v>
      </c>
      <c r="E90" s="53">
        <f>IFERROR(SUM(E79:E89),"")</f>
        <v>1215</v>
      </c>
      <c r="F90" s="53">
        <f>IFERROR(SUM(F79:F89),"")</f>
        <v>940</v>
      </c>
      <c r="G90" s="53">
        <f>IFERROR(SUM(G79:G89),"")</f>
        <v>34837</v>
      </c>
    </row>
    <row r="91" spans="1:7" ht="21.75" customHeight="1">
      <c r="A91" s="71">
        <v>46150</v>
      </c>
      <c r="B91" s="72" t="s">
        <v>47</v>
      </c>
      <c r="C91" s="48" t="s">
        <v>26</v>
      </c>
      <c r="D91" s="54">
        <f>G79</f>
        <v>3721</v>
      </c>
      <c r="E91" s="50">
        <v>122</v>
      </c>
      <c r="F91" s="51">
        <v>82</v>
      </c>
      <c r="G91" s="52">
        <f>IFERROR(D91+E91-F91,"")</f>
        <v>3761</v>
      </c>
    </row>
    <row r="92" spans="1:7" ht="21.75" customHeight="1">
      <c r="A92" s="71"/>
      <c r="B92" s="71"/>
      <c r="C92" s="48" t="s">
        <v>27</v>
      </c>
      <c r="D92" s="54">
        <f>G80</f>
        <v>2692</v>
      </c>
      <c r="E92" s="50">
        <v>125</v>
      </c>
      <c r="F92" s="51">
        <v>101</v>
      </c>
      <c r="G92" s="52">
        <f>IFERROR(D92+E92-F92,"")</f>
        <v>2716</v>
      </c>
    </row>
    <row r="93" spans="1:7" ht="21.75" customHeight="1">
      <c r="A93" s="71"/>
      <c r="B93" s="71"/>
      <c r="C93" s="48" t="s">
        <v>30</v>
      </c>
      <c r="D93" s="54">
        <f>G81</f>
        <v>4334</v>
      </c>
      <c r="E93" s="50">
        <v>102</v>
      </c>
      <c r="F93" s="51">
        <v>77</v>
      </c>
      <c r="G93" s="52">
        <f>IFERROR(D93+E93-F93,"")</f>
        <v>4359</v>
      </c>
    </row>
    <row r="94" spans="1:7" ht="21.75" customHeight="1">
      <c r="A94" s="71"/>
      <c r="B94" s="71"/>
      <c r="C94" s="48" t="s">
        <v>32</v>
      </c>
      <c r="D94" s="54">
        <f>G82</f>
        <v>1919</v>
      </c>
      <c r="E94" s="50">
        <v>118</v>
      </c>
      <c r="F94" s="51">
        <v>102</v>
      </c>
      <c r="G94" s="52">
        <f>IFERROR(D94+E94-F94,"")</f>
        <v>1935</v>
      </c>
    </row>
    <row r="95" spans="1:7" ht="21.75" customHeight="1">
      <c r="A95" s="71"/>
      <c r="B95" s="71"/>
      <c r="C95" s="48" t="s">
        <v>34</v>
      </c>
      <c r="D95" s="54">
        <f>G83</f>
        <v>4508</v>
      </c>
      <c r="E95" s="50">
        <v>101</v>
      </c>
      <c r="F95" s="51">
        <v>66</v>
      </c>
      <c r="G95" s="52">
        <f>IFERROR(D95+E95-F95,"")</f>
        <v>4543</v>
      </c>
    </row>
    <row r="96" spans="1:7" ht="21.75" customHeight="1">
      <c r="A96" s="71"/>
      <c r="B96" s="71"/>
      <c r="C96" s="48" t="s">
        <v>25</v>
      </c>
      <c r="D96" s="54">
        <f>G84</f>
        <v>2348</v>
      </c>
      <c r="E96" s="50">
        <v>76</v>
      </c>
      <c r="F96" s="51">
        <v>55</v>
      </c>
      <c r="G96" s="52">
        <f>IFERROR(D96+E96-F96,"")</f>
        <v>2369</v>
      </c>
    </row>
    <row r="97" spans="1:7" ht="21.75" customHeight="1">
      <c r="A97" s="71"/>
      <c r="B97" s="71"/>
      <c r="C97" s="48" t="s">
        <v>35</v>
      </c>
      <c r="D97" s="54">
        <f>G85</f>
        <v>2517</v>
      </c>
      <c r="E97" s="50">
        <v>84</v>
      </c>
      <c r="F97" s="51">
        <v>75</v>
      </c>
      <c r="G97" s="52">
        <f>IFERROR(D97+E97-F97,"")</f>
        <v>2526</v>
      </c>
    </row>
    <row r="98" spans="1:7" ht="21.75" customHeight="1">
      <c r="A98" s="71"/>
      <c r="B98" s="71"/>
      <c r="C98" s="48" t="s">
        <v>29</v>
      </c>
      <c r="D98" s="54">
        <f>G86</f>
        <v>2945</v>
      </c>
      <c r="E98" s="50">
        <v>115</v>
      </c>
      <c r="F98" s="51">
        <v>83</v>
      </c>
      <c r="G98" s="52">
        <f>IFERROR(D98+E98-F98,"")</f>
        <v>2977</v>
      </c>
    </row>
    <row r="99" spans="1:7" ht="21.75" customHeight="1">
      <c r="A99" s="71"/>
      <c r="B99" s="71"/>
      <c r="C99" s="48" t="s">
        <v>31</v>
      </c>
      <c r="D99" s="54">
        <f>G87</f>
        <v>3713</v>
      </c>
      <c r="E99" s="50">
        <v>128</v>
      </c>
      <c r="F99" s="51">
        <v>100</v>
      </c>
      <c r="G99" s="52">
        <f>IFERROR(D99+E99-F99,"")</f>
        <v>3741</v>
      </c>
    </row>
    <row r="100" spans="1:7" ht="21.75" customHeight="1">
      <c r="A100" s="71"/>
      <c r="B100" s="71"/>
      <c r="C100" s="48" t="s">
        <v>33</v>
      </c>
      <c r="D100" s="54">
        <f>G88</f>
        <v>1409</v>
      </c>
      <c r="E100" s="50">
        <v>99</v>
      </c>
      <c r="F100" s="51">
        <v>89</v>
      </c>
      <c r="G100" s="52">
        <f>IFERROR(D100+E100-F100,"")</f>
        <v>1419</v>
      </c>
    </row>
    <row r="101" spans="1:7" ht="21.75" customHeight="1">
      <c r="A101" s="71"/>
      <c r="B101" s="71"/>
      <c r="C101" s="48" t="s">
        <v>36</v>
      </c>
      <c r="D101" s="54">
        <f>G89</f>
        <v>4731</v>
      </c>
      <c r="E101" s="50">
        <v>105</v>
      </c>
      <c r="F101" s="51">
        <v>74</v>
      </c>
      <c r="G101" s="52">
        <f>IFERROR(D101+E101-F101,"")</f>
        <v>4762</v>
      </c>
    </row>
    <row r="102" spans="1:7" ht="21.75" customHeight="1">
      <c r="A102" s="73" t="s">
        <v>195</v>
      </c>
      <c r="B102" s="73"/>
      <c r="C102" s="73"/>
      <c r="D102" s="53">
        <f>IFERROR(SUM(D91:D101),"")</f>
        <v>34837</v>
      </c>
      <c r="E102" s="53">
        <f>IFERROR(SUM(E91:E101),"")</f>
        <v>1175</v>
      </c>
      <c r="F102" s="53">
        <f>IFERROR(SUM(F91:F101),"")</f>
        <v>904</v>
      </c>
      <c r="G102" s="53">
        <f>IFERROR(SUM(G91:G101),"")</f>
        <v>35108</v>
      </c>
    </row>
    <row r="103" spans="1:7" ht="21.75" customHeight="1">
      <c r="A103" s="74">
        <v>46151</v>
      </c>
      <c r="B103" s="75" t="s">
        <v>48</v>
      </c>
      <c r="C103" s="48" t="s">
        <v>26</v>
      </c>
      <c r="D103" s="54">
        <f>G91</f>
        <v>3761</v>
      </c>
      <c r="E103" s="50">
        <v>72</v>
      </c>
      <c r="F103" s="51">
        <v>55</v>
      </c>
      <c r="G103" s="52">
        <f>IFERROR(D103+E103-F103,"")</f>
        <v>3778</v>
      </c>
    </row>
    <row r="104" spans="1:7" ht="21.75" customHeight="1">
      <c r="A104" s="74"/>
      <c r="B104" s="74"/>
      <c r="C104" s="48" t="s">
        <v>27</v>
      </c>
      <c r="D104" s="54">
        <f>G92</f>
        <v>2716</v>
      </c>
      <c r="E104" s="50">
        <v>42</v>
      </c>
      <c r="F104" s="51">
        <v>30</v>
      </c>
      <c r="G104" s="52">
        <f>IFERROR(D104+E104-F104,"")</f>
        <v>2728</v>
      </c>
    </row>
    <row r="105" spans="1:7" ht="21.75" customHeight="1">
      <c r="A105" s="74"/>
      <c r="B105" s="74"/>
      <c r="C105" s="48" t="s">
        <v>30</v>
      </c>
      <c r="D105" s="54">
        <f>G93</f>
        <v>4359</v>
      </c>
      <c r="E105" s="50">
        <v>63</v>
      </c>
      <c r="F105" s="51">
        <v>38</v>
      </c>
      <c r="G105" s="52">
        <f>IFERROR(D105+E105-F105,"")</f>
        <v>4384</v>
      </c>
    </row>
    <row r="106" spans="1:7" ht="21.75" customHeight="1">
      <c r="A106" s="74"/>
      <c r="B106" s="74"/>
      <c r="C106" s="48" t="s">
        <v>32</v>
      </c>
      <c r="D106" s="54">
        <f>G94</f>
        <v>1935</v>
      </c>
      <c r="E106" s="50">
        <v>30</v>
      </c>
      <c r="F106" s="51">
        <v>25</v>
      </c>
      <c r="G106" s="52">
        <f>IFERROR(D106+E106-F106,"")</f>
        <v>1940</v>
      </c>
    </row>
    <row r="107" spans="1:7" ht="21.75" customHeight="1">
      <c r="A107" s="74"/>
      <c r="B107" s="74"/>
      <c r="C107" s="48" t="s">
        <v>34</v>
      </c>
      <c r="D107" s="54">
        <f>G95</f>
        <v>4543</v>
      </c>
      <c r="E107" s="50">
        <v>50</v>
      </c>
      <c r="F107" s="51">
        <v>35</v>
      </c>
      <c r="G107" s="52">
        <f>IFERROR(D107+E107-F107,"")</f>
        <v>4558</v>
      </c>
    </row>
    <row r="108" spans="1:7" ht="21.75" customHeight="1">
      <c r="A108" s="74"/>
      <c r="B108" s="74"/>
      <c r="C108" s="48" t="s">
        <v>25</v>
      </c>
      <c r="D108" s="54">
        <f>G96</f>
        <v>2369</v>
      </c>
      <c r="E108" s="50">
        <v>21</v>
      </c>
      <c r="F108" s="51">
        <v>14</v>
      </c>
      <c r="G108" s="52">
        <f>IFERROR(D108+E108-F108,"")</f>
        <v>2376</v>
      </c>
    </row>
    <row r="109" spans="1:7" ht="21.75" customHeight="1">
      <c r="A109" s="74"/>
      <c r="B109" s="74"/>
      <c r="C109" s="48" t="s">
        <v>35</v>
      </c>
      <c r="D109" s="54">
        <f>G97</f>
        <v>2526</v>
      </c>
      <c r="E109" s="50">
        <v>50</v>
      </c>
      <c r="F109" s="51">
        <v>36</v>
      </c>
      <c r="G109" s="52">
        <f>IFERROR(D109+E109-F109,"")</f>
        <v>2540</v>
      </c>
    </row>
    <row r="110" spans="1:7" ht="21.75" customHeight="1">
      <c r="A110" s="74"/>
      <c r="B110" s="74"/>
      <c r="C110" s="48" t="s">
        <v>29</v>
      </c>
      <c r="D110" s="54">
        <f>G98</f>
        <v>2977</v>
      </c>
      <c r="E110" s="50">
        <v>44</v>
      </c>
      <c r="F110" s="51">
        <v>34</v>
      </c>
      <c r="G110" s="52">
        <f>IFERROR(D110+E110-F110,"")</f>
        <v>2987</v>
      </c>
    </row>
    <row r="111" spans="1:7" ht="21.75" customHeight="1">
      <c r="A111" s="74"/>
      <c r="B111" s="74"/>
      <c r="C111" s="48" t="s">
        <v>31</v>
      </c>
      <c r="D111" s="54">
        <f>G99</f>
        <v>3741</v>
      </c>
      <c r="E111" s="50">
        <v>57</v>
      </c>
      <c r="F111" s="51">
        <v>42</v>
      </c>
      <c r="G111" s="52">
        <f>IFERROR(D111+E111-F111,"")</f>
        <v>3756</v>
      </c>
    </row>
    <row r="112" spans="1:7" ht="21.75" customHeight="1">
      <c r="A112" s="74"/>
      <c r="B112" s="74"/>
      <c r="C112" s="48" t="s">
        <v>33</v>
      </c>
      <c r="D112" s="54">
        <f>G100</f>
        <v>1419</v>
      </c>
      <c r="E112" s="50">
        <v>26</v>
      </c>
      <c r="F112" s="51">
        <v>21</v>
      </c>
      <c r="G112" s="52">
        <f>IFERROR(D112+E112-F112,"")</f>
        <v>1424</v>
      </c>
    </row>
    <row r="113" spans="1:7" ht="21.75" customHeight="1">
      <c r="A113" s="74"/>
      <c r="B113" s="74"/>
      <c r="C113" s="48" t="s">
        <v>36</v>
      </c>
      <c r="D113" s="54">
        <f>G101</f>
        <v>4762</v>
      </c>
      <c r="E113" s="50">
        <v>71</v>
      </c>
      <c r="F113" s="51">
        <v>49</v>
      </c>
      <c r="G113" s="52">
        <f>IFERROR(D113+E113-F113,"")</f>
        <v>4784</v>
      </c>
    </row>
    <row r="114" spans="1:7" ht="21.75" customHeight="1">
      <c r="A114" s="73" t="s">
        <v>196</v>
      </c>
      <c r="B114" s="73"/>
      <c r="C114" s="73"/>
      <c r="D114" s="53">
        <f>IFERROR(SUM(D103:D113),"")</f>
        <v>35108</v>
      </c>
      <c r="E114" s="53">
        <f>IFERROR(SUM(E103:E113),"")</f>
        <v>526</v>
      </c>
      <c r="F114" s="53">
        <f>IFERROR(SUM(F103:F113),"")</f>
        <v>379</v>
      </c>
      <c r="G114" s="53">
        <f>IFERROR(SUM(G103:G113),"")</f>
        <v>35255</v>
      </c>
    </row>
    <row r="115" spans="1:7" ht="21.75" customHeight="1">
      <c r="A115" s="74">
        <v>46152</v>
      </c>
      <c r="B115" s="75" t="s">
        <v>50</v>
      </c>
      <c r="C115" s="48" t="s">
        <v>26</v>
      </c>
      <c r="D115" s="54">
        <f>G103</f>
        <v>3778</v>
      </c>
      <c r="E115" s="50">
        <v>71</v>
      </c>
      <c r="F115" s="51">
        <v>56</v>
      </c>
      <c r="G115" s="52">
        <f>IFERROR(D115+E115-F115,"")</f>
        <v>3793</v>
      </c>
    </row>
    <row r="116" spans="1:7" ht="21.75" customHeight="1">
      <c r="A116" s="74"/>
      <c r="B116" s="74"/>
      <c r="C116" s="48" t="s">
        <v>27</v>
      </c>
      <c r="D116" s="54">
        <f>G104</f>
        <v>2728</v>
      </c>
      <c r="E116" s="50">
        <v>43</v>
      </c>
      <c r="F116" s="51">
        <v>37</v>
      </c>
      <c r="G116" s="52">
        <f>IFERROR(D116+E116-F116,"")</f>
        <v>2734</v>
      </c>
    </row>
    <row r="117" spans="1:7" ht="21.75" customHeight="1">
      <c r="A117" s="74"/>
      <c r="B117" s="74"/>
      <c r="C117" s="48" t="s">
        <v>30</v>
      </c>
      <c r="D117" s="54">
        <f>G105</f>
        <v>4384</v>
      </c>
      <c r="E117" s="50">
        <v>73</v>
      </c>
      <c r="F117" s="51">
        <v>47</v>
      </c>
      <c r="G117" s="52">
        <f>IFERROR(D117+E117-F117,"")</f>
        <v>4410</v>
      </c>
    </row>
    <row r="118" spans="1:7" ht="21.75" customHeight="1">
      <c r="A118" s="74"/>
      <c r="B118" s="74"/>
      <c r="C118" s="48" t="s">
        <v>32</v>
      </c>
      <c r="D118" s="54">
        <f>G106</f>
        <v>1940</v>
      </c>
      <c r="E118" s="50">
        <v>38</v>
      </c>
      <c r="F118" s="51">
        <v>35</v>
      </c>
      <c r="G118" s="52">
        <f>IFERROR(D118+E118-F118,"")</f>
        <v>1943</v>
      </c>
    </row>
    <row r="119" spans="1:7" ht="21.75" customHeight="1">
      <c r="A119" s="74"/>
      <c r="B119" s="74"/>
      <c r="C119" s="48" t="s">
        <v>34</v>
      </c>
      <c r="D119" s="54">
        <f>G107</f>
        <v>4558</v>
      </c>
      <c r="E119" s="50">
        <v>80</v>
      </c>
      <c r="F119" s="51">
        <v>57</v>
      </c>
      <c r="G119" s="52">
        <f>IFERROR(D119+E119-F119,"")</f>
        <v>4581</v>
      </c>
    </row>
    <row r="120" spans="1:7" ht="21.75" customHeight="1">
      <c r="A120" s="74"/>
      <c r="B120" s="74"/>
      <c r="C120" s="48" t="s">
        <v>25</v>
      </c>
      <c r="D120" s="54">
        <f>G108</f>
        <v>2376</v>
      </c>
      <c r="E120" s="50">
        <v>49</v>
      </c>
      <c r="F120" s="51">
        <v>37</v>
      </c>
      <c r="G120" s="52">
        <f>IFERROR(D120+E120-F120,"")</f>
        <v>2388</v>
      </c>
    </row>
    <row r="121" spans="1:7" ht="21.75" customHeight="1">
      <c r="A121" s="74"/>
      <c r="B121" s="74"/>
      <c r="C121" s="48" t="s">
        <v>35</v>
      </c>
      <c r="D121" s="54">
        <f>G109</f>
        <v>2540</v>
      </c>
      <c r="E121" s="50">
        <v>30</v>
      </c>
      <c r="F121" s="51">
        <v>27</v>
      </c>
      <c r="G121" s="52">
        <f>IFERROR(D121+E121-F121,"")</f>
        <v>2543</v>
      </c>
    </row>
    <row r="122" spans="1:7" ht="21.75" customHeight="1">
      <c r="A122" s="74"/>
      <c r="B122" s="74"/>
      <c r="C122" s="48" t="s">
        <v>29</v>
      </c>
      <c r="D122" s="54">
        <f>G110</f>
        <v>2987</v>
      </c>
      <c r="E122" s="50">
        <v>55</v>
      </c>
      <c r="F122" s="51">
        <v>40</v>
      </c>
      <c r="G122" s="52">
        <f>IFERROR(D122+E122-F122,"")</f>
        <v>3002</v>
      </c>
    </row>
    <row r="123" spans="1:7" ht="21.75" customHeight="1">
      <c r="A123" s="74"/>
      <c r="B123" s="74"/>
      <c r="C123" s="48" t="s">
        <v>31</v>
      </c>
      <c r="D123" s="54">
        <f>G111</f>
        <v>3756</v>
      </c>
      <c r="E123" s="50">
        <v>77</v>
      </c>
      <c r="F123" s="51">
        <v>54</v>
      </c>
      <c r="G123" s="52">
        <f>IFERROR(D123+E123-F123,"")</f>
        <v>3779</v>
      </c>
    </row>
    <row r="124" spans="1:7" ht="21.75" customHeight="1">
      <c r="A124" s="74"/>
      <c r="B124" s="74"/>
      <c r="C124" s="48" t="s">
        <v>33</v>
      </c>
      <c r="D124" s="54">
        <f>G112</f>
        <v>1424</v>
      </c>
      <c r="E124" s="50">
        <v>24</v>
      </c>
      <c r="F124" s="51">
        <v>21</v>
      </c>
      <c r="G124" s="52">
        <f>IFERROR(D124+E124-F124,"")</f>
        <v>1427</v>
      </c>
    </row>
    <row r="125" spans="1:7" ht="21.75" customHeight="1">
      <c r="A125" s="74"/>
      <c r="B125" s="74"/>
      <c r="C125" s="48" t="s">
        <v>36</v>
      </c>
      <c r="D125" s="54">
        <f>G113</f>
        <v>4784</v>
      </c>
      <c r="E125" s="50">
        <v>60</v>
      </c>
      <c r="F125" s="51">
        <v>45</v>
      </c>
      <c r="G125" s="52">
        <f>IFERROR(D125+E125-F125,"")</f>
        <v>4799</v>
      </c>
    </row>
    <row r="126" spans="1:7" ht="21.75" customHeight="1">
      <c r="A126" s="73" t="s">
        <v>197</v>
      </c>
      <c r="B126" s="73"/>
      <c r="C126" s="73"/>
      <c r="D126" s="53">
        <f>IFERROR(SUM(D115:D125),"")</f>
        <v>35255</v>
      </c>
      <c r="E126" s="53">
        <f>IFERROR(SUM(E115:E125),"")</f>
        <v>600</v>
      </c>
      <c r="F126" s="53">
        <f>IFERROR(SUM(F115:F125),"")</f>
        <v>456</v>
      </c>
      <c r="G126" s="53">
        <f>IFERROR(SUM(G115:G125),"")</f>
        <v>35399</v>
      </c>
    </row>
    <row r="127" spans="1:7" ht="21.75" customHeight="1">
      <c r="A127" s="71">
        <v>46153</v>
      </c>
      <c r="B127" s="72" t="s">
        <v>51</v>
      </c>
      <c r="C127" s="48" t="s">
        <v>26</v>
      </c>
      <c r="D127" s="54">
        <f>G115</f>
        <v>3793</v>
      </c>
      <c r="E127" s="50">
        <v>93</v>
      </c>
      <c r="F127" s="51">
        <v>67</v>
      </c>
      <c r="G127" s="52">
        <f>IFERROR(D127+E127-F127,"")</f>
        <v>3819</v>
      </c>
    </row>
    <row r="128" spans="1:7" ht="21.75" customHeight="1">
      <c r="A128" s="71"/>
      <c r="B128" s="71"/>
      <c r="C128" s="48" t="s">
        <v>27</v>
      </c>
      <c r="D128" s="54">
        <f>G116</f>
        <v>2734</v>
      </c>
      <c r="E128" s="50">
        <v>94</v>
      </c>
      <c r="F128" s="51">
        <v>83</v>
      </c>
      <c r="G128" s="52">
        <f>IFERROR(D128+E128-F128,"")</f>
        <v>2745</v>
      </c>
    </row>
    <row r="129" spans="1:7" ht="21.75" customHeight="1">
      <c r="A129" s="71"/>
      <c r="B129" s="71"/>
      <c r="C129" s="48" t="s">
        <v>30</v>
      </c>
      <c r="D129" s="54">
        <f>G117</f>
        <v>4410</v>
      </c>
      <c r="E129" s="50">
        <v>135</v>
      </c>
      <c r="F129" s="51">
        <v>99</v>
      </c>
      <c r="G129" s="52">
        <f>IFERROR(D129+E129-F129,"")</f>
        <v>4446</v>
      </c>
    </row>
    <row r="130" spans="1:7" ht="21.75" customHeight="1">
      <c r="A130" s="71"/>
      <c r="B130" s="71"/>
      <c r="C130" s="48" t="s">
        <v>32</v>
      </c>
      <c r="D130" s="54">
        <f>G118</f>
        <v>1943</v>
      </c>
      <c r="E130" s="50">
        <v>78</v>
      </c>
      <c r="F130" s="51">
        <v>67</v>
      </c>
      <c r="G130" s="52">
        <f>IFERROR(D130+E130-F130,"")</f>
        <v>1954</v>
      </c>
    </row>
    <row r="131" spans="1:7" ht="21.75" customHeight="1">
      <c r="A131" s="71"/>
      <c r="B131" s="71"/>
      <c r="C131" s="48" t="s">
        <v>34</v>
      </c>
      <c r="D131" s="54">
        <f>G119</f>
        <v>4581</v>
      </c>
      <c r="E131" s="50">
        <v>102</v>
      </c>
      <c r="F131" s="51">
        <v>75</v>
      </c>
      <c r="G131" s="52">
        <f>IFERROR(D131+E131-F131,"")</f>
        <v>4608</v>
      </c>
    </row>
    <row r="132" spans="1:7" ht="21.75" customHeight="1">
      <c r="A132" s="71"/>
      <c r="B132" s="71"/>
      <c r="C132" s="48" t="s">
        <v>25</v>
      </c>
      <c r="D132" s="54">
        <f>G120</f>
        <v>2388</v>
      </c>
      <c r="E132" s="50">
        <v>67</v>
      </c>
      <c r="F132" s="51">
        <v>45</v>
      </c>
      <c r="G132" s="52">
        <f>IFERROR(D132+E132-F132,"")</f>
        <v>2410</v>
      </c>
    </row>
    <row r="133" spans="1:7" ht="21.75" customHeight="1">
      <c r="A133" s="71"/>
      <c r="B133" s="71"/>
      <c r="C133" s="48" t="s">
        <v>35</v>
      </c>
      <c r="D133" s="54">
        <f>G121</f>
        <v>2543</v>
      </c>
      <c r="E133" s="50">
        <v>81</v>
      </c>
      <c r="F133" s="51">
        <v>73</v>
      </c>
      <c r="G133" s="52">
        <f>IFERROR(D133+E133-F133,"")</f>
        <v>2551</v>
      </c>
    </row>
    <row r="134" spans="1:7" ht="21.75" customHeight="1">
      <c r="A134" s="71"/>
      <c r="B134" s="71"/>
      <c r="C134" s="48" t="s">
        <v>29</v>
      </c>
      <c r="D134" s="54">
        <f>G122</f>
        <v>3002</v>
      </c>
      <c r="E134" s="50">
        <v>118</v>
      </c>
      <c r="F134" s="51">
        <v>86</v>
      </c>
      <c r="G134" s="52">
        <f>IFERROR(D134+E134-F134,"")</f>
        <v>3034</v>
      </c>
    </row>
    <row r="135" spans="1:7" ht="21.75" customHeight="1">
      <c r="A135" s="71"/>
      <c r="B135" s="71"/>
      <c r="C135" s="48" t="s">
        <v>31</v>
      </c>
      <c r="D135" s="54">
        <f>G123</f>
        <v>3779</v>
      </c>
      <c r="E135" s="50">
        <v>114</v>
      </c>
      <c r="F135" s="51">
        <v>91</v>
      </c>
      <c r="G135" s="52">
        <f>IFERROR(D135+E135-F135,"")</f>
        <v>3802</v>
      </c>
    </row>
    <row r="136" spans="1:7" ht="21.75" customHeight="1">
      <c r="A136" s="71"/>
      <c r="B136" s="71"/>
      <c r="C136" s="48" t="s">
        <v>33</v>
      </c>
      <c r="D136" s="54">
        <f>G124</f>
        <v>1427</v>
      </c>
      <c r="E136" s="50">
        <v>77</v>
      </c>
      <c r="F136" s="51">
        <v>67</v>
      </c>
      <c r="G136" s="52">
        <f>IFERROR(D136+E136-F136,"")</f>
        <v>1437</v>
      </c>
    </row>
    <row r="137" spans="1:7" ht="21.75" customHeight="1">
      <c r="A137" s="71"/>
      <c r="B137" s="71"/>
      <c r="C137" s="48" t="s">
        <v>36</v>
      </c>
      <c r="D137" s="54">
        <f>G125</f>
        <v>4799</v>
      </c>
      <c r="E137" s="50">
        <v>119</v>
      </c>
      <c r="F137" s="51">
        <v>91</v>
      </c>
      <c r="G137" s="52">
        <f>IFERROR(D137+E137-F137,"")</f>
        <v>4827</v>
      </c>
    </row>
    <row r="138" spans="1:7" ht="21.75" customHeight="1">
      <c r="A138" s="73" t="s">
        <v>198</v>
      </c>
      <c r="B138" s="73"/>
      <c r="C138" s="73"/>
      <c r="D138" s="53">
        <f>IFERROR(SUM(D127:D137),"")</f>
        <v>35399</v>
      </c>
      <c r="E138" s="53">
        <f>IFERROR(SUM(E127:E137),"")</f>
        <v>1078</v>
      </c>
      <c r="F138" s="53">
        <f>IFERROR(SUM(F127:F137),"")</f>
        <v>844</v>
      </c>
      <c r="G138" s="53">
        <f>IFERROR(SUM(G127:G137),"")</f>
        <v>35633</v>
      </c>
    </row>
    <row r="139" spans="1:7" ht="21.75" customHeight="1">
      <c r="A139" s="71">
        <v>46154</v>
      </c>
      <c r="B139" s="72" t="s">
        <v>52</v>
      </c>
      <c r="C139" s="48" t="s">
        <v>26</v>
      </c>
      <c r="D139" s="54">
        <f>G127</f>
        <v>3819</v>
      </c>
      <c r="E139" s="50">
        <v>126</v>
      </c>
      <c r="F139" s="51">
        <v>104</v>
      </c>
      <c r="G139" s="52">
        <f>IFERROR(D139+E139-F139,"")</f>
        <v>3841</v>
      </c>
    </row>
    <row r="140" spans="1:7" ht="21.75" customHeight="1">
      <c r="A140" s="71"/>
      <c r="B140" s="71"/>
      <c r="C140" s="48" t="s">
        <v>27</v>
      </c>
      <c r="D140" s="54">
        <f>G128</f>
        <v>2745</v>
      </c>
      <c r="E140" s="50">
        <v>78</v>
      </c>
      <c r="F140" s="51">
        <v>56</v>
      </c>
      <c r="G140" s="52">
        <f>IFERROR(D140+E140-F140,"")</f>
        <v>2767</v>
      </c>
    </row>
    <row r="141" spans="1:7" ht="21.75" customHeight="1">
      <c r="A141" s="71"/>
      <c r="B141" s="71"/>
      <c r="C141" s="48" t="s">
        <v>30</v>
      </c>
      <c r="D141" s="54">
        <f>G129</f>
        <v>4446</v>
      </c>
      <c r="E141" s="50">
        <v>127</v>
      </c>
      <c r="F141" s="51">
        <v>86</v>
      </c>
      <c r="G141" s="52">
        <f>IFERROR(D141+E141-F141,"")</f>
        <v>4487</v>
      </c>
    </row>
    <row r="142" spans="1:7" ht="21.75" customHeight="1">
      <c r="A142" s="71"/>
      <c r="B142" s="71"/>
      <c r="C142" s="48" t="s">
        <v>32</v>
      </c>
      <c r="D142" s="54">
        <f>G130</f>
        <v>1954</v>
      </c>
      <c r="E142" s="50">
        <v>107</v>
      </c>
      <c r="F142" s="51">
        <v>93</v>
      </c>
      <c r="G142" s="52">
        <f>IFERROR(D142+E142-F142,"")</f>
        <v>1968</v>
      </c>
    </row>
    <row r="143" spans="1:7" ht="21.75" customHeight="1">
      <c r="A143" s="71"/>
      <c r="B143" s="71"/>
      <c r="C143" s="48" t="s">
        <v>34</v>
      </c>
      <c r="D143" s="54">
        <f>G131</f>
        <v>4608</v>
      </c>
      <c r="E143" s="50">
        <v>122</v>
      </c>
      <c r="F143" s="51">
        <v>81</v>
      </c>
      <c r="G143" s="52">
        <f>IFERROR(D143+E143-F143,"")</f>
        <v>4649</v>
      </c>
    </row>
    <row r="144" spans="1:7" ht="21.75" customHeight="1">
      <c r="A144" s="71"/>
      <c r="B144" s="71"/>
      <c r="C144" s="48" t="s">
        <v>25</v>
      </c>
      <c r="D144" s="54">
        <f>G132</f>
        <v>2410</v>
      </c>
      <c r="E144" s="50">
        <v>58</v>
      </c>
      <c r="F144" s="51">
        <v>51</v>
      </c>
      <c r="G144" s="52">
        <f>IFERROR(D144+E144-F144,"")</f>
        <v>2417</v>
      </c>
    </row>
    <row r="145" spans="1:7" ht="21.75" customHeight="1">
      <c r="A145" s="71"/>
      <c r="B145" s="71"/>
      <c r="C145" s="48" t="s">
        <v>35</v>
      </c>
      <c r="D145" s="54">
        <f>G133</f>
        <v>2551</v>
      </c>
      <c r="E145" s="50">
        <v>121</v>
      </c>
      <c r="F145" s="51">
        <v>103</v>
      </c>
      <c r="G145" s="52">
        <f>IFERROR(D145+E145-F145,"")</f>
        <v>2569</v>
      </c>
    </row>
    <row r="146" spans="1:7" ht="21.75" customHeight="1">
      <c r="A146" s="71"/>
      <c r="B146" s="71"/>
      <c r="C146" s="48" t="s">
        <v>29</v>
      </c>
      <c r="D146" s="54">
        <f>G134</f>
        <v>3034</v>
      </c>
      <c r="E146" s="50">
        <v>97</v>
      </c>
      <c r="F146" s="51">
        <v>72</v>
      </c>
      <c r="G146" s="52">
        <f>IFERROR(D146+E146-F146,"")</f>
        <v>3059</v>
      </c>
    </row>
    <row r="147" spans="1:7" ht="21.75" customHeight="1">
      <c r="A147" s="71"/>
      <c r="B147" s="71"/>
      <c r="C147" s="48" t="s">
        <v>31</v>
      </c>
      <c r="D147" s="54">
        <f>G135</f>
        <v>3802</v>
      </c>
      <c r="E147" s="50">
        <v>106</v>
      </c>
      <c r="F147" s="51">
        <v>75</v>
      </c>
      <c r="G147" s="52">
        <f>IFERROR(D147+E147-F147,"")</f>
        <v>3833</v>
      </c>
    </row>
    <row r="148" spans="1:7" ht="21.75" customHeight="1">
      <c r="A148" s="71"/>
      <c r="B148" s="71"/>
      <c r="C148" s="48" t="s">
        <v>33</v>
      </c>
      <c r="D148" s="54">
        <f>G136</f>
        <v>1437</v>
      </c>
      <c r="E148" s="50">
        <v>85</v>
      </c>
      <c r="F148" s="51">
        <v>75</v>
      </c>
      <c r="G148" s="52">
        <f>IFERROR(D148+E148-F148,"")</f>
        <v>1447</v>
      </c>
    </row>
    <row r="149" spans="1:7" ht="21.75" customHeight="1">
      <c r="A149" s="71"/>
      <c r="B149" s="71"/>
      <c r="C149" s="48" t="s">
        <v>36</v>
      </c>
      <c r="D149" s="54">
        <f>G137</f>
        <v>4827</v>
      </c>
      <c r="E149" s="50">
        <v>138</v>
      </c>
      <c r="F149" s="51">
        <v>109</v>
      </c>
      <c r="G149" s="52">
        <f>IFERROR(D149+E149-F149,"")</f>
        <v>4856</v>
      </c>
    </row>
    <row r="150" spans="1:7" ht="21.75" customHeight="1">
      <c r="A150" s="73" t="s">
        <v>199</v>
      </c>
      <c r="B150" s="73"/>
      <c r="C150" s="73"/>
      <c r="D150" s="53">
        <f>IFERROR(SUM(D139:D149),"")</f>
        <v>35633</v>
      </c>
      <c r="E150" s="53">
        <f>IFERROR(SUM(E139:E149),"")</f>
        <v>1165</v>
      </c>
      <c r="F150" s="53">
        <f>IFERROR(SUM(F139:F149),"")</f>
        <v>905</v>
      </c>
      <c r="G150" s="53">
        <f>IFERROR(SUM(G139:G149),"")</f>
        <v>35893</v>
      </c>
    </row>
    <row r="151" spans="1:7" ht="21.75" customHeight="1">
      <c r="A151" s="71">
        <v>46155</v>
      </c>
      <c r="B151" s="72" t="s">
        <v>53</v>
      </c>
      <c r="C151" s="48" t="s">
        <v>26</v>
      </c>
      <c r="D151" s="54">
        <f>G139</f>
        <v>3841</v>
      </c>
      <c r="E151" s="50">
        <v>126</v>
      </c>
      <c r="F151" s="51">
        <v>83</v>
      </c>
      <c r="G151" s="52">
        <f>IFERROR(D151+E151-F151,"")</f>
        <v>3884</v>
      </c>
    </row>
    <row r="152" spans="1:7" ht="21.75" customHeight="1">
      <c r="A152" s="71"/>
      <c r="B152" s="71"/>
      <c r="C152" s="48" t="s">
        <v>27</v>
      </c>
      <c r="D152" s="54">
        <f>G140</f>
        <v>2767</v>
      </c>
      <c r="E152" s="50">
        <v>120</v>
      </c>
      <c r="F152" s="51">
        <v>96</v>
      </c>
      <c r="G152" s="52">
        <f>IFERROR(D152+E152-F152,"")</f>
        <v>2791</v>
      </c>
    </row>
    <row r="153" spans="1:7" ht="21.75" customHeight="1">
      <c r="A153" s="71"/>
      <c r="B153" s="71"/>
      <c r="C153" s="48" t="s">
        <v>30</v>
      </c>
      <c r="D153" s="54">
        <f>G141</f>
        <v>4487</v>
      </c>
      <c r="E153" s="50">
        <v>91</v>
      </c>
      <c r="F153" s="51">
        <v>62</v>
      </c>
      <c r="G153" s="52">
        <f>IFERROR(D153+E153-F153,"")</f>
        <v>4516</v>
      </c>
    </row>
    <row r="154" spans="1:7" ht="21.75" customHeight="1">
      <c r="A154" s="71"/>
      <c r="B154" s="71"/>
      <c r="C154" s="48" t="s">
        <v>32</v>
      </c>
      <c r="D154" s="54">
        <f>G142</f>
        <v>1968</v>
      </c>
      <c r="E154" s="50">
        <v>94</v>
      </c>
      <c r="F154" s="51">
        <v>73</v>
      </c>
      <c r="G154" s="52">
        <f>IFERROR(D154+E154-F154,"")</f>
        <v>1989</v>
      </c>
    </row>
    <row r="155" spans="1:7" ht="21.75" customHeight="1">
      <c r="A155" s="71"/>
      <c r="B155" s="71"/>
      <c r="C155" s="48" t="s">
        <v>34</v>
      </c>
      <c r="D155" s="54">
        <f>G143</f>
        <v>4649</v>
      </c>
      <c r="E155" s="50">
        <v>158</v>
      </c>
      <c r="F155" s="51">
        <v>120</v>
      </c>
      <c r="G155" s="52">
        <f>IFERROR(D155+E155-F155,"")</f>
        <v>4687</v>
      </c>
    </row>
    <row r="156" spans="1:7" ht="21.75" customHeight="1">
      <c r="A156" s="71"/>
      <c r="B156" s="71"/>
      <c r="C156" s="48" t="s">
        <v>25</v>
      </c>
      <c r="D156" s="54">
        <f>G144</f>
        <v>2417</v>
      </c>
      <c r="E156" s="50">
        <v>93</v>
      </c>
      <c r="F156" s="51">
        <v>71</v>
      </c>
      <c r="G156" s="52">
        <f>IFERROR(D156+E156-F156,"")</f>
        <v>2439</v>
      </c>
    </row>
    <row r="157" spans="1:7" ht="21.75" customHeight="1">
      <c r="A157" s="71"/>
      <c r="B157" s="71"/>
      <c r="C157" s="48" t="s">
        <v>35</v>
      </c>
      <c r="D157" s="54">
        <f>G145</f>
        <v>2569</v>
      </c>
      <c r="E157" s="50">
        <v>123</v>
      </c>
      <c r="F157" s="51">
        <v>108</v>
      </c>
      <c r="G157" s="52">
        <f>IFERROR(D157+E157-F157,"")</f>
        <v>2584</v>
      </c>
    </row>
    <row r="158" spans="1:7" ht="21.75" customHeight="1">
      <c r="A158" s="71"/>
      <c r="B158" s="71"/>
      <c r="C158" s="48" t="s">
        <v>29</v>
      </c>
      <c r="D158" s="54">
        <f>G146</f>
        <v>3059</v>
      </c>
      <c r="E158" s="50">
        <v>125</v>
      </c>
      <c r="F158" s="51">
        <v>93</v>
      </c>
      <c r="G158" s="52">
        <f>IFERROR(D158+E158-F158,"")</f>
        <v>3091</v>
      </c>
    </row>
    <row r="159" spans="1:7" ht="21.75" customHeight="1">
      <c r="A159" s="71"/>
      <c r="B159" s="71"/>
      <c r="C159" s="48" t="s">
        <v>31</v>
      </c>
      <c r="D159" s="54">
        <f>G147</f>
        <v>3833</v>
      </c>
      <c r="E159" s="50">
        <v>98</v>
      </c>
      <c r="F159" s="51">
        <v>69</v>
      </c>
      <c r="G159" s="52">
        <f>IFERROR(D159+E159-F159,"")</f>
        <v>3862</v>
      </c>
    </row>
    <row r="160" spans="1:7" ht="21.75" customHeight="1">
      <c r="A160" s="71"/>
      <c r="B160" s="71"/>
      <c r="C160" s="48" t="s">
        <v>33</v>
      </c>
      <c r="D160" s="54">
        <f>G148</f>
        <v>1447</v>
      </c>
      <c r="E160" s="50">
        <v>85</v>
      </c>
      <c r="F160" s="51">
        <v>66</v>
      </c>
      <c r="G160" s="52">
        <f>IFERROR(D160+E160-F160,"")</f>
        <v>1466</v>
      </c>
    </row>
    <row r="161" spans="1:7" ht="21.75" customHeight="1">
      <c r="A161" s="71"/>
      <c r="B161" s="71"/>
      <c r="C161" s="48" t="s">
        <v>36</v>
      </c>
      <c r="D161" s="54">
        <f>G149</f>
        <v>4856</v>
      </c>
      <c r="E161" s="50">
        <v>166</v>
      </c>
      <c r="F161" s="51">
        <v>121</v>
      </c>
      <c r="G161" s="52">
        <f>IFERROR(D161+E161-F161,"")</f>
        <v>4901</v>
      </c>
    </row>
    <row r="162" spans="1:7" ht="21.75" customHeight="1">
      <c r="A162" s="73" t="s">
        <v>200</v>
      </c>
      <c r="B162" s="73"/>
      <c r="C162" s="73"/>
      <c r="D162" s="53">
        <f>IFERROR(SUM(D151:D161),"")</f>
        <v>35893</v>
      </c>
      <c r="E162" s="53">
        <f>IFERROR(SUM(E151:E161),"")</f>
        <v>1279</v>
      </c>
      <c r="F162" s="53">
        <f>IFERROR(SUM(F151:F161),"")</f>
        <v>962</v>
      </c>
      <c r="G162" s="53">
        <f>IFERROR(SUM(G151:G161),"")</f>
        <v>36210</v>
      </c>
    </row>
    <row r="163" spans="1:7" ht="21.75" customHeight="1">
      <c r="A163" s="71">
        <v>46156</v>
      </c>
      <c r="B163" s="72" t="s">
        <v>45</v>
      </c>
      <c r="C163" s="48" t="s">
        <v>26</v>
      </c>
      <c r="D163" s="54">
        <f>G151</f>
        <v>3884</v>
      </c>
      <c r="E163" s="50">
        <v>97</v>
      </c>
      <c r="F163" s="51">
        <v>64</v>
      </c>
      <c r="G163" s="52">
        <f>IFERROR(D163+E163-F163,"")</f>
        <v>3917</v>
      </c>
    </row>
    <row r="164" spans="1:7" ht="21.75" customHeight="1">
      <c r="A164" s="71"/>
      <c r="B164" s="71"/>
      <c r="C164" s="48" t="s">
        <v>27</v>
      </c>
      <c r="D164" s="54">
        <f>G152</f>
        <v>2791</v>
      </c>
      <c r="E164" s="50">
        <v>130</v>
      </c>
      <c r="F164" s="51">
        <v>92</v>
      </c>
      <c r="G164" s="52">
        <f>IFERROR(D164+E164-F164,"")</f>
        <v>2829</v>
      </c>
    </row>
    <row r="165" spans="1:7" ht="21.75" customHeight="1">
      <c r="A165" s="71"/>
      <c r="B165" s="71"/>
      <c r="C165" s="48" t="s">
        <v>30</v>
      </c>
      <c r="D165" s="54">
        <f>G153</f>
        <v>4516</v>
      </c>
      <c r="E165" s="50">
        <v>128</v>
      </c>
      <c r="F165" s="51">
        <v>91</v>
      </c>
      <c r="G165" s="52">
        <f>IFERROR(D165+E165-F165,"")</f>
        <v>4553</v>
      </c>
    </row>
    <row r="166" spans="1:7" ht="21.75" customHeight="1">
      <c r="A166" s="71"/>
      <c r="B166" s="71"/>
      <c r="C166" s="48" t="s">
        <v>32</v>
      </c>
      <c r="D166" s="54">
        <f>G154</f>
        <v>1989</v>
      </c>
      <c r="E166" s="50">
        <v>67</v>
      </c>
      <c r="F166" s="51">
        <v>51</v>
      </c>
      <c r="G166" s="52">
        <f>IFERROR(D166+E166-F166,"")</f>
        <v>2005</v>
      </c>
    </row>
    <row r="167" spans="1:7" ht="21.75" customHeight="1">
      <c r="A167" s="71"/>
      <c r="B167" s="71"/>
      <c r="C167" s="48" t="s">
        <v>34</v>
      </c>
      <c r="D167" s="54">
        <f>G155</f>
        <v>4687</v>
      </c>
      <c r="E167" s="50">
        <v>130</v>
      </c>
      <c r="F167" s="51">
        <v>97</v>
      </c>
      <c r="G167" s="52">
        <f>IFERROR(D167+E167-F167,"")</f>
        <v>4720</v>
      </c>
    </row>
    <row r="168" spans="1:7" ht="21.75" customHeight="1">
      <c r="A168" s="71"/>
      <c r="B168" s="71"/>
      <c r="C168" s="48" t="s">
        <v>25</v>
      </c>
      <c r="D168" s="54">
        <f>G156</f>
        <v>2439</v>
      </c>
      <c r="E168" s="50">
        <v>58</v>
      </c>
      <c r="F168" s="51">
        <v>45</v>
      </c>
      <c r="G168" s="52">
        <f>IFERROR(D168+E168-F168,"")</f>
        <v>2452</v>
      </c>
    </row>
    <row r="169" spans="1:7" ht="21.75" customHeight="1">
      <c r="A169" s="71"/>
      <c r="B169" s="71"/>
      <c r="C169" s="48" t="s">
        <v>35</v>
      </c>
      <c r="D169" s="54">
        <f>G157</f>
        <v>2584</v>
      </c>
      <c r="E169" s="50">
        <v>133</v>
      </c>
      <c r="F169" s="51">
        <v>106</v>
      </c>
      <c r="G169" s="52">
        <f>IFERROR(D169+E169-F169,"")</f>
        <v>2611</v>
      </c>
    </row>
    <row r="170" spans="1:7" ht="21.75" customHeight="1">
      <c r="A170" s="71"/>
      <c r="B170" s="71"/>
      <c r="C170" s="48" t="s">
        <v>29</v>
      </c>
      <c r="D170" s="54">
        <f>G158</f>
        <v>3091</v>
      </c>
      <c r="E170" s="50">
        <v>107</v>
      </c>
      <c r="F170" s="51">
        <v>92</v>
      </c>
      <c r="G170" s="52">
        <f>IFERROR(D170+E170-F170,"")</f>
        <v>3106</v>
      </c>
    </row>
    <row r="171" spans="1:7" ht="21.75" customHeight="1">
      <c r="A171" s="71"/>
      <c r="B171" s="71"/>
      <c r="C171" s="48" t="s">
        <v>31</v>
      </c>
      <c r="D171" s="54">
        <f>G159</f>
        <v>3862</v>
      </c>
      <c r="E171" s="50">
        <v>154</v>
      </c>
      <c r="F171" s="51">
        <v>124</v>
      </c>
      <c r="G171" s="52">
        <f>IFERROR(D171+E171-F171,"")</f>
        <v>3892</v>
      </c>
    </row>
    <row r="172" spans="1:7" ht="21.75" customHeight="1">
      <c r="A172" s="71"/>
      <c r="B172" s="71"/>
      <c r="C172" s="48" t="s">
        <v>33</v>
      </c>
      <c r="D172" s="54">
        <f>G160</f>
        <v>1466</v>
      </c>
      <c r="E172" s="50">
        <v>92</v>
      </c>
      <c r="F172" s="51">
        <v>75</v>
      </c>
      <c r="G172" s="52">
        <f>IFERROR(D172+E172-F172,"")</f>
        <v>1483</v>
      </c>
    </row>
    <row r="173" spans="1:7" ht="21.75" customHeight="1">
      <c r="A173" s="71"/>
      <c r="B173" s="71"/>
      <c r="C173" s="48" t="s">
        <v>36</v>
      </c>
      <c r="D173" s="54">
        <f>G161</f>
        <v>4901</v>
      </c>
      <c r="E173" s="50">
        <v>148</v>
      </c>
      <c r="F173" s="51">
        <v>110</v>
      </c>
      <c r="G173" s="52">
        <f>IFERROR(D173+E173-F173,"")</f>
        <v>4939</v>
      </c>
    </row>
    <row r="174" spans="1:7" ht="21.75" customHeight="1">
      <c r="A174" s="73" t="s">
        <v>201</v>
      </c>
      <c r="B174" s="73"/>
      <c r="C174" s="73"/>
      <c r="D174" s="53">
        <f>IFERROR(SUM(D163:D173),"")</f>
        <v>36210</v>
      </c>
      <c r="E174" s="53">
        <f>IFERROR(SUM(E163:E173),"")</f>
        <v>1244</v>
      </c>
      <c r="F174" s="53">
        <f>IFERROR(SUM(F163:F173),"")</f>
        <v>947</v>
      </c>
      <c r="G174" s="53">
        <f>IFERROR(SUM(G163:G173),"")</f>
        <v>36507</v>
      </c>
    </row>
    <row r="175" spans="1:7" ht="21.75" customHeight="1">
      <c r="A175" s="71">
        <v>46157</v>
      </c>
      <c r="B175" s="72" t="s">
        <v>47</v>
      </c>
      <c r="C175" s="48" t="s">
        <v>26</v>
      </c>
      <c r="D175" s="54">
        <f>G163</f>
        <v>3917</v>
      </c>
      <c r="E175" s="50">
        <v>136</v>
      </c>
      <c r="F175" s="51">
        <v>102</v>
      </c>
      <c r="G175" s="52">
        <f>IFERROR(D175+E175-F175,"")</f>
        <v>3951</v>
      </c>
    </row>
    <row r="176" spans="1:7" ht="21.75" customHeight="1">
      <c r="A176" s="71"/>
      <c r="B176" s="71"/>
      <c r="C176" s="48" t="s">
        <v>27</v>
      </c>
      <c r="D176" s="54">
        <f>G164</f>
        <v>2829</v>
      </c>
      <c r="E176" s="50">
        <v>130</v>
      </c>
      <c r="F176" s="51">
        <v>98</v>
      </c>
      <c r="G176" s="52">
        <f>IFERROR(D176+E176-F176,"")</f>
        <v>2861</v>
      </c>
    </row>
    <row r="177" spans="1:7" ht="21.75" customHeight="1">
      <c r="A177" s="71"/>
      <c r="B177" s="71"/>
      <c r="C177" s="48" t="s">
        <v>30</v>
      </c>
      <c r="D177" s="54">
        <f>G165</f>
        <v>4553</v>
      </c>
      <c r="E177" s="50">
        <v>136</v>
      </c>
      <c r="F177" s="51">
        <v>84</v>
      </c>
      <c r="G177" s="52">
        <f>IFERROR(D177+E177-F177,"")</f>
        <v>4605</v>
      </c>
    </row>
    <row r="178" spans="1:7" ht="21.75" customHeight="1">
      <c r="A178" s="71"/>
      <c r="B178" s="71"/>
      <c r="C178" s="48" t="s">
        <v>32</v>
      </c>
      <c r="D178" s="54">
        <f>G166</f>
        <v>2005</v>
      </c>
      <c r="E178" s="50">
        <v>103</v>
      </c>
      <c r="F178" s="51">
        <v>88</v>
      </c>
      <c r="G178" s="52">
        <f>IFERROR(D178+E178-F178,"")</f>
        <v>2020</v>
      </c>
    </row>
    <row r="179" spans="1:7" ht="21.75" customHeight="1">
      <c r="A179" s="71"/>
      <c r="B179" s="71"/>
      <c r="C179" s="48" t="s">
        <v>34</v>
      </c>
      <c r="D179" s="54">
        <f>G167</f>
        <v>4720</v>
      </c>
      <c r="E179" s="50">
        <v>169</v>
      </c>
      <c r="F179" s="51">
        <v>126</v>
      </c>
      <c r="G179" s="52">
        <f>IFERROR(D179+E179-F179,"")</f>
        <v>4763</v>
      </c>
    </row>
    <row r="180" spans="1:7" ht="21.75" customHeight="1">
      <c r="A180" s="71"/>
      <c r="B180" s="71"/>
      <c r="C180" s="48" t="s">
        <v>25</v>
      </c>
      <c r="D180" s="54">
        <f>G168</f>
        <v>2452</v>
      </c>
      <c r="E180" s="50">
        <v>53</v>
      </c>
      <c r="F180" s="51">
        <v>42</v>
      </c>
      <c r="G180" s="52">
        <f>IFERROR(D180+E180-F180,"")</f>
        <v>2463</v>
      </c>
    </row>
    <row r="181" spans="1:7" ht="21.75" customHeight="1">
      <c r="A181" s="71"/>
      <c r="B181" s="71"/>
      <c r="C181" s="48" t="s">
        <v>35</v>
      </c>
      <c r="D181" s="54">
        <f>G169</f>
        <v>2611</v>
      </c>
      <c r="E181" s="50">
        <v>110</v>
      </c>
      <c r="F181" s="51">
        <v>85</v>
      </c>
      <c r="G181" s="52">
        <f>IFERROR(D181+E181-F181,"")</f>
        <v>2636</v>
      </c>
    </row>
    <row r="182" spans="1:7" ht="21.75" customHeight="1">
      <c r="A182" s="71"/>
      <c r="B182" s="71"/>
      <c r="C182" s="48" t="s">
        <v>29</v>
      </c>
      <c r="D182" s="54">
        <f>G170</f>
        <v>3106</v>
      </c>
      <c r="E182" s="50">
        <v>72</v>
      </c>
      <c r="F182" s="51">
        <v>60</v>
      </c>
      <c r="G182" s="52">
        <f>IFERROR(D182+E182-F182,"")</f>
        <v>3118</v>
      </c>
    </row>
    <row r="183" spans="1:7" ht="21.75" customHeight="1">
      <c r="A183" s="71"/>
      <c r="B183" s="71"/>
      <c r="C183" s="48" t="s">
        <v>31</v>
      </c>
      <c r="D183" s="54">
        <f>G171</f>
        <v>3892</v>
      </c>
      <c r="E183" s="50">
        <v>143</v>
      </c>
      <c r="F183" s="51">
        <v>93</v>
      </c>
      <c r="G183" s="52">
        <f>IFERROR(D183+E183-F183,"")</f>
        <v>3942</v>
      </c>
    </row>
    <row r="184" spans="1:7" ht="21.75" customHeight="1">
      <c r="A184" s="71"/>
      <c r="B184" s="71"/>
      <c r="C184" s="48" t="s">
        <v>33</v>
      </c>
      <c r="D184" s="54">
        <f>G172</f>
        <v>1483</v>
      </c>
      <c r="E184" s="50">
        <v>97</v>
      </c>
      <c r="F184" s="51">
        <v>81</v>
      </c>
      <c r="G184" s="52">
        <f>IFERROR(D184+E184-F184,"")</f>
        <v>1499</v>
      </c>
    </row>
    <row r="185" spans="1:7" ht="21.75" customHeight="1">
      <c r="A185" s="71"/>
      <c r="B185" s="71"/>
      <c r="C185" s="48" t="s">
        <v>36</v>
      </c>
      <c r="D185" s="54">
        <f>G173</f>
        <v>4939</v>
      </c>
      <c r="E185" s="50">
        <v>97</v>
      </c>
      <c r="F185" s="51">
        <v>60</v>
      </c>
      <c r="G185" s="52">
        <f>IFERROR(D185+E185-F185,"")</f>
        <v>4976</v>
      </c>
    </row>
    <row r="186" spans="1:7" ht="21.75" customHeight="1">
      <c r="A186" s="73" t="s">
        <v>202</v>
      </c>
      <c r="B186" s="73"/>
      <c r="C186" s="73"/>
      <c r="D186" s="53">
        <f>IFERROR(SUM(D175:D185),"")</f>
        <v>36507</v>
      </c>
      <c r="E186" s="53">
        <f>IFERROR(SUM(E175:E185),"")</f>
        <v>1246</v>
      </c>
      <c r="F186" s="53">
        <f>IFERROR(SUM(F175:F185),"")</f>
        <v>919</v>
      </c>
      <c r="G186" s="53">
        <f>IFERROR(SUM(G175:G185),"")</f>
        <v>36834</v>
      </c>
    </row>
    <row r="187" spans="1:7" ht="21.75" customHeight="1">
      <c r="A187" s="74">
        <v>46158</v>
      </c>
      <c r="B187" s="75" t="s">
        <v>48</v>
      </c>
      <c r="C187" s="48" t="s">
        <v>26</v>
      </c>
      <c r="D187" s="54">
        <f>G175</f>
        <v>3951</v>
      </c>
      <c r="E187" s="50">
        <v>69</v>
      </c>
      <c r="F187" s="51">
        <v>47</v>
      </c>
      <c r="G187" s="52">
        <f>IFERROR(D187+E187-F187,"")</f>
        <v>3973</v>
      </c>
    </row>
    <row r="188" spans="1:7" ht="21.75" customHeight="1">
      <c r="A188" s="74"/>
      <c r="B188" s="74"/>
      <c r="C188" s="48" t="s">
        <v>27</v>
      </c>
      <c r="D188" s="54">
        <f>G176</f>
        <v>2861</v>
      </c>
      <c r="E188" s="50">
        <v>42</v>
      </c>
      <c r="F188" s="51">
        <v>34</v>
      </c>
      <c r="G188" s="52">
        <f>IFERROR(D188+E188-F188,"")</f>
        <v>2869</v>
      </c>
    </row>
    <row r="189" spans="1:7" ht="21.75" customHeight="1">
      <c r="A189" s="74"/>
      <c r="B189" s="74"/>
      <c r="C189" s="48" t="s">
        <v>30</v>
      </c>
      <c r="D189" s="54">
        <f>G177</f>
        <v>4605</v>
      </c>
      <c r="E189" s="50">
        <v>45</v>
      </c>
      <c r="F189" s="51">
        <v>36</v>
      </c>
      <c r="G189" s="52">
        <f>IFERROR(D189+E189-F189,"")</f>
        <v>4614</v>
      </c>
    </row>
    <row r="190" spans="1:7" ht="21.75" customHeight="1">
      <c r="A190" s="74"/>
      <c r="B190" s="74"/>
      <c r="C190" s="48" t="s">
        <v>32</v>
      </c>
      <c r="D190" s="54">
        <f>G178</f>
        <v>2020</v>
      </c>
      <c r="E190" s="50">
        <v>24</v>
      </c>
      <c r="F190" s="51">
        <v>20</v>
      </c>
      <c r="G190" s="52">
        <f>IFERROR(D190+E190-F190,"")</f>
        <v>2024</v>
      </c>
    </row>
    <row r="191" spans="1:7" ht="21.75" customHeight="1">
      <c r="A191" s="74"/>
      <c r="B191" s="74"/>
      <c r="C191" s="48" t="s">
        <v>34</v>
      </c>
      <c r="D191" s="54">
        <f>G179</f>
        <v>4763</v>
      </c>
      <c r="E191" s="50">
        <v>49</v>
      </c>
      <c r="F191" s="51">
        <v>32</v>
      </c>
      <c r="G191" s="52">
        <f>IFERROR(D191+E191-F191,"")</f>
        <v>4780</v>
      </c>
    </row>
    <row r="192" spans="1:7" ht="21.75" customHeight="1">
      <c r="A192" s="74"/>
      <c r="B192" s="74"/>
      <c r="C192" s="48" t="s">
        <v>25</v>
      </c>
      <c r="D192" s="54">
        <f>G180</f>
        <v>2463</v>
      </c>
      <c r="E192" s="50">
        <v>54</v>
      </c>
      <c r="F192" s="51">
        <v>40</v>
      </c>
      <c r="G192" s="52">
        <f>IFERROR(D192+E192-F192,"")</f>
        <v>2477</v>
      </c>
    </row>
    <row r="193" spans="1:7" ht="21.75" customHeight="1">
      <c r="A193" s="74"/>
      <c r="B193" s="74"/>
      <c r="C193" s="48" t="s">
        <v>35</v>
      </c>
      <c r="D193" s="54">
        <f>G181</f>
        <v>2636</v>
      </c>
      <c r="E193" s="50">
        <v>41</v>
      </c>
      <c r="F193" s="51">
        <v>30</v>
      </c>
      <c r="G193" s="52">
        <f>IFERROR(D193+E193-F193,"")</f>
        <v>2647</v>
      </c>
    </row>
    <row r="194" spans="1:7" ht="21.75" customHeight="1">
      <c r="A194" s="74"/>
      <c r="B194" s="74"/>
      <c r="C194" s="48" t="s">
        <v>29</v>
      </c>
      <c r="D194" s="54">
        <f>G182</f>
        <v>3118</v>
      </c>
      <c r="E194" s="50">
        <v>27</v>
      </c>
      <c r="F194" s="51">
        <v>18</v>
      </c>
      <c r="G194" s="52">
        <f>IFERROR(D194+E194-F194,"")</f>
        <v>3127</v>
      </c>
    </row>
    <row r="195" spans="1:7" ht="21.75" customHeight="1">
      <c r="A195" s="74"/>
      <c r="B195" s="74"/>
      <c r="C195" s="48" t="s">
        <v>31</v>
      </c>
      <c r="D195" s="54">
        <f>G183</f>
        <v>3942</v>
      </c>
      <c r="E195" s="50">
        <v>34</v>
      </c>
      <c r="F195" s="51">
        <v>26</v>
      </c>
      <c r="G195" s="52">
        <f>IFERROR(D195+E195-F195,"")</f>
        <v>3950</v>
      </c>
    </row>
    <row r="196" spans="1:7" ht="21.75" customHeight="1">
      <c r="A196" s="74"/>
      <c r="B196" s="74"/>
      <c r="C196" s="48" t="s">
        <v>33</v>
      </c>
      <c r="D196" s="54">
        <f>G184</f>
        <v>1499</v>
      </c>
      <c r="E196" s="50">
        <v>47</v>
      </c>
      <c r="F196" s="51">
        <v>39</v>
      </c>
      <c r="G196" s="52">
        <f>IFERROR(D196+E196-F196,"")</f>
        <v>1507</v>
      </c>
    </row>
    <row r="197" spans="1:7" ht="21.75" customHeight="1">
      <c r="A197" s="74"/>
      <c r="B197" s="74"/>
      <c r="C197" s="48" t="s">
        <v>36</v>
      </c>
      <c r="D197" s="54">
        <f>G185</f>
        <v>4976</v>
      </c>
      <c r="E197" s="50">
        <v>75</v>
      </c>
      <c r="F197" s="51">
        <v>55</v>
      </c>
      <c r="G197" s="52">
        <f>IFERROR(D197+E197-F197,"")</f>
        <v>4996</v>
      </c>
    </row>
    <row r="198" spans="1:7" ht="21.75" customHeight="1">
      <c r="A198" s="73" t="s">
        <v>203</v>
      </c>
      <c r="B198" s="73"/>
      <c r="C198" s="73"/>
      <c r="D198" s="53">
        <f>IFERROR(SUM(D187:D197),"")</f>
        <v>36834</v>
      </c>
      <c r="E198" s="53">
        <f>IFERROR(SUM(E187:E197),"")</f>
        <v>507</v>
      </c>
      <c r="F198" s="53">
        <f>IFERROR(SUM(F187:F197),"")</f>
        <v>377</v>
      </c>
      <c r="G198" s="53">
        <f>IFERROR(SUM(G187:G197),"")</f>
        <v>36964</v>
      </c>
    </row>
    <row r="199" spans="1:7" ht="21.75" customHeight="1">
      <c r="A199" s="74">
        <v>46159</v>
      </c>
      <c r="B199" s="75" t="s">
        <v>50</v>
      </c>
      <c r="C199" s="48" t="s">
        <v>26</v>
      </c>
      <c r="D199" s="54">
        <f>G187</f>
        <v>3973</v>
      </c>
      <c r="E199" s="50">
        <v>39</v>
      </c>
      <c r="F199" s="51">
        <v>26</v>
      </c>
      <c r="G199" s="52">
        <f>IFERROR(D199+E199-F199,"")</f>
        <v>3986</v>
      </c>
    </row>
    <row r="200" spans="1:7" ht="21.75" customHeight="1">
      <c r="A200" s="74"/>
      <c r="B200" s="74"/>
      <c r="C200" s="48" t="s">
        <v>27</v>
      </c>
      <c r="D200" s="54">
        <f>G188</f>
        <v>2869</v>
      </c>
      <c r="E200" s="50">
        <v>58</v>
      </c>
      <c r="F200" s="51">
        <v>47</v>
      </c>
      <c r="G200" s="52">
        <f>IFERROR(D200+E200-F200,"")</f>
        <v>2880</v>
      </c>
    </row>
    <row r="201" spans="1:7" ht="21.75" customHeight="1">
      <c r="A201" s="74"/>
      <c r="B201" s="74"/>
      <c r="C201" s="48" t="s">
        <v>30</v>
      </c>
      <c r="D201" s="54">
        <f>G189</f>
        <v>4614</v>
      </c>
      <c r="E201" s="50">
        <v>59</v>
      </c>
      <c r="F201" s="51">
        <v>43</v>
      </c>
      <c r="G201" s="52">
        <f>IFERROR(D201+E201-F201,"")</f>
        <v>4630</v>
      </c>
    </row>
    <row r="202" spans="1:7" ht="21.75" customHeight="1">
      <c r="A202" s="74"/>
      <c r="B202" s="74"/>
      <c r="C202" s="48" t="s">
        <v>32</v>
      </c>
      <c r="D202" s="54">
        <f>G190</f>
        <v>2024</v>
      </c>
      <c r="E202" s="50">
        <v>30</v>
      </c>
      <c r="F202" s="51">
        <v>25</v>
      </c>
      <c r="G202" s="52">
        <f>IFERROR(D202+E202-F202,"")</f>
        <v>2029</v>
      </c>
    </row>
    <row r="203" spans="1:7" ht="21.75" customHeight="1">
      <c r="A203" s="74"/>
      <c r="B203" s="74"/>
      <c r="C203" s="48" t="s">
        <v>34</v>
      </c>
      <c r="D203" s="54">
        <f>G191</f>
        <v>4780</v>
      </c>
      <c r="E203" s="50">
        <v>72</v>
      </c>
      <c r="F203" s="51">
        <v>51</v>
      </c>
      <c r="G203" s="52">
        <f>IFERROR(D203+E203-F203,"")</f>
        <v>4801</v>
      </c>
    </row>
    <row r="204" spans="1:7" ht="21.75" customHeight="1">
      <c r="A204" s="74"/>
      <c r="B204" s="74"/>
      <c r="C204" s="48" t="s">
        <v>25</v>
      </c>
      <c r="D204" s="54">
        <f>G192</f>
        <v>2477</v>
      </c>
      <c r="E204" s="50">
        <v>22</v>
      </c>
      <c r="F204" s="51">
        <v>19</v>
      </c>
      <c r="G204" s="52">
        <f>IFERROR(D204+E204-F204,"")</f>
        <v>2480</v>
      </c>
    </row>
    <row r="205" spans="1:7" ht="21.75" customHeight="1">
      <c r="A205" s="74"/>
      <c r="B205" s="74"/>
      <c r="C205" s="48" t="s">
        <v>35</v>
      </c>
      <c r="D205" s="54">
        <f>G193</f>
        <v>2647</v>
      </c>
      <c r="E205" s="50">
        <v>63</v>
      </c>
      <c r="F205" s="51">
        <v>49</v>
      </c>
      <c r="G205" s="52">
        <f>IFERROR(D205+E205-F205,"")</f>
        <v>2661</v>
      </c>
    </row>
    <row r="206" spans="1:7" ht="21.75" customHeight="1">
      <c r="A206" s="74"/>
      <c r="B206" s="74"/>
      <c r="C206" s="48" t="s">
        <v>29</v>
      </c>
      <c r="D206" s="54">
        <f>G194</f>
        <v>3127</v>
      </c>
      <c r="E206" s="50">
        <v>55</v>
      </c>
      <c r="F206" s="51">
        <v>46</v>
      </c>
      <c r="G206" s="52">
        <f>IFERROR(D206+E206-F206,"")</f>
        <v>3136</v>
      </c>
    </row>
    <row r="207" spans="1:7" ht="21.75" customHeight="1">
      <c r="A207" s="74"/>
      <c r="B207" s="74"/>
      <c r="C207" s="48" t="s">
        <v>31</v>
      </c>
      <c r="D207" s="54">
        <f>G195</f>
        <v>3950</v>
      </c>
      <c r="E207" s="50">
        <v>35</v>
      </c>
      <c r="F207" s="51">
        <v>22</v>
      </c>
      <c r="G207" s="52">
        <f>IFERROR(D207+E207-F207,"")</f>
        <v>3963</v>
      </c>
    </row>
    <row r="208" spans="1:7" ht="21.75" customHeight="1">
      <c r="A208" s="74"/>
      <c r="B208" s="74"/>
      <c r="C208" s="48" t="s">
        <v>33</v>
      </c>
      <c r="D208" s="54">
        <f>G196</f>
        <v>1507</v>
      </c>
      <c r="E208" s="50">
        <v>37</v>
      </c>
      <c r="F208" s="51">
        <v>34</v>
      </c>
      <c r="G208" s="52">
        <f>IFERROR(D208+E208-F208,"")</f>
        <v>1510</v>
      </c>
    </row>
    <row r="209" spans="1:7" ht="21.75" customHeight="1">
      <c r="A209" s="74"/>
      <c r="B209" s="74"/>
      <c r="C209" s="48" t="s">
        <v>36</v>
      </c>
      <c r="D209" s="54">
        <f>G197</f>
        <v>4996</v>
      </c>
      <c r="E209" s="50">
        <v>65</v>
      </c>
      <c r="F209" s="51">
        <v>49</v>
      </c>
      <c r="G209" s="52">
        <f>IFERROR(D209+E209-F209,"")</f>
        <v>5012</v>
      </c>
    </row>
    <row r="210" spans="1:7" ht="21.75" customHeight="1">
      <c r="A210" s="73" t="s">
        <v>204</v>
      </c>
      <c r="B210" s="73"/>
      <c r="C210" s="73"/>
      <c r="D210" s="53">
        <f>IFERROR(SUM(D199:D209),"")</f>
        <v>36964</v>
      </c>
      <c r="E210" s="53">
        <f>IFERROR(SUM(E199:E209),"")</f>
        <v>535</v>
      </c>
      <c r="F210" s="53">
        <f>IFERROR(SUM(F199:F209),"")</f>
        <v>411</v>
      </c>
      <c r="G210" s="53">
        <f>IFERROR(SUM(G199:G209),"")</f>
        <v>37088</v>
      </c>
    </row>
    <row r="211" spans="1:7" ht="21.75" customHeight="1">
      <c r="A211" s="71">
        <v>46160</v>
      </c>
      <c r="B211" s="72" t="s">
        <v>51</v>
      </c>
      <c r="C211" s="48" t="s">
        <v>26</v>
      </c>
      <c r="D211" s="54">
        <f>G199</f>
        <v>3986</v>
      </c>
      <c r="E211" s="50">
        <v>88</v>
      </c>
      <c r="F211" s="51">
        <v>61</v>
      </c>
      <c r="G211" s="52">
        <f>IFERROR(D211+E211-F211,"")</f>
        <v>4013</v>
      </c>
    </row>
    <row r="212" spans="1:7" ht="21.75" customHeight="1">
      <c r="A212" s="71"/>
      <c r="B212" s="71"/>
      <c r="C212" s="48" t="s">
        <v>27</v>
      </c>
      <c r="D212" s="54">
        <f>G200</f>
        <v>2880</v>
      </c>
      <c r="E212" s="50">
        <v>87</v>
      </c>
      <c r="F212" s="51">
        <v>78</v>
      </c>
      <c r="G212" s="52">
        <f>IFERROR(D212+E212-F212,"")</f>
        <v>2889</v>
      </c>
    </row>
    <row r="213" spans="1:7" ht="21.75" customHeight="1">
      <c r="A213" s="71"/>
      <c r="B213" s="71"/>
      <c r="C213" s="48" t="s">
        <v>30</v>
      </c>
      <c r="D213" s="54">
        <f>G201</f>
        <v>4630</v>
      </c>
      <c r="E213" s="50">
        <v>160</v>
      </c>
      <c r="F213" s="51">
        <v>116</v>
      </c>
      <c r="G213" s="52">
        <f>IFERROR(D213+E213-F213,"")</f>
        <v>4674</v>
      </c>
    </row>
    <row r="214" spans="1:7" ht="21.75" customHeight="1">
      <c r="A214" s="71"/>
      <c r="B214" s="71"/>
      <c r="C214" s="48" t="s">
        <v>32</v>
      </c>
      <c r="D214" s="54">
        <f>G202</f>
        <v>2029</v>
      </c>
      <c r="E214" s="50">
        <v>84</v>
      </c>
      <c r="F214" s="51">
        <v>79</v>
      </c>
      <c r="G214" s="52">
        <f>IFERROR(D214+E214-F214,"")</f>
        <v>2034</v>
      </c>
    </row>
    <row r="215" spans="1:7" ht="21.75" customHeight="1">
      <c r="A215" s="71"/>
      <c r="B215" s="71"/>
      <c r="C215" s="48" t="s">
        <v>34</v>
      </c>
      <c r="D215" s="54">
        <f>G203</f>
        <v>4801</v>
      </c>
      <c r="E215" s="50">
        <v>137</v>
      </c>
      <c r="F215" s="51">
        <v>98</v>
      </c>
      <c r="G215" s="52">
        <f>IFERROR(D215+E215-F215,"")</f>
        <v>4840</v>
      </c>
    </row>
    <row r="216" spans="1:7" ht="21.75" customHeight="1">
      <c r="A216" s="71"/>
      <c r="B216" s="71"/>
      <c r="C216" s="48" t="s">
        <v>25</v>
      </c>
      <c r="D216" s="54">
        <f>G204</f>
        <v>2480</v>
      </c>
      <c r="E216" s="50">
        <v>82</v>
      </c>
      <c r="F216" s="51">
        <v>68</v>
      </c>
      <c r="G216" s="52">
        <f>IFERROR(D216+E216-F216,"")</f>
        <v>2494</v>
      </c>
    </row>
    <row r="217" spans="1:7" ht="21.75" customHeight="1">
      <c r="A217" s="71"/>
      <c r="B217" s="71"/>
      <c r="C217" s="48" t="s">
        <v>35</v>
      </c>
      <c r="D217" s="54">
        <f>G205</f>
        <v>2661</v>
      </c>
      <c r="E217" s="50">
        <v>87</v>
      </c>
      <c r="F217" s="51">
        <v>65</v>
      </c>
      <c r="G217" s="52">
        <f>IFERROR(D217+E217-F217,"")</f>
        <v>2683</v>
      </c>
    </row>
    <row r="218" spans="1:7" ht="21.75" customHeight="1">
      <c r="A218" s="71"/>
      <c r="B218" s="71"/>
      <c r="C218" s="48" t="s">
        <v>29</v>
      </c>
      <c r="D218" s="54">
        <f>G206</f>
        <v>3136</v>
      </c>
      <c r="E218" s="50">
        <v>119</v>
      </c>
      <c r="F218" s="51">
        <v>98</v>
      </c>
      <c r="G218" s="52">
        <f>IFERROR(D218+E218-F218,"")</f>
        <v>3157</v>
      </c>
    </row>
    <row r="219" spans="1:7" ht="21.75" customHeight="1">
      <c r="A219" s="71"/>
      <c r="B219" s="71"/>
      <c r="C219" s="48" t="s">
        <v>31</v>
      </c>
      <c r="D219" s="54">
        <f>G207</f>
        <v>3963</v>
      </c>
      <c r="E219" s="50">
        <v>155</v>
      </c>
      <c r="F219" s="51">
        <v>112</v>
      </c>
      <c r="G219" s="52">
        <f>IFERROR(D219+E219-F219,"")</f>
        <v>4006</v>
      </c>
    </row>
    <row r="220" spans="1:7" ht="21.75" customHeight="1">
      <c r="A220" s="71"/>
      <c r="B220" s="71"/>
      <c r="C220" s="48" t="s">
        <v>33</v>
      </c>
      <c r="D220" s="54">
        <f>G208</f>
        <v>1510</v>
      </c>
      <c r="E220" s="50">
        <v>82</v>
      </c>
      <c r="F220" s="51">
        <v>77</v>
      </c>
      <c r="G220" s="52">
        <f>IFERROR(D220+E220-F220,"")</f>
        <v>1515</v>
      </c>
    </row>
    <row r="221" spans="1:7" ht="21.75" customHeight="1">
      <c r="A221" s="71"/>
      <c r="B221" s="71"/>
      <c r="C221" s="48" t="s">
        <v>36</v>
      </c>
      <c r="D221" s="54">
        <f>G209</f>
        <v>5012</v>
      </c>
      <c r="E221" s="50">
        <v>124</v>
      </c>
      <c r="F221" s="51">
        <v>88</v>
      </c>
      <c r="G221" s="52">
        <f>IFERROR(D221+E221-F221,"")</f>
        <v>5048</v>
      </c>
    </row>
    <row r="222" spans="1:7" ht="21.75" customHeight="1">
      <c r="A222" s="73" t="s">
        <v>205</v>
      </c>
      <c r="B222" s="73"/>
      <c r="C222" s="73"/>
      <c r="D222" s="53">
        <f>IFERROR(SUM(D211:D221),"")</f>
        <v>37088</v>
      </c>
      <c r="E222" s="53">
        <f>IFERROR(SUM(E211:E221),"")</f>
        <v>1205</v>
      </c>
      <c r="F222" s="53">
        <f>IFERROR(SUM(F211:F221),"")</f>
        <v>940</v>
      </c>
      <c r="G222" s="53">
        <f>IFERROR(SUM(G211:G221),"")</f>
        <v>37353</v>
      </c>
    </row>
    <row r="223" spans="1:7" ht="21.75" customHeight="1">
      <c r="A223" s="71">
        <v>46161</v>
      </c>
      <c r="B223" s="72" t="s">
        <v>52</v>
      </c>
      <c r="C223" s="48" t="s">
        <v>26</v>
      </c>
      <c r="D223" s="54">
        <f>G211</f>
        <v>4013</v>
      </c>
      <c r="E223" s="50">
        <v>120</v>
      </c>
      <c r="F223" s="51">
        <v>99</v>
      </c>
      <c r="G223" s="52">
        <f>IFERROR(D223+E223-F223,"")</f>
        <v>4034</v>
      </c>
    </row>
    <row r="224" spans="1:7" ht="21.75" customHeight="1">
      <c r="A224" s="71"/>
      <c r="B224" s="71"/>
      <c r="C224" s="48" t="s">
        <v>27</v>
      </c>
      <c r="D224" s="54">
        <f>G212</f>
        <v>2889</v>
      </c>
      <c r="E224" s="50">
        <v>86</v>
      </c>
      <c r="F224" s="51">
        <v>71</v>
      </c>
      <c r="G224" s="52">
        <f>IFERROR(D224+E224-F224,"")</f>
        <v>2904</v>
      </c>
    </row>
    <row r="225" spans="1:7" ht="21.75" customHeight="1">
      <c r="A225" s="71"/>
      <c r="B225" s="71"/>
      <c r="C225" s="48" t="s">
        <v>30</v>
      </c>
      <c r="D225" s="54">
        <f>G213</f>
        <v>4674</v>
      </c>
      <c r="E225" s="50">
        <v>109</v>
      </c>
      <c r="F225" s="51">
        <v>86</v>
      </c>
      <c r="G225" s="52">
        <f>IFERROR(D225+E225-F225,"")</f>
        <v>4697</v>
      </c>
    </row>
    <row r="226" spans="1:7" ht="21.75" customHeight="1">
      <c r="A226" s="71"/>
      <c r="B226" s="71"/>
      <c r="C226" s="48" t="s">
        <v>32</v>
      </c>
      <c r="D226" s="54">
        <f>G214</f>
        <v>2034</v>
      </c>
      <c r="E226" s="50">
        <v>119</v>
      </c>
      <c r="F226" s="51">
        <v>104</v>
      </c>
      <c r="G226" s="52">
        <f>IFERROR(D226+E226-F226,"")</f>
        <v>2049</v>
      </c>
    </row>
    <row r="227" spans="1:7" ht="21.75" customHeight="1">
      <c r="A227" s="71"/>
      <c r="B227" s="71"/>
      <c r="C227" s="48" t="s">
        <v>34</v>
      </c>
      <c r="D227" s="54">
        <f>G215</f>
        <v>4840</v>
      </c>
      <c r="E227" s="50">
        <v>108</v>
      </c>
      <c r="F227" s="51">
        <v>68</v>
      </c>
      <c r="G227" s="52">
        <f>IFERROR(D227+E227-F227,"")</f>
        <v>4880</v>
      </c>
    </row>
    <row r="228" spans="1:7" ht="21.75" customHeight="1">
      <c r="A228" s="71"/>
      <c r="B228" s="71"/>
      <c r="C228" s="48" t="s">
        <v>25</v>
      </c>
      <c r="D228" s="54">
        <f>G216</f>
        <v>2494</v>
      </c>
      <c r="E228" s="50">
        <v>103</v>
      </c>
      <c r="F228" s="51">
        <v>72</v>
      </c>
      <c r="G228" s="52">
        <f>IFERROR(D228+E228-F228,"")</f>
        <v>2525</v>
      </c>
    </row>
    <row r="229" spans="1:7" ht="21.75" customHeight="1">
      <c r="A229" s="71"/>
      <c r="B229" s="71"/>
      <c r="C229" s="48" t="s">
        <v>35</v>
      </c>
      <c r="D229" s="54">
        <f>G217</f>
        <v>2683</v>
      </c>
      <c r="E229" s="50">
        <v>86</v>
      </c>
      <c r="F229" s="51">
        <v>74</v>
      </c>
      <c r="G229" s="52">
        <f>IFERROR(D229+E229-F229,"")</f>
        <v>2695</v>
      </c>
    </row>
    <row r="230" spans="1:7" ht="21.75" customHeight="1">
      <c r="A230" s="71"/>
      <c r="B230" s="71"/>
      <c r="C230" s="48" t="s">
        <v>29</v>
      </c>
      <c r="D230" s="54">
        <f>G218</f>
        <v>3157</v>
      </c>
      <c r="E230" s="50">
        <v>71</v>
      </c>
      <c r="F230" s="51">
        <v>57</v>
      </c>
      <c r="G230" s="52">
        <f>IFERROR(D230+E230-F230,"")</f>
        <v>3171</v>
      </c>
    </row>
    <row r="231" spans="1:7" ht="21.75" customHeight="1">
      <c r="A231" s="71"/>
      <c r="B231" s="71"/>
      <c r="C231" s="48" t="s">
        <v>31</v>
      </c>
      <c r="D231" s="54">
        <f>G219</f>
        <v>4006</v>
      </c>
      <c r="E231" s="50">
        <v>101</v>
      </c>
      <c r="F231" s="51">
        <v>81</v>
      </c>
      <c r="G231" s="52">
        <f>IFERROR(D231+E231-F231,"")</f>
        <v>4026</v>
      </c>
    </row>
    <row r="232" spans="1:7" ht="21.75" customHeight="1">
      <c r="A232" s="71"/>
      <c r="B232" s="71"/>
      <c r="C232" s="48" t="s">
        <v>33</v>
      </c>
      <c r="D232" s="54">
        <f>G220</f>
        <v>1515</v>
      </c>
      <c r="E232" s="50">
        <v>58</v>
      </c>
      <c r="F232" s="51">
        <v>54</v>
      </c>
      <c r="G232" s="52">
        <f>IFERROR(D232+E232-F232,"")</f>
        <v>1519</v>
      </c>
    </row>
    <row r="233" spans="1:7" ht="21.75" customHeight="1">
      <c r="A233" s="71"/>
      <c r="B233" s="71"/>
      <c r="C233" s="48" t="s">
        <v>36</v>
      </c>
      <c r="D233" s="54">
        <f>G221</f>
        <v>5048</v>
      </c>
      <c r="E233" s="50">
        <v>166</v>
      </c>
      <c r="F233" s="51">
        <v>122</v>
      </c>
      <c r="G233" s="52">
        <f>IFERROR(D233+E233-F233,"")</f>
        <v>5092</v>
      </c>
    </row>
    <row r="234" spans="1:7" ht="21.75" customHeight="1">
      <c r="A234" s="73" t="s">
        <v>206</v>
      </c>
      <c r="B234" s="73"/>
      <c r="C234" s="73"/>
      <c r="D234" s="53">
        <f>IFERROR(SUM(D223:D233),"")</f>
        <v>37353</v>
      </c>
      <c r="E234" s="53">
        <f>IFERROR(SUM(E223:E233),"")</f>
        <v>1127</v>
      </c>
      <c r="F234" s="53">
        <f>IFERROR(SUM(F223:F233),"")</f>
        <v>888</v>
      </c>
      <c r="G234" s="53">
        <f>IFERROR(SUM(G223:G233),"")</f>
        <v>37592</v>
      </c>
    </row>
    <row r="235" spans="1:7" ht="21.75" customHeight="1">
      <c r="A235" s="71">
        <v>46162</v>
      </c>
      <c r="B235" s="72" t="s">
        <v>53</v>
      </c>
      <c r="C235" s="48" t="s">
        <v>26</v>
      </c>
      <c r="D235" s="54">
        <f>G223</f>
        <v>4034</v>
      </c>
      <c r="E235" s="50">
        <v>119</v>
      </c>
      <c r="F235" s="51">
        <v>88</v>
      </c>
      <c r="G235" s="52">
        <f>IFERROR(D235+E235-F235,"")</f>
        <v>4065</v>
      </c>
    </row>
    <row r="236" spans="1:7" ht="21.75" customHeight="1">
      <c r="A236" s="71"/>
      <c r="B236" s="71"/>
      <c r="C236" s="48" t="s">
        <v>27</v>
      </c>
      <c r="D236" s="54">
        <f>G224</f>
        <v>2904</v>
      </c>
      <c r="E236" s="50">
        <v>76</v>
      </c>
      <c r="F236" s="51">
        <v>59</v>
      </c>
      <c r="G236" s="52">
        <f>IFERROR(D236+E236-F236,"")</f>
        <v>2921</v>
      </c>
    </row>
    <row r="237" spans="1:7" ht="21.75" customHeight="1">
      <c r="A237" s="71"/>
      <c r="B237" s="71"/>
      <c r="C237" s="48" t="s">
        <v>30</v>
      </c>
      <c r="D237" s="54">
        <f>G225</f>
        <v>4697</v>
      </c>
      <c r="E237" s="50">
        <v>109</v>
      </c>
      <c r="F237" s="51">
        <v>86</v>
      </c>
      <c r="G237" s="52">
        <f>IFERROR(D237+E237-F237,"")</f>
        <v>4720</v>
      </c>
    </row>
    <row r="238" spans="1:7" ht="21.75" customHeight="1">
      <c r="A238" s="71"/>
      <c r="B238" s="71"/>
      <c r="C238" s="48" t="s">
        <v>32</v>
      </c>
      <c r="D238" s="54">
        <f>G226</f>
        <v>2049</v>
      </c>
      <c r="E238" s="50">
        <v>90</v>
      </c>
      <c r="F238" s="51">
        <v>74</v>
      </c>
      <c r="G238" s="52">
        <f>IFERROR(D238+E238-F238,"")</f>
        <v>2065</v>
      </c>
    </row>
    <row r="239" spans="1:7" ht="21.75" customHeight="1">
      <c r="A239" s="71"/>
      <c r="B239" s="71"/>
      <c r="C239" s="48" t="s">
        <v>34</v>
      </c>
      <c r="D239" s="54">
        <f>G227</f>
        <v>4880</v>
      </c>
      <c r="E239" s="50">
        <v>113</v>
      </c>
      <c r="F239" s="51">
        <v>81</v>
      </c>
      <c r="G239" s="52">
        <f>IFERROR(D239+E239-F239,"")</f>
        <v>4912</v>
      </c>
    </row>
    <row r="240" spans="1:7" ht="21.75" customHeight="1">
      <c r="A240" s="71"/>
      <c r="B240" s="71"/>
      <c r="C240" s="48" t="s">
        <v>25</v>
      </c>
      <c r="D240" s="54">
        <f>G228</f>
        <v>2525</v>
      </c>
      <c r="E240" s="50">
        <v>104</v>
      </c>
      <c r="F240" s="51">
        <v>87</v>
      </c>
      <c r="G240" s="52">
        <f>IFERROR(D240+E240-F240,"")</f>
        <v>2542</v>
      </c>
    </row>
    <row r="241" spans="1:7" ht="21.75" customHeight="1">
      <c r="A241" s="71"/>
      <c r="B241" s="71"/>
      <c r="C241" s="48" t="s">
        <v>35</v>
      </c>
      <c r="D241" s="54">
        <f>G229</f>
        <v>2695</v>
      </c>
      <c r="E241" s="50">
        <v>122</v>
      </c>
      <c r="F241" s="51">
        <v>90</v>
      </c>
      <c r="G241" s="52">
        <f>IFERROR(D241+E241-F241,"")</f>
        <v>2727</v>
      </c>
    </row>
    <row r="242" spans="1:7" ht="21.75" customHeight="1">
      <c r="A242" s="71"/>
      <c r="B242" s="71"/>
      <c r="C242" s="48" t="s">
        <v>29</v>
      </c>
      <c r="D242" s="54">
        <f>G230</f>
        <v>3171</v>
      </c>
      <c r="E242" s="50">
        <v>113</v>
      </c>
      <c r="F242" s="51">
        <v>82</v>
      </c>
      <c r="G242" s="52">
        <f>IFERROR(D242+E242-F242,"")</f>
        <v>3202</v>
      </c>
    </row>
    <row r="243" spans="1:7" ht="21.75" customHeight="1">
      <c r="A243" s="71"/>
      <c r="B243" s="71"/>
      <c r="C243" s="48" t="s">
        <v>31</v>
      </c>
      <c r="D243" s="54">
        <f>G231</f>
        <v>4026</v>
      </c>
      <c r="E243" s="50">
        <v>113</v>
      </c>
      <c r="F243" s="51">
        <v>85</v>
      </c>
      <c r="G243" s="52">
        <f>IFERROR(D243+E243-F243,"")</f>
        <v>4054</v>
      </c>
    </row>
    <row r="244" spans="1:7" ht="21.75" customHeight="1">
      <c r="A244" s="71"/>
      <c r="B244" s="71"/>
      <c r="C244" s="48" t="s">
        <v>33</v>
      </c>
      <c r="D244" s="54">
        <f>G232</f>
        <v>1519</v>
      </c>
      <c r="E244" s="50">
        <v>90</v>
      </c>
      <c r="F244" s="51">
        <v>87</v>
      </c>
      <c r="G244" s="52">
        <f>IFERROR(D244+E244-F244,"")</f>
        <v>1522</v>
      </c>
    </row>
    <row r="245" spans="1:7" ht="21.75" customHeight="1">
      <c r="A245" s="71"/>
      <c r="B245" s="71"/>
      <c r="C245" s="48" t="s">
        <v>36</v>
      </c>
      <c r="D245" s="54">
        <f>G233</f>
        <v>5092</v>
      </c>
      <c r="E245" s="50">
        <v>98</v>
      </c>
      <c r="F245" s="51">
        <v>78</v>
      </c>
      <c r="G245" s="52">
        <f>IFERROR(D245+E245-F245,"")</f>
        <v>5112</v>
      </c>
    </row>
    <row r="246" spans="1:7" ht="21.75" customHeight="1">
      <c r="A246" s="73" t="s">
        <v>207</v>
      </c>
      <c r="B246" s="73"/>
      <c r="C246" s="73"/>
      <c r="D246" s="53">
        <f>IFERROR(SUM(D235:D245),"")</f>
        <v>37592</v>
      </c>
      <c r="E246" s="53">
        <f>IFERROR(SUM(E235:E245),"")</f>
        <v>1147</v>
      </c>
      <c r="F246" s="53">
        <f>IFERROR(SUM(F235:F245),"")</f>
        <v>897</v>
      </c>
      <c r="G246" s="53">
        <f>IFERROR(SUM(G235:G245),"")</f>
        <v>37842</v>
      </c>
    </row>
    <row r="247" spans="1:7" ht="21.75" customHeight="1">
      <c r="A247" s="71">
        <v>46163</v>
      </c>
      <c r="B247" s="72" t="s">
        <v>45</v>
      </c>
      <c r="C247" s="48" t="s">
        <v>26</v>
      </c>
      <c r="D247" s="54">
        <f>G235</f>
        <v>4065</v>
      </c>
      <c r="E247" s="50">
        <v>80</v>
      </c>
      <c r="F247" s="51">
        <v>57</v>
      </c>
      <c r="G247" s="52">
        <f>IFERROR(D247+E247-F247,"")</f>
        <v>4088</v>
      </c>
    </row>
    <row r="248" spans="1:7" ht="21.75" customHeight="1">
      <c r="A248" s="71"/>
      <c r="B248" s="71"/>
      <c r="C248" s="48" t="s">
        <v>27</v>
      </c>
      <c r="D248" s="54">
        <f>G236</f>
        <v>2921</v>
      </c>
      <c r="E248" s="50">
        <v>125</v>
      </c>
      <c r="F248" s="51">
        <v>91</v>
      </c>
      <c r="G248" s="52">
        <f>IFERROR(D248+E248-F248,"")</f>
        <v>2955</v>
      </c>
    </row>
    <row r="249" spans="1:7" ht="21.75" customHeight="1">
      <c r="A249" s="71"/>
      <c r="B249" s="71"/>
      <c r="C249" s="48" t="s">
        <v>30</v>
      </c>
      <c r="D249" s="54">
        <f>G237</f>
        <v>4720</v>
      </c>
      <c r="E249" s="50">
        <v>141</v>
      </c>
      <c r="F249" s="51">
        <v>86</v>
      </c>
      <c r="G249" s="52">
        <f>IFERROR(D249+E249-F249,"")</f>
        <v>4775</v>
      </c>
    </row>
    <row r="250" spans="1:7" ht="21.75" customHeight="1">
      <c r="A250" s="71"/>
      <c r="B250" s="71"/>
      <c r="C250" s="48" t="s">
        <v>32</v>
      </c>
      <c r="D250" s="54">
        <f>G238</f>
        <v>2065</v>
      </c>
      <c r="E250" s="50">
        <v>69</v>
      </c>
      <c r="F250" s="51">
        <v>62</v>
      </c>
      <c r="G250" s="52">
        <f>IFERROR(D250+E250-F250,"")</f>
        <v>2072</v>
      </c>
    </row>
    <row r="251" spans="1:7" ht="21.75" customHeight="1">
      <c r="A251" s="71"/>
      <c r="B251" s="71"/>
      <c r="C251" s="48" t="s">
        <v>34</v>
      </c>
      <c r="D251" s="54">
        <f>G239</f>
        <v>4912</v>
      </c>
      <c r="E251" s="50">
        <v>103</v>
      </c>
      <c r="F251" s="51">
        <v>65</v>
      </c>
      <c r="G251" s="52">
        <f>IFERROR(D251+E251-F251,"")</f>
        <v>4950</v>
      </c>
    </row>
    <row r="252" spans="1:7" ht="21.75" customHeight="1">
      <c r="A252" s="71"/>
      <c r="B252" s="71"/>
      <c r="C252" s="48" t="s">
        <v>25</v>
      </c>
      <c r="D252" s="54">
        <f>G240</f>
        <v>2542</v>
      </c>
      <c r="E252" s="50">
        <v>97</v>
      </c>
      <c r="F252" s="51">
        <v>81</v>
      </c>
      <c r="G252" s="52">
        <f>IFERROR(D252+E252-F252,"")</f>
        <v>2558</v>
      </c>
    </row>
    <row r="253" spans="1:7" ht="21.75" customHeight="1">
      <c r="A253" s="71"/>
      <c r="B253" s="71"/>
      <c r="C253" s="48" t="s">
        <v>35</v>
      </c>
      <c r="D253" s="54">
        <f>G241</f>
        <v>2727</v>
      </c>
      <c r="E253" s="50">
        <v>102</v>
      </c>
      <c r="F253" s="51">
        <v>85</v>
      </c>
      <c r="G253" s="52">
        <f>IFERROR(D253+E253-F253,"")</f>
        <v>2744</v>
      </c>
    </row>
    <row r="254" spans="1:7" ht="21.75" customHeight="1">
      <c r="A254" s="71"/>
      <c r="B254" s="71"/>
      <c r="C254" s="48" t="s">
        <v>29</v>
      </c>
      <c r="D254" s="54">
        <f>G242</f>
        <v>3202</v>
      </c>
      <c r="E254" s="50">
        <v>91</v>
      </c>
      <c r="F254" s="51">
        <v>74</v>
      </c>
      <c r="G254" s="52">
        <f>IFERROR(D254+E254-F254,"")</f>
        <v>3219</v>
      </c>
    </row>
    <row r="255" spans="1:7" ht="21.75" customHeight="1">
      <c r="A255" s="71"/>
      <c r="B255" s="71"/>
      <c r="C255" s="48" t="s">
        <v>31</v>
      </c>
      <c r="D255" s="54">
        <f>G243</f>
        <v>4054</v>
      </c>
      <c r="E255" s="50">
        <v>128</v>
      </c>
      <c r="F255" s="51">
        <v>86</v>
      </c>
      <c r="G255" s="52">
        <f>IFERROR(D255+E255-F255,"")</f>
        <v>4096</v>
      </c>
    </row>
    <row r="256" spans="1:7" ht="21.75" customHeight="1">
      <c r="A256" s="71"/>
      <c r="B256" s="71"/>
      <c r="C256" s="48" t="s">
        <v>33</v>
      </c>
      <c r="D256" s="54">
        <f>G244</f>
        <v>1522</v>
      </c>
      <c r="E256" s="50">
        <v>78</v>
      </c>
      <c r="F256" s="51">
        <v>69</v>
      </c>
      <c r="G256" s="52">
        <f>IFERROR(D256+E256-F256,"")</f>
        <v>1531</v>
      </c>
    </row>
    <row r="257" spans="1:7" ht="21.75" customHeight="1">
      <c r="A257" s="71"/>
      <c r="B257" s="71"/>
      <c r="C257" s="48" t="s">
        <v>36</v>
      </c>
      <c r="D257" s="54">
        <f>G245</f>
        <v>5112</v>
      </c>
      <c r="E257" s="50">
        <v>136</v>
      </c>
      <c r="F257" s="51">
        <v>106</v>
      </c>
      <c r="G257" s="52">
        <f>IFERROR(D257+E257-F257,"")</f>
        <v>5142</v>
      </c>
    </row>
    <row r="258" spans="1:7" ht="21.75" customHeight="1">
      <c r="A258" s="73" t="s">
        <v>208</v>
      </c>
      <c r="B258" s="73"/>
      <c r="C258" s="73"/>
      <c r="D258" s="53">
        <f>IFERROR(SUM(D247:D257),"")</f>
        <v>37842</v>
      </c>
      <c r="E258" s="53">
        <f>IFERROR(SUM(E247:E257),"")</f>
        <v>1150</v>
      </c>
      <c r="F258" s="53">
        <f>IFERROR(SUM(F247:F257),"")</f>
        <v>862</v>
      </c>
      <c r="G258" s="53">
        <f>IFERROR(SUM(G247:G257),"")</f>
        <v>38130</v>
      </c>
    </row>
    <row r="259" spans="1:7" ht="21.75" customHeight="1">
      <c r="A259" s="71">
        <v>46164</v>
      </c>
      <c r="B259" s="72" t="s">
        <v>47</v>
      </c>
      <c r="C259" s="48" t="s">
        <v>26</v>
      </c>
      <c r="D259" s="54">
        <f>G247</f>
        <v>4088</v>
      </c>
      <c r="E259" s="50">
        <v>114</v>
      </c>
      <c r="F259" s="51">
        <v>88</v>
      </c>
      <c r="G259" s="52">
        <f>IFERROR(D259+E259-F259,"")</f>
        <v>4114</v>
      </c>
    </row>
    <row r="260" spans="1:7" ht="21.75" customHeight="1">
      <c r="A260" s="71"/>
      <c r="B260" s="71"/>
      <c r="C260" s="48" t="s">
        <v>27</v>
      </c>
      <c r="D260" s="54">
        <f>G248</f>
        <v>2955</v>
      </c>
      <c r="E260" s="50">
        <v>112</v>
      </c>
      <c r="F260" s="51">
        <v>91</v>
      </c>
      <c r="G260" s="52">
        <f>IFERROR(D260+E260-F260,"")</f>
        <v>2976</v>
      </c>
    </row>
    <row r="261" spans="1:7" ht="21.75" customHeight="1">
      <c r="A261" s="71"/>
      <c r="B261" s="71"/>
      <c r="C261" s="48" t="s">
        <v>30</v>
      </c>
      <c r="D261" s="54">
        <f>G249</f>
        <v>4775</v>
      </c>
      <c r="E261" s="50">
        <v>152</v>
      </c>
      <c r="F261" s="51">
        <v>110</v>
      </c>
      <c r="G261" s="52">
        <f>IFERROR(D261+E261-F261,"")</f>
        <v>4817</v>
      </c>
    </row>
    <row r="262" spans="1:7" ht="21.75" customHeight="1">
      <c r="A262" s="71"/>
      <c r="B262" s="71"/>
      <c r="C262" s="48" t="s">
        <v>32</v>
      </c>
      <c r="D262" s="54">
        <f>G250</f>
        <v>2072</v>
      </c>
      <c r="E262" s="50">
        <v>88</v>
      </c>
      <c r="F262" s="51">
        <v>79</v>
      </c>
      <c r="G262" s="52">
        <f>IFERROR(D262+E262-F262,"")</f>
        <v>2081</v>
      </c>
    </row>
    <row r="263" spans="1:7" ht="21.75" customHeight="1">
      <c r="A263" s="71"/>
      <c r="B263" s="71"/>
      <c r="C263" s="48" t="s">
        <v>34</v>
      </c>
      <c r="D263" s="54">
        <f>G251</f>
        <v>4950</v>
      </c>
      <c r="E263" s="50">
        <v>134</v>
      </c>
      <c r="F263" s="51">
        <v>89</v>
      </c>
      <c r="G263" s="52">
        <f>IFERROR(D263+E263-F263,"")</f>
        <v>4995</v>
      </c>
    </row>
    <row r="264" spans="1:7" ht="21.75" customHeight="1">
      <c r="A264" s="71"/>
      <c r="B264" s="71"/>
      <c r="C264" s="48" t="s">
        <v>25</v>
      </c>
      <c r="D264" s="54">
        <f>G252</f>
        <v>2558</v>
      </c>
      <c r="E264" s="50">
        <v>98</v>
      </c>
      <c r="F264" s="51">
        <v>82</v>
      </c>
      <c r="G264" s="52">
        <f>IFERROR(D264+E264-F264,"")</f>
        <v>2574</v>
      </c>
    </row>
    <row r="265" spans="1:7" ht="21.75" customHeight="1">
      <c r="A265" s="71"/>
      <c r="B265" s="71"/>
      <c r="C265" s="48" t="s">
        <v>35</v>
      </c>
      <c r="D265" s="54">
        <f>G253</f>
        <v>2744</v>
      </c>
      <c r="E265" s="50">
        <v>89</v>
      </c>
      <c r="F265" s="51">
        <v>75</v>
      </c>
      <c r="G265" s="52">
        <f>IFERROR(D265+E265-F265,"")</f>
        <v>2758</v>
      </c>
    </row>
    <row r="266" spans="1:7" ht="21.75" customHeight="1">
      <c r="A266" s="71"/>
      <c r="B266" s="71"/>
      <c r="C266" s="48" t="s">
        <v>29</v>
      </c>
      <c r="D266" s="54">
        <f>G254</f>
        <v>3219</v>
      </c>
      <c r="E266" s="50">
        <v>92</v>
      </c>
      <c r="F266" s="51">
        <v>63</v>
      </c>
      <c r="G266" s="52">
        <f>IFERROR(D266+E266-F266,"")</f>
        <v>3248</v>
      </c>
    </row>
    <row r="267" spans="1:7" ht="21.75" customHeight="1">
      <c r="A267" s="71"/>
      <c r="B267" s="71"/>
      <c r="C267" s="48" t="s">
        <v>31</v>
      </c>
      <c r="D267" s="54">
        <f>G255</f>
        <v>4096</v>
      </c>
      <c r="E267" s="50">
        <v>121</v>
      </c>
      <c r="F267" s="51">
        <v>98</v>
      </c>
      <c r="G267" s="52">
        <f>IFERROR(D267+E267-F267,"")</f>
        <v>4119</v>
      </c>
    </row>
    <row r="268" spans="1:7" ht="21.75" customHeight="1">
      <c r="A268" s="71"/>
      <c r="B268" s="71"/>
      <c r="C268" s="48" t="s">
        <v>33</v>
      </c>
      <c r="D268" s="54">
        <f>G256</f>
        <v>1531</v>
      </c>
      <c r="E268" s="50">
        <v>98</v>
      </c>
      <c r="F268" s="51">
        <v>94</v>
      </c>
      <c r="G268" s="52">
        <f>IFERROR(D268+E268-F268,"")</f>
        <v>1535</v>
      </c>
    </row>
    <row r="269" spans="1:7" ht="21.75" customHeight="1">
      <c r="A269" s="71"/>
      <c r="B269" s="71"/>
      <c r="C269" s="48" t="s">
        <v>36</v>
      </c>
      <c r="D269" s="54">
        <f>G257</f>
        <v>5142</v>
      </c>
      <c r="E269" s="50">
        <v>157</v>
      </c>
      <c r="F269" s="51">
        <v>114</v>
      </c>
      <c r="G269" s="52">
        <f>IFERROR(D269+E269-F269,"")</f>
        <v>5185</v>
      </c>
    </row>
    <row r="270" spans="1:7" ht="21.75" customHeight="1">
      <c r="A270" s="73" t="s">
        <v>209</v>
      </c>
      <c r="B270" s="73"/>
      <c r="C270" s="73"/>
      <c r="D270" s="53">
        <f>IFERROR(SUM(D259:D269),"")</f>
        <v>38130</v>
      </c>
      <c r="E270" s="53">
        <f>IFERROR(SUM(E259:E269),"")</f>
        <v>1255</v>
      </c>
      <c r="F270" s="53">
        <f>IFERROR(SUM(F259:F269),"")</f>
        <v>983</v>
      </c>
      <c r="G270" s="53">
        <f>IFERROR(SUM(G259:G269),"")</f>
        <v>38402</v>
      </c>
    </row>
    <row r="271" spans="1:7" ht="21.75" customHeight="1">
      <c r="A271" s="74">
        <v>46165</v>
      </c>
      <c r="B271" s="75" t="s">
        <v>48</v>
      </c>
      <c r="C271" s="48" t="s">
        <v>26</v>
      </c>
      <c r="D271" s="54">
        <f>G259</f>
        <v>4114</v>
      </c>
      <c r="E271" s="50">
        <v>45</v>
      </c>
      <c r="F271" s="51">
        <v>31</v>
      </c>
      <c r="G271" s="52">
        <f>IFERROR(D271+E271-F271,"")</f>
        <v>4128</v>
      </c>
    </row>
    <row r="272" spans="1:7" ht="21.75" customHeight="1">
      <c r="A272" s="74"/>
      <c r="B272" s="74"/>
      <c r="C272" s="48" t="s">
        <v>27</v>
      </c>
      <c r="D272" s="54">
        <f>G260</f>
        <v>2976</v>
      </c>
      <c r="E272" s="50">
        <v>44</v>
      </c>
      <c r="F272" s="51">
        <v>34</v>
      </c>
      <c r="G272" s="52">
        <f>IFERROR(D272+E272-F272,"")</f>
        <v>2986</v>
      </c>
    </row>
    <row r="273" spans="1:7" ht="21.75" customHeight="1">
      <c r="A273" s="74"/>
      <c r="B273" s="74"/>
      <c r="C273" s="48" t="s">
        <v>30</v>
      </c>
      <c r="D273" s="54">
        <f>G261</f>
        <v>4817</v>
      </c>
      <c r="E273" s="50">
        <v>56</v>
      </c>
      <c r="F273" s="51">
        <v>34</v>
      </c>
      <c r="G273" s="52">
        <f>IFERROR(D273+E273-F273,"")</f>
        <v>4839</v>
      </c>
    </row>
    <row r="274" spans="1:7" ht="21.75" customHeight="1">
      <c r="A274" s="74"/>
      <c r="B274" s="74"/>
      <c r="C274" s="48" t="s">
        <v>32</v>
      </c>
      <c r="D274" s="54">
        <f>G262</f>
        <v>2081</v>
      </c>
      <c r="E274" s="50">
        <v>24</v>
      </c>
      <c r="F274" s="51">
        <v>21</v>
      </c>
      <c r="G274" s="52">
        <f>IFERROR(D274+E274-F274,"")</f>
        <v>2084</v>
      </c>
    </row>
    <row r="275" spans="1:7" ht="21.75" customHeight="1">
      <c r="A275" s="74"/>
      <c r="B275" s="74"/>
      <c r="C275" s="48" t="s">
        <v>34</v>
      </c>
      <c r="D275" s="54">
        <f>G263</f>
        <v>4995</v>
      </c>
      <c r="E275" s="50">
        <v>87</v>
      </c>
      <c r="F275" s="51">
        <v>66</v>
      </c>
      <c r="G275" s="52">
        <f>IFERROR(D275+E275-F275,"")</f>
        <v>5016</v>
      </c>
    </row>
    <row r="276" spans="1:7" ht="21.75" customHeight="1">
      <c r="A276" s="74"/>
      <c r="B276" s="74"/>
      <c r="C276" s="48" t="s">
        <v>25</v>
      </c>
      <c r="D276" s="54">
        <f>G264</f>
        <v>2574</v>
      </c>
      <c r="E276" s="50">
        <v>31</v>
      </c>
      <c r="F276" s="51">
        <v>22</v>
      </c>
      <c r="G276" s="52">
        <f>IFERROR(D276+E276-F276,"")</f>
        <v>2583</v>
      </c>
    </row>
    <row r="277" spans="1:7" ht="21.75" customHeight="1">
      <c r="A277" s="74"/>
      <c r="B277" s="74"/>
      <c r="C277" s="48" t="s">
        <v>35</v>
      </c>
      <c r="D277" s="54">
        <f>G265</f>
        <v>2758</v>
      </c>
      <c r="E277" s="50">
        <v>54</v>
      </c>
      <c r="F277" s="51">
        <v>46</v>
      </c>
      <c r="G277" s="52">
        <f>IFERROR(D277+E277-F277,"")</f>
        <v>2766</v>
      </c>
    </row>
    <row r="278" spans="1:7" ht="21.75" customHeight="1">
      <c r="A278" s="74"/>
      <c r="B278" s="74"/>
      <c r="C278" s="48" t="s">
        <v>29</v>
      </c>
      <c r="D278" s="54">
        <f>G266</f>
        <v>3248</v>
      </c>
      <c r="E278" s="50">
        <v>40</v>
      </c>
      <c r="F278" s="51">
        <v>34</v>
      </c>
      <c r="G278" s="52">
        <f>IFERROR(D278+E278-F278,"")</f>
        <v>3254</v>
      </c>
    </row>
    <row r="279" spans="1:7" ht="21.75" customHeight="1">
      <c r="A279" s="74"/>
      <c r="B279" s="74"/>
      <c r="C279" s="48" t="s">
        <v>31</v>
      </c>
      <c r="D279" s="54">
        <f>G267</f>
        <v>4119</v>
      </c>
      <c r="E279" s="50">
        <v>69</v>
      </c>
      <c r="F279" s="51">
        <v>57</v>
      </c>
      <c r="G279" s="52">
        <f>IFERROR(D279+E279-F279,"")</f>
        <v>4131</v>
      </c>
    </row>
    <row r="280" spans="1:7" ht="21.75" customHeight="1">
      <c r="A280" s="74"/>
      <c r="B280" s="74"/>
      <c r="C280" s="48" t="s">
        <v>33</v>
      </c>
      <c r="D280" s="54">
        <f>G268</f>
        <v>1535</v>
      </c>
      <c r="E280" s="50">
        <v>43</v>
      </c>
      <c r="F280" s="51">
        <v>38</v>
      </c>
      <c r="G280" s="52">
        <f>IFERROR(D280+E280-F280,"")</f>
        <v>1540</v>
      </c>
    </row>
    <row r="281" spans="1:7" ht="21.75" customHeight="1">
      <c r="A281" s="74"/>
      <c r="B281" s="74"/>
      <c r="C281" s="48" t="s">
        <v>36</v>
      </c>
      <c r="D281" s="54">
        <f>G269</f>
        <v>5185</v>
      </c>
      <c r="E281" s="50">
        <v>42</v>
      </c>
      <c r="F281" s="51">
        <v>31</v>
      </c>
      <c r="G281" s="52">
        <f>IFERROR(D281+E281-F281,"")</f>
        <v>5196</v>
      </c>
    </row>
    <row r="282" spans="1:7" ht="21.75" customHeight="1">
      <c r="A282" s="73" t="s">
        <v>210</v>
      </c>
      <c r="B282" s="73"/>
      <c r="C282" s="73"/>
      <c r="D282" s="53">
        <f>IFERROR(SUM(D271:D281),"")</f>
        <v>38402</v>
      </c>
      <c r="E282" s="53">
        <f>IFERROR(SUM(E271:E281),"")</f>
        <v>535</v>
      </c>
      <c r="F282" s="53">
        <f>IFERROR(SUM(F271:F281),"")</f>
        <v>414</v>
      </c>
      <c r="G282" s="53">
        <f>IFERROR(SUM(G271:G281),"")</f>
        <v>38523</v>
      </c>
    </row>
    <row r="283" spans="1:7" ht="21.75" customHeight="1">
      <c r="A283" s="74">
        <v>46166</v>
      </c>
      <c r="B283" s="75" t="s">
        <v>50</v>
      </c>
      <c r="C283" s="48" t="s">
        <v>26</v>
      </c>
      <c r="D283" s="54">
        <f>G271</f>
        <v>4128</v>
      </c>
      <c r="E283" s="50">
        <v>68</v>
      </c>
      <c r="F283" s="51">
        <v>50</v>
      </c>
      <c r="G283" s="52">
        <f>IFERROR(D283+E283-F283,"")</f>
        <v>4146</v>
      </c>
    </row>
    <row r="284" spans="1:7" ht="21.75" customHeight="1">
      <c r="A284" s="74"/>
      <c r="B284" s="74"/>
      <c r="C284" s="48" t="s">
        <v>27</v>
      </c>
      <c r="D284" s="54">
        <f>G272</f>
        <v>2986</v>
      </c>
      <c r="E284" s="50">
        <v>54</v>
      </c>
      <c r="F284" s="51">
        <v>41</v>
      </c>
      <c r="G284" s="52">
        <f>IFERROR(D284+E284-F284,"")</f>
        <v>2999</v>
      </c>
    </row>
    <row r="285" spans="1:7" ht="21.75" customHeight="1">
      <c r="A285" s="74"/>
      <c r="B285" s="74"/>
      <c r="C285" s="48" t="s">
        <v>30</v>
      </c>
      <c r="D285" s="54">
        <f>G273</f>
        <v>4839</v>
      </c>
      <c r="E285" s="50">
        <v>43</v>
      </c>
      <c r="F285" s="51">
        <v>31</v>
      </c>
      <c r="G285" s="52">
        <f>IFERROR(D285+E285-F285,"")</f>
        <v>4851</v>
      </c>
    </row>
    <row r="286" spans="1:7" ht="21.75" customHeight="1">
      <c r="A286" s="74"/>
      <c r="B286" s="74"/>
      <c r="C286" s="48" t="s">
        <v>32</v>
      </c>
      <c r="D286" s="54">
        <f>G274</f>
        <v>2084</v>
      </c>
      <c r="E286" s="50">
        <v>25</v>
      </c>
      <c r="F286" s="51">
        <v>20</v>
      </c>
      <c r="G286" s="52">
        <f>IFERROR(D286+E286-F286,"")</f>
        <v>2089</v>
      </c>
    </row>
    <row r="287" spans="1:7" ht="21.75" customHeight="1">
      <c r="A287" s="74"/>
      <c r="B287" s="74"/>
      <c r="C287" s="48" t="s">
        <v>34</v>
      </c>
      <c r="D287" s="54">
        <f>G275</f>
        <v>5016</v>
      </c>
      <c r="E287" s="50">
        <v>50</v>
      </c>
      <c r="F287" s="51">
        <v>40</v>
      </c>
      <c r="G287" s="52">
        <f>IFERROR(D287+E287-F287,"")</f>
        <v>5026</v>
      </c>
    </row>
    <row r="288" spans="1:7" ht="21.75" customHeight="1">
      <c r="A288" s="74"/>
      <c r="B288" s="74"/>
      <c r="C288" s="48" t="s">
        <v>25</v>
      </c>
      <c r="D288" s="54">
        <f>G276</f>
        <v>2583</v>
      </c>
      <c r="E288" s="50">
        <v>49</v>
      </c>
      <c r="F288" s="51">
        <v>38</v>
      </c>
      <c r="G288" s="52">
        <f>IFERROR(D288+E288-F288,"")</f>
        <v>2594</v>
      </c>
    </row>
    <row r="289" spans="1:7" ht="21.75" customHeight="1">
      <c r="A289" s="74"/>
      <c r="B289" s="74"/>
      <c r="C289" s="48" t="s">
        <v>35</v>
      </c>
      <c r="D289" s="54">
        <f>G277</f>
        <v>2766</v>
      </c>
      <c r="E289" s="50">
        <v>35</v>
      </c>
      <c r="F289" s="51">
        <v>31</v>
      </c>
      <c r="G289" s="52">
        <f>IFERROR(D289+E289-F289,"")</f>
        <v>2770</v>
      </c>
    </row>
    <row r="290" spans="1:7" ht="21.75" customHeight="1">
      <c r="A290" s="74"/>
      <c r="B290" s="74"/>
      <c r="C290" s="48" t="s">
        <v>29</v>
      </c>
      <c r="D290" s="54">
        <f>G278</f>
        <v>3254</v>
      </c>
      <c r="E290" s="50">
        <v>32</v>
      </c>
      <c r="F290" s="51">
        <v>22</v>
      </c>
      <c r="G290" s="52">
        <f>IFERROR(D290+E290-F290,"")</f>
        <v>3264</v>
      </c>
    </row>
    <row r="291" spans="1:7" ht="21.75" customHeight="1">
      <c r="A291" s="74"/>
      <c r="B291" s="74"/>
      <c r="C291" s="48" t="s">
        <v>31</v>
      </c>
      <c r="D291" s="54">
        <f>G279</f>
        <v>4131</v>
      </c>
      <c r="E291" s="50">
        <v>61</v>
      </c>
      <c r="F291" s="51">
        <v>48</v>
      </c>
      <c r="G291" s="52">
        <f>IFERROR(D291+E291-F291,"")</f>
        <v>4144</v>
      </c>
    </row>
    <row r="292" spans="1:7" ht="21.75" customHeight="1">
      <c r="A292" s="74"/>
      <c r="B292" s="74"/>
      <c r="C292" s="48" t="s">
        <v>33</v>
      </c>
      <c r="D292" s="54">
        <f>G280</f>
        <v>1540</v>
      </c>
      <c r="E292" s="50">
        <v>34</v>
      </c>
      <c r="F292" s="51">
        <v>27</v>
      </c>
      <c r="G292" s="52">
        <f>IFERROR(D292+E292-F292,"")</f>
        <v>1547</v>
      </c>
    </row>
    <row r="293" spans="1:7" ht="21.75" customHeight="1">
      <c r="A293" s="74"/>
      <c r="B293" s="74"/>
      <c r="C293" s="48" t="s">
        <v>36</v>
      </c>
      <c r="D293" s="54">
        <f>G281</f>
        <v>5196</v>
      </c>
      <c r="E293" s="50">
        <v>63</v>
      </c>
      <c r="F293" s="51">
        <v>51</v>
      </c>
      <c r="G293" s="52">
        <f>IFERROR(D293+E293-F293,"")</f>
        <v>5208</v>
      </c>
    </row>
    <row r="294" spans="1:7" ht="21.75" customHeight="1">
      <c r="A294" s="73" t="s">
        <v>211</v>
      </c>
      <c r="B294" s="73"/>
      <c r="C294" s="73"/>
      <c r="D294" s="53">
        <f>IFERROR(SUM(D283:D293),"")</f>
        <v>38523</v>
      </c>
      <c r="E294" s="53">
        <f>IFERROR(SUM(E283:E293),"")</f>
        <v>514</v>
      </c>
      <c r="F294" s="53">
        <f>IFERROR(SUM(F283:F293),"")</f>
        <v>399</v>
      </c>
      <c r="G294" s="53">
        <f>IFERROR(SUM(G283:G293),"")</f>
        <v>38638</v>
      </c>
    </row>
    <row r="295" spans="1:7" ht="21.75" customHeight="1">
      <c r="A295" s="71">
        <v>46167</v>
      </c>
      <c r="B295" s="72" t="s">
        <v>51</v>
      </c>
      <c r="C295" s="48" t="s">
        <v>26</v>
      </c>
      <c r="D295" s="54">
        <f>G283</f>
        <v>4146</v>
      </c>
      <c r="E295" s="50">
        <v>94</v>
      </c>
      <c r="F295" s="51">
        <v>77</v>
      </c>
      <c r="G295" s="52">
        <f>IFERROR(D295+E295-F295,"")</f>
        <v>4163</v>
      </c>
    </row>
    <row r="296" spans="1:7" ht="21.75" customHeight="1">
      <c r="A296" s="71"/>
      <c r="B296" s="71"/>
      <c r="C296" s="48" t="s">
        <v>27</v>
      </c>
      <c r="D296" s="54">
        <f>G284</f>
        <v>2999</v>
      </c>
      <c r="E296" s="50">
        <v>102</v>
      </c>
      <c r="F296" s="51">
        <v>77</v>
      </c>
      <c r="G296" s="52">
        <f>IFERROR(D296+E296-F296,"")</f>
        <v>3024</v>
      </c>
    </row>
    <row r="297" spans="1:7" ht="21.75" customHeight="1">
      <c r="A297" s="71"/>
      <c r="B297" s="71"/>
      <c r="C297" s="48" t="s">
        <v>30</v>
      </c>
      <c r="D297" s="54">
        <f>G285</f>
        <v>4851</v>
      </c>
      <c r="E297" s="50">
        <v>134</v>
      </c>
      <c r="F297" s="51">
        <v>91</v>
      </c>
      <c r="G297" s="52">
        <f>IFERROR(D297+E297-F297,"")</f>
        <v>4894</v>
      </c>
    </row>
    <row r="298" spans="1:7" ht="21.75" customHeight="1">
      <c r="A298" s="71"/>
      <c r="B298" s="71"/>
      <c r="C298" s="48" t="s">
        <v>32</v>
      </c>
      <c r="D298" s="54">
        <f>G286</f>
        <v>2089</v>
      </c>
      <c r="E298" s="50">
        <v>106</v>
      </c>
      <c r="F298" s="51">
        <v>99</v>
      </c>
      <c r="G298" s="52">
        <f>IFERROR(D298+E298-F298,"")</f>
        <v>2096</v>
      </c>
    </row>
    <row r="299" spans="1:7" ht="21.75" customHeight="1">
      <c r="A299" s="71"/>
      <c r="B299" s="71"/>
      <c r="C299" s="48" t="s">
        <v>34</v>
      </c>
      <c r="D299" s="54">
        <f>G287</f>
        <v>5026</v>
      </c>
      <c r="E299" s="50">
        <v>118</v>
      </c>
      <c r="F299" s="51">
        <v>80</v>
      </c>
      <c r="G299" s="52">
        <f>IFERROR(D299+E299-F299,"")</f>
        <v>5064</v>
      </c>
    </row>
    <row r="300" spans="1:7" ht="21.75" customHeight="1">
      <c r="A300" s="71"/>
      <c r="B300" s="71"/>
      <c r="C300" s="48" t="s">
        <v>25</v>
      </c>
      <c r="D300" s="54">
        <f>G288</f>
        <v>2594</v>
      </c>
      <c r="E300" s="50">
        <v>56</v>
      </c>
      <c r="F300" s="51">
        <v>40</v>
      </c>
      <c r="G300" s="52">
        <f>IFERROR(D300+E300-F300,"")</f>
        <v>2610</v>
      </c>
    </row>
    <row r="301" spans="1:7" ht="21.75" customHeight="1">
      <c r="A301" s="71"/>
      <c r="B301" s="71"/>
      <c r="C301" s="48" t="s">
        <v>35</v>
      </c>
      <c r="D301" s="54">
        <f>G289</f>
        <v>2770</v>
      </c>
      <c r="E301" s="50">
        <v>107</v>
      </c>
      <c r="F301" s="51">
        <v>83</v>
      </c>
      <c r="G301" s="52">
        <f>IFERROR(D301+E301-F301,"")</f>
        <v>2794</v>
      </c>
    </row>
    <row r="302" spans="1:7" ht="21.75" customHeight="1">
      <c r="A302" s="71"/>
      <c r="B302" s="71"/>
      <c r="C302" s="48" t="s">
        <v>29</v>
      </c>
      <c r="D302" s="54">
        <f>G290</f>
        <v>3264</v>
      </c>
      <c r="E302" s="50">
        <v>76</v>
      </c>
      <c r="F302" s="51">
        <v>54</v>
      </c>
      <c r="G302" s="52">
        <f>IFERROR(D302+E302-F302,"")</f>
        <v>3286</v>
      </c>
    </row>
    <row r="303" spans="1:7" ht="21.75" customHeight="1">
      <c r="A303" s="71"/>
      <c r="B303" s="71"/>
      <c r="C303" s="48" t="s">
        <v>31</v>
      </c>
      <c r="D303" s="54">
        <f>G291</f>
        <v>4144</v>
      </c>
      <c r="E303" s="50">
        <v>94</v>
      </c>
      <c r="F303" s="51">
        <v>65</v>
      </c>
      <c r="G303" s="52">
        <f>IFERROR(D303+E303-F303,"")</f>
        <v>4173</v>
      </c>
    </row>
    <row r="304" spans="1:7" ht="21.75" customHeight="1">
      <c r="A304" s="71"/>
      <c r="B304" s="71"/>
      <c r="C304" s="48" t="s">
        <v>33</v>
      </c>
      <c r="D304" s="54">
        <f>G292</f>
        <v>1547</v>
      </c>
      <c r="E304" s="50">
        <v>104</v>
      </c>
      <c r="F304" s="51">
        <v>101</v>
      </c>
      <c r="G304" s="52">
        <f>IFERROR(D304+E304-F304,"")</f>
        <v>1550</v>
      </c>
    </row>
    <row r="305" spans="1:7" ht="21.75" customHeight="1">
      <c r="A305" s="71"/>
      <c r="B305" s="71"/>
      <c r="C305" s="48" t="s">
        <v>36</v>
      </c>
      <c r="D305" s="54">
        <f>G293</f>
        <v>5208</v>
      </c>
      <c r="E305" s="50">
        <v>158</v>
      </c>
      <c r="F305" s="51">
        <v>125</v>
      </c>
      <c r="G305" s="52">
        <f>IFERROR(D305+E305-F305,"")</f>
        <v>5241</v>
      </c>
    </row>
    <row r="306" spans="1:7" ht="21.75" customHeight="1">
      <c r="A306" s="73" t="s">
        <v>212</v>
      </c>
      <c r="B306" s="73"/>
      <c r="C306" s="73"/>
      <c r="D306" s="53">
        <f>IFERROR(SUM(D295:D305),"")</f>
        <v>38638</v>
      </c>
      <c r="E306" s="53">
        <f>IFERROR(SUM(E295:E305),"")</f>
        <v>1149</v>
      </c>
      <c r="F306" s="53">
        <f>IFERROR(SUM(F295:F305),"")</f>
        <v>892</v>
      </c>
      <c r="G306" s="53">
        <f>IFERROR(SUM(G295:G305),"")</f>
        <v>38895</v>
      </c>
    </row>
    <row r="307" spans="1:7" ht="21.75" customHeight="1">
      <c r="A307" s="71">
        <v>46168</v>
      </c>
      <c r="B307" s="72" t="s">
        <v>52</v>
      </c>
      <c r="C307" s="48" t="s">
        <v>26</v>
      </c>
      <c r="D307" s="54">
        <f>G295</f>
        <v>4163</v>
      </c>
      <c r="E307" s="50">
        <v>140</v>
      </c>
      <c r="F307" s="51">
        <v>105</v>
      </c>
      <c r="G307" s="52">
        <f>IFERROR(D307+E307-F307,"")</f>
        <v>4198</v>
      </c>
    </row>
    <row r="308" spans="1:7" ht="21.75" customHeight="1">
      <c r="A308" s="71"/>
      <c r="B308" s="71"/>
      <c r="C308" s="48" t="s">
        <v>27</v>
      </c>
      <c r="D308" s="54">
        <f>G296</f>
        <v>3024</v>
      </c>
      <c r="E308" s="50">
        <v>110</v>
      </c>
      <c r="F308" s="51">
        <v>86</v>
      </c>
      <c r="G308" s="52">
        <f>IFERROR(D308+E308-F308,"")</f>
        <v>3048</v>
      </c>
    </row>
    <row r="309" spans="1:7" ht="21.75" customHeight="1">
      <c r="A309" s="71"/>
      <c r="B309" s="71"/>
      <c r="C309" s="48" t="s">
        <v>30</v>
      </c>
      <c r="D309" s="54">
        <f>G297</f>
        <v>4894</v>
      </c>
      <c r="E309" s="50">
        <v>125</v>
      </c>
      <c r="F309" s="51">
        <v>93</v>
      </c>
      <c r="G309" s="52">
        <f>IFERROR(D309+E309-F309,"")</f>
        <v>4926</v>
      </c>
    </row>
    <row r="310" spans="1:7" ht="21.75" customHeight="1">
      <c r="A310" s="71"/>
      <c r="B310" s="71"/>
      <c r="C310" s="48" t="s">
        <v>32</v>
      </c>
      <c r="D310" s="54">
        <f>G298</f>
        <v>2096</v>
      </c>
      <c r="E310" s="50">
        <v>63</v>
      </c>
      <c r="F310" s="51">
        <v>52</v>
      </c>
      <c r="G310" s="52">
        <f>IFERROR(D310+E310-F310,"")</f>
        <v>2107</v>
      </c>
    </row>
    <row r="311" spans="1:7" ht="21.75" customHeight="1">
      <c r="A311" s="71"/>
      <c r="B311" s="71"/>
      <c r="C311" s="48" t="s">
        <v>34</v>
      </c>
      <c r="D311" s="54">
        <f>G299</f>
        <v>5064</v>
      </c>
      <c r="E311" s="50">
        <v>164</v>
      </c>
      <c r="F311" s="51">
        <v>105</v>
      </c>
      <c r="G311" s="52">
        <f>IFERROR(D311+E311-F311,"")</f>
        <v>5123</v>
      </c>
    </row>
    <row r="312" spans="1:7" ht="21.75" customHeight="1">
      <c r="A312" s="71"/>
      <c r="B312" s="71"/>
      <c r="C312" s="48" t="s">
        <v>25</v>
      </c>
      <c r="D312" s="54">
        <f>G300</f>
        <v>2610</v>
      </c>
      <c r="E312" s="50">
        <v>69</v>
      </c>
      <c r="F312" s="51">
        <v>53</v>
      </c>
      <c r="G312" s="52">
        <f>IFERROR(D312+E312-F312,"")</f>
        <v>2626</v>
      </c>
    </row>
    <row r="313" spans="1:7" ht="21.75" customHeight="1">
      <c r="A313" s="71"/>
      <c r="B313" s="71"/>
      <c r="C313" s="48" t="s">
        <v>35</v>
      </c>
      <c r="D313" s="54">
        <f>G301</f>
        <v>2794</v>
      </c>
      <c r="E313" s="50">
        <v>132</v>
      </c>
      <c r="F313" s="51">
        <v>96</v>
      </c>
      <c r="G313" s="52">
        <f>IFERROR(D313+E313-F313,"")</f>
        <v>2830</v>
      </c>
    </row>
    <row r="314" spans="1:7" ht="21.75" customHeight="1">
      <c r="A314" s="71"/>
      <c r="B314" s="71"/>
      <c r="C314" s="48" t="s">
        <v>29</v>
      </c>
      <c r="D314" s="54">
        <f>G302</f>
        <v>3286</v>
      </c>
      <c r="E314" s="50">
        <v>68</v>
      </c>
      <c r="F314" s="51">
        <v>49</v>
      </c>
      <c r="G314" s="52">
        <f>IFERROR(D314+E314-F314,"")</f>
        <v>3305</v>
      </c>
    </row>
    <row r="315" spans="1:7" ht="21.75" customHeight="1">
      <c r="A315" s="71"/>
      <c r="B315" s="71"/>
      <c r="C315" s="48" t="s">
        <v>31</v>
      </c>
      <c r="D315" s="54">
        <f>G303</f>
        <v>4173</v>
      </c>
      <c r="E315" s="50">
        <v>121</v>
      </c>
      <c r="F315" s="51">
        <v>79</v>
      </c>
      <c r="G315" s="52">
        <f>IFERROR(D315+E315-F315,"")</f>
        <v>4215</v>
      </c>
    </row>
    <row r="316" spans="1:7" ht="21.75" customHeight="1">
      <c r="A316" s="71"/>
      <c r="B316" s="71"/>
      <c r="C316" s="48" t="s">
        <v>33</v>
      </c>
      <c r="D316" s="54">
        <f>G304</f>
        <v>1550</v>
      </c>
      <c r="E316" s="50">
        <v>96</v>
      </c>
      <c r="F316" s="51">
        <v>76</v>
      </c>
      <c r="G316" s="52">
        <f>IFERROR(D316+E316-F316,"")</f>
        <v>1570</v>
      </c>
    </row>
    <row r="317" spans="1:7" ht="21.75" customHeight="1">
      <c r="A317" s="71"/>
      <c r="B317" s="71"/>
      <c r="C317" s="48" t="s">
        <v>36</v>
      </c>
      <c r="D317" s="54">
        <f>G305</f>
        <v>5241</v>
      </c>
      <c r="E317" s="50">
        <v>159</v>
      </c>
      <c r="F317" s="51">
        <v>120</v>
      </c>
      <c r="G317" s="52">
        <f>IFERROR(D317+E317-F317,"")</f>
        <v>5280</v>
      </c>
    </row>
    <row r="318" spans="1:7" ht="21.75" customHeight="1">
      <c r="A318" s="73" t="s">
        <v>213</v>
      </c>
      <c r="B318" s="73"/>
      <c r="C318" s="73"/>
      <c r="D318" s="53">
        <f>IFERROR(SUM(D307:D317),"")</f>
        <v>38895</v>
      </c>
      <c r="E318" s="53">
        <f>IFERROR(SUM(E307:E317),"")</f>
        <v>1247</v>
      </c>
      <c r="F318" s="53">
        <f>IFERROR(SUM(F307:F317),"")</f>
        <v>914</v>
      </c>
      <c r="G318" s="53">
        <f>IFERROR(SUM(G307:G317),"")</f>
        <v>39228</v>
      </c>
    </row>
    <row r="319" spans="1:7" ht="21.75" customHeight="1">
      <c r="A319" s="71">
        <v>46169</v>
      </c>
      <c r="B319" s="72" t="s">
        <v>53</v>
      </c>
      <c r="C319" s="48" t="s">
        <v>26</v>
      </c>
      <c r="D319" s="54">
        <f>G307</f>
        <v>4198</v>
      </c>
      <c r="E319" s="50">
        <v>140</v>
      </c>
      <c r="F319" s="51">
        <v>107</v>
      </c>
      <c r="G319" s="52">
        <f>IFERROR(D319+E319-F319,"")</f>
        <v>4231</v>
      </c>
    </row>
    <row r="320" spans="1:7" ht="21.75" customHeight="1">
      <c r="A320" s="71"/>
      <c r="B320" s="71"/>
      <c r="C320" s="48" t="s">
        <v>27</v>
      </c>
      <c r="D320" s="54">
        <f>G308</f>
        <v>3048</v>
      </c>
      <c r="E320" s="50">
        <v>79</v>
      </c>
      <c r="F320" s="51">
        <v>56</v>
      </c>
      <c r="G320" s="52">
        <f>IFERROR(D320+E320-F320,"")</f>
        <v>3071</v>
      </c>
    </row>
    <row r="321" spans="1:7" ht="21.75" customHeight="1">
      <c r="A321" s="71"/>
      <c r="B321" s="71"/>
      <c r="C321" s="48" t="s">
        <v>30</v>
      </c>
      <c r="D321" s="54">
        <f>G309</f>
        <v>4926</v>
      </c>
      <c r="E321" s="50">
        <v>147</v>
      </c>
      <c r="F321" s="51">
        <v>91</v>
      </c>
      <c r="G321" s="52">
        <f>IFERROR(D321+E321-F321,"")</f>
        <v>4982</v>
      </c>
    </row>
    <row r="322" spans="1:7" ht="21.75" customHeight="1">
      <c r="A322" s="71"/>
      <c r="B322" s="71"/>
      <c r="C322" s="48" t="s">
        <v>32</v>
      </c>
      <c r="D322" s="54">
        <f>G310</f>
        <v>2107</v>
      </c>
      <c r="E322" s="50">
        <v>111</v>
      </c>
      <c r="F322" s="51">
        <v>93</v>
      </c>
      <c r="G322" s="52">
        <f>IFERROR(D322+E322-F322,"")</f>
        <v>2125</v>
      </c>
    </row>
    <row r="323" spans="1:7" ht="21.75" customHeight="1">
      <c r="A323" s="71"/>
      <c r="B323" s="71"/>
      <c r="C323" s="48" t="s">
        <v>34</v>
      </c>
      <c r="D323" s="54">
        <f>G311</f>
        <v>5123</v>
      </c>
      <c r="E323" s="50">
        <v>110</v>
      </c>
      <c r="F323" s="51">
        <v>84</v>
      </c>
      <c r="G323" s="52">
        <f>IFERROR(D323+E323-F323,"")</f>
        <v>5149</v>
      </c>
    </row>
    <row r="324" spans="1:7" ht="21.75" customHeight="1">
      <c r="A324" s="71"/>
      <c r="B324" s="71"/>
      <c r="C324" s="48" t="s">
        <v>25</v>
      </c>
      <c r="D324" s="54">
        <f>G312</f>
        <v>2626</v>
      </c>
      <c r="E324" s="50">
        <v>91</v>
      </c>
      <c r="F324" s="51">
        <v>66</v>
      </c>
      <c r="G324" s="52">
        <f>IFERROR(D324+E324-F324,"")</f>
        <v>2651</v>
      </c>
    </row>
    <row r="325" spans="1:7" ht="21.75" customHeight="1">
      <c r="A325" s="71"/>
      <c r="B325" s="71"/>
      <c r="C325" s="48" t="s">
        <v>35</v>
      </c>
      <c r="D325" s="54">
        <f>G313</f>
        <v>2830</v>
      </c>
      <c r="E325" s="50">
        <v>80</v>
      </c>
      <c r="F325" s="51">
        <v>64</v>
      </c>
      <c r="G325" s="52">
        <f>IFERROR(D325+E325-F325,"")</f>
        <v>2846</v>
      </c>
    </row>
    <row r="326" spans="1:7" ht="21.75" customHeight="1">
      <c r="A326" s="71"/>
      <c r="B326" s="71"/>
      <c r="C326" s="48" t="s">
        <v>29</v>
      </c>
      <c r="D326" s="54">
        <f>G314</f>
        <v>3305</v>
      </c>
      <c r="E326" s="50">
        <v>110</v>
      </c>
      <c r="F326" s="51">
        <v>86</v>
      </c>
      <c r="G326" s="52">
        <f>IFERROR(D326+E326-F326,"")</f>
        <v>3329</v>
      </c>
    </row>
    <row r="327" spans="1:7" ht="21.75" customHeight="1">
      <c r="A327" s="71"/>
      <c r="B327" s="71"/>
      <c r="C327" s="48" t="s">
        <v>31</v>
      </c>
      <c r="D327" s="54">
        <f>G315</f>
        <v>4215</v>
      </c>
      <c r="E327" s="50">
        <v>141</v>
      </c>
      <c r="F327" s="51">
        <v>106</v>
      </c>
      <c r="G327" s="52">
        <f>IFERROR(D327+E327-F327,"")</f>
        <v>4250</v>
      </c>
    </row>
    <row r="328" spans="1:7" ht="21.75" customHeight="1">
      <c r="A328" s="71"/>
      <c r="B328" s="71"/>
      <c r="C328" s="48" t="s">
        <v>33</v>
      </c>
      <c r="D328" s="54">
        <f>G316</f>
        <v>1570</v>
      </c>
      <c r="E328" s="50">
        <v>88</v>
      </c>
      <c r="F328" s="51">
        <v>73</v>
      </c>
      <c r="G328" s="52">
        <f>IFERROR(D328+E328-F328,"")</f>
        <v>1585</v>
      </c>
    </row>
    <row r="329" spans="1:7" ht="21.75" customHeight="1">
      <c r="A329" s="71"/>
      <c r="B329" s="71"/>
      <c r="C329" s="48" t="s">
        <v>36</v>
      </c>
      <c r="D329" s="54">
        <f>G317</f>
        <v>5280</v>
      </c>
      <c r="E329" s="50">
        <v>141</v>
      </c>
      <c r="F329" s="51">
        <v>97</v>
      </c>
      <c r="G329" s="52">
        <f>IFERROR(D329+E329-F329,"")</f>
        <v>5324</v>
      </c>
    </row>
    <row r="330" spans="1:7" ht="21.75" customHeight="1">
      <c r="A330" s="73" t="s">
        <v>214</v>
      </c>
      <c r="B330" s="73"/>
      <c r="C330" s="73"/>
      <c r="D330" s="53">
        <f>IFERROR(SUM(D319:D329),"")</f>
        <v>39228</v>
      </c>
      <c r="E330" s="53">
        <f>IFERROR(SUM(E319:E329),"")</f>
        <v>1238</v>
      </c>
      <c r="F330" s="53">
        <f>IFERROR(SUM(F319:F329),"")</f>
        <v>923</v>
      </c>
      <c r="G330" s="53">
        <f>IFERROR(SUM(G319:G329),"")</f>
        <v>39543</v>
      </c>
    </row>
    <row r="331" spans="1:7" ht="21.75" customHeight="1">
      <c r="A331" s="71">
        <v>46170</v>
      </c>
      <c r="B331" s="72" t="s">
        <v>45</v>
      </c>
      <c r="C331" s="48" t="s">
        <v>26</v>
      </c>
      <c r="D331" s="54">
        <f>G319</f>
        <v>4231</v>
      </c>
      <c r="E331" s="50">
        <v>122</v>
      </c>
      <c r="F331" s="51">
        <v>82</v>
      </c>
      <c r="G331" s="52">
        <f>IFERROR(D331+E331-F331,"")</f>
        <v>4271</v>
      </c>
    </row>
    <row r="332" spans="1:7" ht="21.75" customHeight="1">
      <c r="A332" s="71"/>
      <c r="B332" s="71"/>
      <c r="C332" s="48" t="s">
        <v>27</v>
      </c>
      <c r="D332" s="54">
        <f>G320</f>
        <v>3071</v>
      </c>
      <c r="E332" s="50">
        <v>105</v>
      </c>
      <c r="F332" s="51">
        <v>94</v>
      </c>
      <c r="G332" s="52">
        <f>IFERROR(D332+E332-F332,"")</f>
        <v>3082</v>
      </c>
    </row>
    <row r="333" spans="1:7" ht="21.75" customHeight="1">
      <c r="A333" s="71"/>
      <c r="B333" s="71"/>
      <c r="C333" s="48" t="s">
        <v>30</v>
      </c>
      <c r="D333" s="54">
        <f>G321</f>
        <v>4982</v>
      </c>
      <c r="E333" s="50">
        <v>139</v>
      </c>
      <c r="F333" s="51">
        <v>92</v>
      </c>
      <c r="G333" s="52">
        <f>IFERROR(D333+E333-F333,"")</f>
        <v>5029</v>
      </c>
    </row>
    <row r="334" spans="1:7" ht="21.75" customHeight="1">
      <c r="A334" s="71"/>
      <c r="B334" s="71"/>
      <c r="C334" s="48" t="s">
        <v>32</v>
      </c>
      <c r="D334" s="54">
        <f>G322</f>
        <v>2125</v>
      </c>
      <c r="E334" s="50">
        <v>76</v>
      </c>
      <c r="F334" s="51">
        <v>61</v>
      </c>
      <c r="G334" s="52">
        <f>IFERROR(D334+E334-F334,"")</f>
        <v>2140</v>
      </c>
    </row>
    <row r="335" spans="1:7" ht="21.75" customHeight="1">
      <c r="A335" s="71"/>
      <c r="B335" s="71"/>
      <c r="C335" s="48" t="s">
        <v>34</v>
      </c>
      <c r="D335" s="54">
        <f>G323</f>
        <v>5149</v>
      </c>
      <c r="E335" s="50">
        <v>142</v>
      </c>
      <c r="F335" s="51">
        <v>90</v>
      </c>
      <c r="G335" s="52">
        <f>IFERROR(D335+E335-F335,"")</f>
        <v>5201</v>
      </c>
    </row>
    <row r="336" spans="1:7" ht="21.75" customHeight="1">
      <c r="A336" s="71"/>
      <c r="B336" s="71"/>
      <c r="C336" s="48" t="s">
        <v>25</v>
      </c>
      <c r="D336" s="54">
        <f>G324</f>
        <v>2651</v>
      </c>
      <c r="E336" s="50">
        <v>87</v>
      </c>
      <c r="F336" s="51">
        <v>63</v>
      </c>
      <c r="G336" s="52">
        <f>IFERROR(D336+E336-F336,"")</f>
        <v>2675</v>
      </c>
    </row>
    <row r="337" spans="1:7" ht="21.75" customHeight="1">
      <c r="A337" s="71"/>
      <c r="B337" s="71"/>
      <c r="C337" s="48" t="s">
        <v>35</v>
      </c>
      <c r="D337" s="54">
        <f>G325</f>
        <v>2846</v>
      </c>
      <c r="E337" s="50">
        <v>119</v>
      </c>
      <c r="F337" s="51">
        <v>94</v>
      </c>
      <c r="G337" s="52">
        <f>IFERROR(D337+E337-F337,"")</f>
        <v>2871</v>
      </c>
    </row>
    <row r="338" spans="1:7" ht="21.75" customHeight="1">
      <c r="A338" s="71"/>
      <c r="B338" s="71"/>
      <c r="C338" s="48" t="s">
        <v>29</v>
      </c>
      <c r="D338" s="54">
        <f>G326</f>
        <v>3329</v>
      </c>
      <c r="E338" s="50">
        <v>106</v>
      </c>
      <c r="F338" s="51">
        <v>91</v>
      </c>
      <c r="G338" s="52">
        <f>IFERROR(D338+E338-F338,"")</f>
        <v>3344</v>
      </c>
    </row>
    <row r="339" spans="1:7" ht="21.75" customHeight="1">
      <c r="A339" s="71"/>
      <c r="B339" s="71"/>
      <c r="C339" s="48" t="s">
        <v>31</v>
      </c>
      <c r="D339" s="54">
        <f>G327</f>
        <v>4250</v>
      </c>
      <c r="E339" s="50">
        <v>135</v>
      </c>
      <c r="F339" s="51">
        <v>90</v>
      </c>
      <c r="G339" s="52">
        <f>IFERROR(D339+E339-F339,"")</f>
        <v>4295</v>
      </c>
    </row>
    <row r="340" spans="1:7" ht="21.75" customHeight="1">
      <c r="A340" s="71"/>
      <c r="B340" s="71"/>
      <c r="C340" s="48" t="s">
        <v>33</v>
      </c>
      <c r="D340" s="54">
        <f>G328</f>
        <v>1585</v>
      </c>
      <c r="E340" s="50">
        <v>93</v>
      </c>
      <c r="F340" s="51">
        <v>74</v>
      </c>
      <c r="G340" s="52">
        <f>IFERROR(D340+E340-F340,"")</f>
        <v>1604</v>
      </c>
    </row>
    <row r="341" spans="1:7" ht="21.75" customHeight="1">
      <c r="A341" s="71"/>
      <c r="B341" s="71"/>
      <c r="C341" s="48" t="s">
        <v>36</v>
      </c>
      <c r="D341" s="54">
        <f>G329</f>
        <v>5324</v>
      </c>
      <c r="E341" s="50">
        <v>134</v>
      </c>
      <c r="F341" s="51">
        <v>98</v>
      </c>
      <c r="G341" s="52">
        <f>IFERROR(D341+E341-F341,"")</f>
        <v>5360</v>
      </c>
    </row>
    <row r="342" spans="1:7" ht="21.75" customHeight="1">
      <c r="A342" s="73" t="s">
        <v>215</v>
      </c>
      <c r="B342" s="73"/>
      <c r="C342" s="73"/>
      <c r="D342" s="53">
        <f>IFERROR(SUM(D331:D341),"")</f>
        <v>39543</v>
      </c>
      <c r="E342" s="53">
        <f>IFERROR(SUM(E331:E341),"")</f>
        <v>1258</v>
      </c>
      <c r="F342" s="53">
        <f>IFERROR(SUM(F331:F341),"")</f>
        <v>929</v>
      </c>
      <c r="G342" s="53">
        <f>IFERROR(SUM(G331:G341),"")</f>
        <v>39872</v>
      </c>
    </row>
    <row r="343" spans="1:7" ht="21.75" customHeight="1">
      <c r="A343" s="71">
        <v>46171</v>
      </c>
      <c r="B343" s="72" t="s">
        <v>47</v>
      </c>
      <c r="C343" s="48" t="s">
        <v>26</v>
      </c>
      <c r="D343" s="54">
        <f>G331</f>
        <v>4271</v>
      </c>
      <c r="E343" s="50">
        <v>134</v>
      </c>
      <c r="F343" s="51">
        <v>103</v>
      </c>
      <c r="G343" s="52">
        <f>IFERROR(D343+E343-F343,"")</f>
        <v>4302</v>
      </c>
    </row>
    <row r="344" spans="1:7" ht="21.75" customHeight="1">
      <c r="A344" s="71"/>
      <c r="B344" s="71"/>
      <c r="C344" s="48" t="s">
        <v>27</v>
      </c>
      <c r="D344" s="54">
        <f>G332</f>
        <v>3082</v>
      </c>
      <c r="E344" s="50">
        <v>93</v>
      </c>
      <c r="F344" s="51">
        <v>65</v>
      </c>
      <c r="G344" s="52">
        <f>IFERROR(D344+E344-F344,"")</f>
        <v>3110</v>
      </c>
    </row>
    <row r="345" spans="1:7" ht="21.75" customHeight="1">
      <c r="A345" s="71"/>
      <c r="B345" s="71"/>
      <c r="C345" s="48" t="s">
        <v>30</v>
      </c>
      <c r="D345" s="54">
        <f>G333</f>
        <v>5029</v>
      </c>
      <c r="E345" s="50">
        <v>136</v>
      </c>
      <c r="F345" s="51">
        <v>90</v>
      </c>
      <c r="G345" s="52">
        <f>IFERROR(D345+E345-F345,"")</f>
        <v>5075</v>
      </c>
    </row>
    <row r="346" spans="1:7" ht="21.75" customHeight="1">
      <c r="A346" s="71"/>
      <c r="B346" s="71"/>
      <c r="C346" s="48" t="s">
        <v>32</v>
      </c>
      <c r="D346" s="54">
        <f>G334</f>
        <v>2140</v>
      </c>
      <c r="E346" s="50">
        <v>71</v>
      </c>
      <c r="F346" s="51">
        <v>56</v>
      </c>
      <c r="G346" s="52">
        <f>IFERROR(D346+E346-F346,"")</f>
        <v>2155</v>
      </c>
    </row>
    <row r="347" spans="1:7" ht="21.75" customHeight="1">
      <c r="A347" s="71"/>
      <c r="B347" s="71"/>
      <c r="C347" s="48" t="s">
        <v>34</v>
      </c>
      <c r="D347" s="54">
        <f>G335</f>
        <v>5201</v>
      </c>
      <c r="E347" s="50">
        <v>143</v>
      </c>
      <c r="F347" s="51">
        <v>112</v>
      </c>
      <c r="G347" s="52">
        <f>IFERROR(D347+E347-F347,"")</f>
        <v>5232</v>
      </c>
    </row>
    <row r="348" spans="1:7" ht="21.75" customHeight="1">
      <c r="A348" s="71"/>
      <c r="B348" s="71"/>
      <c r="C348" s="48" t="s">
        <v>25</v>
      </c>
      <c r="D348" s="54">
        <f>G336</f>
        <v>2675</v>
      </c>
      <c r="E348" s="50">
        <v>81</v>
      </c>
      <c r="F348" s="51">
        <v>61</v>
      </c>
      <c r="G348" s="52">
        <f>IFERROR(D348+E348-F348,"")</f>
        <v>2695</v>
      </c>
    </row>
    <row r="349" spans="1:7" ht="21.75" customHeight="1">
      <c r="A349" s="71"/>
      <c r="B349" s="71"/>
      <c r="C349" s="48" t="s">
        <v>35</v>
      </c>
      <c r="D349" s="54">
        <f>G337</f>
        <v>2871</v>
      </c>
      <c r="E349" s="50">
        <v>103</v>
      </c>
      <c r="F349" s="51">
        <v>78</v>
      </c>
      <c r="G349" s="52">
        <f>IFERROR(D349+E349-F349,"")</f>
        <v>2896</v>
      </c>
    </row>
    <row r="350" spans="1:7" ht="21.75" customHeight="1">
      <c r="A350" s="71"/>
      <c r="B350" s="71"/>
      <c r="C350" s="48" t="s">
        <v>29</v>
      </c>
      <c r="D350" s="54">
        <f>G338</f>
        <v>3344</v>
      </c>
      <c r="E350" s="50">
        <v>74</v>
      </c>
      <c r="F350" s="51">
        <v>50</v>
      </c>
      <c r="G350" s="52">
        <f>IFERROR(D350+E350-F350,"")</f>
        <v>3368</v>
      </c>
    </row>
    <row r="351" spans="1:7" ht="21.75" customHeight="1">
      <c r="A351" s="71"/>
      <c r="B351" s="71"/>
      <c r="C351" s="48" t="s">
        <v>31</v>
      </c>
      <c r="D351" s="54">
        <f>G339</f>
        <v>4295</v>
      </c>
      <c r="E351" s="50">
        <v>122</v>
      </c>
      <c r="F351" s="51">
        <v>81</v>
      </c>
      <c r="G351" s="52">
        <f>IFERROR(D351+E351-F351,"")</f>
        <v>4336</v>
      </c>
    </row>
    <row r="352" spans="1:7" ht="21.75" customHeight="1">
      <c r="A352" s="71"/>
      <c r="B352" s="71"/>
      <c r="C352" s="48" t="s">
        <v>33</v>
      </c>
      <c r="D352" s="54">
        <f>G340</f>
        <v>1604</v>
      </c>
      <c r="E352" s="50">
        <v>87</v>
      </c>
      <c r="F352" s="51">
        <v>84</v>
      </c>
      <c r="G352" s="52">
        <f>IFERROR(D352+E352-F352,"")</f>
        <v>1607</v>
      </c>
    </row>
    <row r="353" spans="1:7" ht="21.75" customHeight="1">
      <c r="A353" s="71"/>
      <c r="B353" s="71"/>
      <c r="C353" s="48" t="s">
        <v>36</v>
      </c>
      <c r="D353" s="54">
        <f>G341</f>
        <v>5360</v>
      </c>
      <c r="E353" s="50">
        <v>162</v>
      </c>
      <c r="F353" s="51">
        <v>100</v>
      </c>
      <c r="G353" s="52">
        <f>IFERROR(D353+E353-F353,"")</f>
        <v>5422</v>
      </c>
    </row>
    <row r="354" spans="1:7" ht="21.75" customHeight="1">
      <c r="A354" s="73" t="s">
        <v>216</v>
      </c>
      <c r="B354" s="73"/>
      <c r="C354" s="73"/>
      <c r="D354" s="53">
        <f>IFERROR(SUM(D343:D353),"")</f>
        <v>39872</v>
      </c>
      <c r="E354" s="53">
        <f>IFERROR(SUM(E343:E353),"")</f>
        <v>1206</v>
      </c>
      <c r="F354" s="53">
        <f>IFERROR(SUM(F343:F353),"")</f>
        <v>880</v>
      </c>
      <c r="G354" s="53">
        <f>IFERROR(SUM(G343:G353),"")</f>
        <v>40198</v>
      </c>
    </row>
    <row r="355" spans="1:7" ht="21.75" customHeight="1">
      <c r="A355" s="74">
        <v>46172</v>
      </c>
      <c r="B355" s="75" t="s">
        <v>48</v>
      </c>
      <c r="C355" s="48" t="s">
        <v>26</v>
      </c>
      <c r="D355" s="54">
        <f>G343</f>
        <v>4302</v>
      </c>
      <c r="E355" s="50">
        <v>71</v>
      </c>
      <c r="F355" s="51">
        <v>58</v>
      </c>
      <c r="G355" s="52">
        <f>IFERROR(D355+E355-F355,"")</f>
        <v>4315</v>
      </c>
    </row>
    <row r="356" spans="1:7" ht="21.75" customHeight="1">
      <c r="A356" s="74"/>
      <c r="B356" s="74"/>
      <c r="C356" s="48" t="s">
        <v>27</v>
      </c>
      <c r="D356" s="54">
        <f>G344</f>
        <v>3110</v>
      </c>
      <c r="E356" s="50">
        <v>38</v>
      </c>
      <c r="F356" s="51">
        <v>33</v>
      </c>
      <c r="G356" s="52">
        <f>IFERROR(D356+E356-F356,"")</f>
        <v>3115</v>
      </c>
    </row>
    <row r="357" spans="1:7" ht="21.75" customHeight="1">
      <c r="A357" s="74"/>
      <c r="B357" s="74"/>
      <c r="C357" s="48" t="s">
        <v>30</v>
      </c>
      <c r="D357" s="54">
        <f>G345</f>
        <v>5075</v>
      </c>
      <c r="E357" s="50">
        <v>38</v>
      </c>
      <c r="F357" s="51">
        <v>28</v>
      </c>
      <c r="G357" s="52">
        <f>IFERROR(D357+E357-F357,"")</f>
        <v>5085</v>
      </c>
    </row>
    <row r="358" spans="1:7" ht="21.75" customHeight="1">
      <c r="A358" s="74"/>
      <c r="B358" s="74"/>
      <c r="C358" s="48" t="s">
        <v>32</v>
      </c>
      <c r="D358" s="54">
        <f>G346</f>
        <v>2155</v>
      </c>
      <c r="E358" s="50">
        <v>47</v>
      </c>
      <c r="F358" s="51">
        <v>38</v>
      </c>
      <c r="G358" s="52">
        <f>IFERROR(D358+E358-F358,"")</f>
        <v>2164</v>
      </c>
    </row>
    <row r="359" spans="1:7" ht="21.75" customHeight="1">
      <c r="A359" s="74"/>
      <c r="B359" s="74"/>
      <c r="C359" s="48" t="s">
        <v>34</v>
      </c>
      <c r="D359" s="54">
        <f>G347</f>
        <v>5232</v>
      </c>
      <c r="E359" s="50">
        <v>68</v>
      </c>
      <c r="F359" s="51">
        <v>51</v>
      </c>
      <c r="G359" s="52">
        <f>IFERROR(D359+E359-F359,"")</f>
        <v>5249</v>
      </c>
    </row>
    <row r="360" spans="1:7" ht="21.75" customHeight="1">
      <c r="A360" s="74"/>
      <c r="B360" s="74"/>
      <c r="C360" s="48" t="s">
        <v>25</v>
      </c>
      <c r="D360" s="54">
        <f>G348</f>
        <v>2695</v>
      </c>
      <c r="E360" s="50">
        <v>38</v>
      </c>
      <c r="F360" s="51">
        <v>32</v>
      </c>
      <c r="G360" s="52">
        <f>IFERROR(D360+E360-F360,"")</f>
        <v>2701</v>
      </c>
    </row>
    <row r="361" spans="1:7" ht="21.75" customHeight="1">
      <c r="A361" s="74"/>
      <c r="B361" s="74"/>
      <c r="C361" s="48" t="s">
        <v>35</v>
      </c>
      <c r="D361" s="54">
        <f>G349</f>
        <v>2896</v>
      </c>
      <c r="E361" s="50">
        <v>44</v>
      </c>
      <c r="F361" s="51">
        <v>39</v>
      </c>
      <c r="G361" s="52">
        <f>IFERROR(D361+E361-F361,"")</f>
        <v>2901</v>
      </c>
    </row>
    <row r="362" spans="1:7" ht="21.75" customHeight="1">
      <c r="A362" s="74"/>
      <c r="B362" s="74"/>
      <c r="C362" s="48" t="s">
        <v>29</v>
      </c>
      <c r="D362" s="54">
        <f>G350</f>
        <v>3368</v>
      </c>
      <c r="E362" s="50">
        <v>41</v>
      </c>
      <c r="F362" s="51">
        <v>31</v>
      </c>
      <c r="G362" s="52">
        <f>IFERROR(D362+E362-F362,"")</f>
        <v>3378</v>
      </c>
    </row>
    <row r="363" spans="1:7" ht="21.75" customHeight="1">
      <c r="A363" s="74"/>
      <c r="B363" s="74"/>
      <c r="C363" s="48" t="s">
        <v>31</v>
      </c>
      <c r="D363" s="54">
        <f>G351</f>
        <v>4336</v>
      </c>
      <c r="E363" s="50">
        <v>64</v>
      </c>
      <c r="F363" s="51">
        <v>53</v>
      </c>
      <c r="G363" s="52">
        <f>IFERROR(D363+E363-F363,"")</f>
        <v>4347</v>
      </c>
    </row>
    <row r="364" spans="1:7" ht="21.75" customHeight="1">
      <c r="A364" s="74"/>
      <c r="B364" s="74"/>
      <c r="C364" s="48" t="s">
        <v>33</v>
      </c>
      <c r="D364" s="54">
        <f>G352</f>
        <v>1607</v>
      </c>
      <c r="E364" s="50">
        <v>28</v>
      </c>
      <c r="F364" s="51">
        <v>23</v>
      </c>
      <c r="G364" s="52">
        <f>IFERROR(D364+E364-F364,"")</f>
        <v>1612</v>
      </c>
    </row>
    <row r="365" spans="1:7" ht="21.75" customHeight="1">
      <c r="A365" s="74"/>
      <c r="B365" s="74"/>
      <c r="C365" s="48" t="s">
        <v>36</v>
      </c>
      <c r="D365" s="54">
        <f>G353</f>
        <v>5422</v>
      </c>
      <c r="E365" s="50">
        <v>81</v>
      </c>
      <c r="F365" s="51">
        <v>63</v>
      </c>
      <c r="G365" s="52">
        <f>IFERROR(D365+E365-F365,"")</f>
        <v>5440</v>
      </c>
    </row>
    <row r="366" spans="1:7" ht="21.75" customHeight="1">
      <c r="A366" s="73" t="s">
        <v>217</v>
      </c>
      <c r="B366" s="73"/>
      <c r="C366" s="73"/>
      <c r="D366" s="53">
        <f>IFERROR(SUM(D355:D365),"")</f>
        <v>40198</v>
      </c>
      <c r="E366" s="53">
        <f>IFERROR(SUM(E355:E365),"")</f>
        <v>558</v>
      </c>
      <c r="F366" s="53">
        <f>IFERROR(SUM(F355:F365),"")</f>
        <v>449</v>
      </c>
      <c r="G366" s="53">
        <f>IFERROR(SUM(G355:G365),"")</f>
        <v>40307</v>
      </c>
    </row>
    <row r="367" spans="1:7" ht="21.75" customHeight="1">
      <c r="A367" s="74">
        <v>46173</v>
      </c>
      <c r="B367" s="75" t="s">
        <v>50</v>
      </c>
      <c r="C367" s="48" t="s">
        <v>26</v>
      </c>
      <c r="D367" s="54">
        <f>G355</f>
        <v>4315</v>
      </c>
      <c r="E367" s="50">
        <v>44</v>
      </c>
      <c r="F367" s="51">
        <v>37</v>
      </c>
      <c r="G367" s="52">
        <f>IFERROR(D367+E367-F367,"")</f>
        <v>4322</v>
      </c>
    </row>
    <row r="368" spans="1:7" ht="21.75" customHeight="1">
      <c r="A368" s="74"/>
      <c r="B368" s="74"/>
      <c r="C368" s="48" t="s">
        <v>27</v>
      </c>
      <c r="D368" s="54">
        <f>G356</f>
        <v>3115</v>
      </c>
      <c r="E368" s="50">
        <v>36</v>
      </c>
      <c r="F368" s="51">
        <v>29</v>
      </c>
      <c r="G368" s="52">
        <f>IFERROR(D368+E368-F368,"")</f>
        <v>3122</v>
      </c>
    </row>
    <row r="369" spans="1:7" ht="21.75" customHeight="1">
      <c r="A369" s="74"/>
      <c r="B369" s="74"/>
      <c r="C369" s="48" t="s">
        <v>30</v>
      </c>
      <c r="D369" s="54">
        <f>G357</f>
        <v>5085</v>
      </c>
      <c r="E369" s="50">
        <v>39</v>
      </c>
      <c r="F369" s="51">
        <v>30</v>
      </c>
      <c r="G369" s="52">
        <f>IFERROR(D369+E369-F369,"")</f>
        <v>5094</v>
      </c>
    </row>
    <row r="370" spans="1:7" ht="21.75" customHeight="1">
      <c r="A370" s="74"/>
      <c r="B370" s="74"/>
      <c r="C370" s="48" t="s">
        <v>32</v>
      </c>
      <c r="D370" s="54">
        <f>G358</f>
        <v>2164</v>
      </c>
      <c r="E370" s="50">
        <v>47</v>
      </c>
      <c r="F370" s="51">
        <v>43</v>
      </c>
      <c r="G370" s="52">
        <f>IFERROR(D370+E370-F370,"")</f>
        <v>2168</v>
      </c>
    </row>
    <row r="371" spans="1:7" ht="21.75" customHeight="1">
      <c r="A371" s="74"/>
      <c r="B371" s="74"/>
      <c r="C371" s="48" t="s">
        <v>34</v>
      </c>
      <c r="D371" s="54">
        <f>G359</f>
        <v>5249</v>
      </c>
      <c r="E371" s="50">
        <v>46</v>
      </c>
      <c r="F371" s="51">
        <v>36</v>
      </c>
      <c r="G371" s="52">
        <f>IFERROR(D371+E371-F371,"")</f>
        <v>5259</v>
      </c>
    </row>
    <row r="372" spans="1:7" ht="21.75" customHeight="1">
      <c r="A372" s="74"/>
      <c r="B372" s="74"/>
      <c r="C372" s="48" t="s">
        <v>25</v>
      </c>
      <c r="D372" s="54">
        <f>G360</f>
        <v>2701</v>
      </c>
      <c r="E372" s="50">
        <v>27</v>
      </c>
      <c r="F372" s="51">
        <v>20</v>
      </c>
      <c r="G372" s="52">
        <f>IFERROR(D372+E372-F372,"")</f>
        <v>2708</v>
      </c>
    </row>
    <row r="373" spans="1:7" ht="21.75" customHeight="1">
      <c r="A373" s="74"/>
      <c r="B373" s="74"/>
      <c r="C373" s="48" t="s">
        <v>35</v>
      </c>
      <c r="D373" s="54">
        <f>G361</f>
        <v>2901</v>
      </c>
      <c r="E373" s="50">
        <v>35</v>
      </c>
      <c r="F373" s="51">
        <v>27</v>
      </c>
      <c r="G373" s="52">
        <f>IFERROR(D373+E373-F373,"")</f>
        <v>2909</v>
      </c>
    </row>
    <row r="374" spans="1:7" ht="21.75" customHeight="1">
      <c r="A374" s="74"/>
      <c r="B374" s="74"/>
      <c r="C374" s="48" t="s">
        <v>29</v>
      </c>
      <c r="D374" s="54">
        <f>G362</f>
        <v>3378</v>
      </c>
      <c r="E374" s="50">
        <v>43</v>
      </c>
      <c r="F374" s="51">
        <v>35</v>
      </c>
      <c r="G374" s="52">
        <f>IFERROR(D374+E374-F374,"")</f>
        <v>3386</v>
      </c>
    </row>
    <row r="375" spans="1:7" ht="21.75" customHeight="1">
      <c r="A375" s="74"/>
      <c r="B375" s="74"/>
      <c r="C375" s="48" t="s">
        <v>31</v>
      </c>
      <c r="D375" s="54">
        <f>G363</f>
        <v>4347</v>
      </c>
      <c r="E375" s="50">
        <v>66</v>
      </c>
      <c r="F375" s="51">
        <v>44</v>
      </c>
      <c r="G375" s="52">
        <f>IFERROR(D375+E375-F375,"")</f>
        <v>4369</v>
      </c>
    </row>
    <row r="376" spans="1:7" ht="21.75" customHeight="1">
      <c r="A376" s="74"/>
      <c r="B376" s="74"/>
      <c r="C376" s="48" t="s">
        <v>33</v>
      </c>
      <c r="D376" s="54">
        <f>G364</f>
        <v>1612</v>
      </c>
      <c r="E376" s="50">
        <v>48</v>
      </c>
      <c r="F376" s="51">
        <v>43</v>
      </c>
      <c r="G376" s="52">
        <f>IFERROR(D376+E376-F376,"")</f>
        <v>1617</v>
      </c>
    </row>
    <row r="377" spans="1:7" ht="21.75" customHeight="1">
      <c r="A377" s="74"/>
      <c r="B377" s="74"/>
      <c r="C377" s="48" t="s">
        <v>36</v>
      </c>
      <c r="D377" s="54">
        <f>G365</f>
        <v>5440</v>
      </c>
      <c r="E377" s="50">
        <v>43</v>
      </c>
      <c r="F377" s="51">
        <v>29</v>
      </c>
      <c r="G377" s="52">
        <f>IFERROR(D377+E377-F377,"")</f>
        <v>5454</v>
      </c>
    </row>
    <row r="378" spans="1:7" ht="21.75" customHeight="1">
      <c r="A378" s="73" t="s">
        <v>218</v>
      </c>
      <c r="B378" s="73"/>
      <c r="C378" s="73"/>
      <c r="D378" s="53">
        <f>IFERROR(SUM(D367:D377),"")</f>
        <v>40307</v>
      </c>
      <c r="E378" s="53">
        <f>IFERROR(SUM(E367:E377),"")</f>
        <v>474</v>
      </c>
      <c r="F378" s="53">
        <f>IFERROR(SUM(F367:F377),"")</f>
        <v>373</v>
      </c>
      <c r="G378" s="53">
        <f>IFERROR(SUM(G367:G377),"")</f>
        <v>40408</v>
      </c>
    </row>
    <row r="379" spans="1:7" ht="25.5" customHeight="1">
      <c r="A379" s="76" t="s">
        <v>219</v>
      </c>
      <c r="B379" s="76"/>
      <c r="C379" s="76"/>
      <c r="D379" s="55">
        <f>IFERROR(SUM(D7:D17),"")</f>
        <v>33171</v>
      </c>
      <c r="E379" s="55">
        <f>IFERROR(E18+E30+E42+E54+E66+E78+E90+E102+E114+E126+E138+E150+E162+E174+E186+E198+E210+E222+E234+E246+E258+E270+E282+E294+E306+E318+E330+E342+E354+E366+E378,"")</f>
        <v>30492</v>
      </c>
      <c r="F379" s="55">
        <f>IFERROR(F18+F30+F42+F54+F66+F78+F90+F102+F114+F126+F138+F150+F162+F174+F186+F198+F210+F222+F234+F246+F258+F270+F282+F294+F306+F318+F330+F342+F354+F366+F378,"")</f>
        <v>23255</v>
      </c>
      <c r="G379" s="55">
        <f>IFERROR(G378,"")</f>
        <v>40408</v>
      </c>
    </row>
  </sheetData>
  <mergeCells count="96">
    <mergeCell ref="A378:C378"/>
    <mergeCell ref="A379:C379"/>
    <mergeCell ref="A354:C354"/>
    <mergeCell ref="A355:A365"/>
    <mergeCell ref="B355:B365"/>
    <mergeCell ref="A366:C366"/>
    <mergeCell ref="A367:A377"/>
    <mergeCell ref="B367:B377"/>
    <mergeCell ref="A330:C330"/>
    <mergeCell ref="A331:A341"/>
    <mergeCell ref="B331:B341"/>
    <mergeCell ref="A342:C342"/>
    <mergeCell ref="A343:A353"/>
    <mergeCell ref="B343:B35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</sheetPr>
  <dimension ref="A1:G367"/>
  <sheetViews>
    <sheetView zoomScaleNormal="100" workbookViewId="0">
      <pane ySplit="6" topLeftCell="A365" activePane="bottomLeft" state="frozen"/>
      <selection pane="bottomLeft" activeCell="A7" sqref="A7"/>
    </sheetView>
  </sheetViews>
  <sheetFormatPr defaultColWidth="8.7109375" defaultRowHeight="15"/>
  <cols>
    <col min="1" max="1" width="23.5703125" customWidth="1"/>
    <col min="2" max="2" width="20" customWidth="1"/>
    <col min="3" max="3" width="25.42578125" customWidth="1"/>
    <col min="4" max="4" width="24.85546875" customWidth="1"/>
    <col min="5" max="5" width="22.140625" customWidth="1"/>
    <col min="6" max="6" width="23.85546875" customWidth="1"/>
    <col min="7" max="7" width="22.5703125" customWidth="1"/>
  </cols>
  <sheetData>
    <row r="1" spans="1:7" ht="15" customHeight="1">
      <c r="A1" s="69" t="s">
        <v>54</v>
      </c>
      <c r="B1" s="69"/>
      <c r="C1" s="69"/>
      <c r="D1" s="69"/>
      <c r="E1" s="69"/>
      <c r="F1" s="69"/>
      <c r="G1" s="69"/>
    </row>
    <row r="2" spans="1:7" ht="15" customHeight="1">
      <c r="A2" s="69"/>
      <c r="B2" s="69"/>
      <c r="C2" s="69"/>
      <c r="D2" s="69"/>
      <c r="E2" s="69"/>
      <c r="F2" s="69"/>
      <c r="G2" s="69"/>
    </row>
    <row r="3" spans="1:7" ht="15" customHeight="1">
      <c r="A3" s="69"/>
      <c r="B3" s="69"/>
      <c r="C3" s="69"/>
      <c r="D3" s="69"/>
      <c r="E3" s="69"/>
      <c r="F3" s="69"/>
      <c r="G3" s="69"/>
    </row>
    <row r="4" spans="1:7" ht="15" customHeight="1">
      <c r="A4" s="69"/>
      <c r="B4" s="69"/>
      <c r="C4" s="69"/>
      <c r="D4" s="69"/>
      <c r="E4" s="69"/>
      <c r="F4" s="69"/>
      <c r="G4" s="69"/>
    </row>
    <row r="5" spans="1:7" ht="36" customHeight="1">
      <c r="A5" s="70" t="s">
        <v>220</v>
      </c>
      <c r="B5" s="70"/>
      <c r="C5" s="70"/>
      <c r="D5" s="70"/>
      <c r="E5" s="70"/>
      <c r="F5" s="70"/>
      <c r="G5" s="70"/>
    </row>
    <row r="6" spans="1:7" ht="36" customHeight="1">
      <c r="A6" s="47" t="s">
        <v>39</v>
      </c>
      <c r="B6" s="47" t="s">
        <v>40</v>
      </c>
      <c r="C6" s="47" t="s">
        <v>24</v>
      </c>
      <c r="D6" s="47" t="s">
        <v>56</v>
      </c>
      <c r="E6" s="47" t="s">
        <v>57</v>
      </c>
      <c r="F6" s="47" t="s">
        <v>58</v>
      </c>
      <c r="G6" s="47" t="s">
        <v>59</v>
      </c>
    </row>
    <row r="7" spans="1:7" ht="21.75" customHeight="1">
      <c r="A7" s="71">
        <v>46174</v>
      </c>
      <c r="B7" s="72" t="s">
        <v>51</v>
      </c>
      <c r="C7" s="48" t="s">
        <v>26</v>
      </c>
      <c r="D7" s="49">
        <f>'May 2026'!G367</f>
        <v>4322</v>
      </c>
      <c r="E7" s="50">
        <v>110</v>
      </c>
      <c r="F7" s="51">
        <v>83</v>
      </c>
      <c r="G7" s="52">
        <f>IFERROR(D7+E7-F7,"")</f>
        <v>4349</v>
      </c>
    </row>
    <row r="8" spans="1:7" ht="21.75" customHeight="1">
      <c r="A8" s="71"/>
      <c r="B8" s="71"/>
      <c r="C8" s="48" t="s">
        <v>27</v>
      </c>
      <c r="D8" s="49">
        <f>'May 2026'!G368</f>
        <v>3122</v>
      </c>
      <c r="E8" s="50">
        <v>75</v>
      </c>
      <c r="F8" s="51">
        <v>63</v>
      </c>
      <c r="G8" s="52">
        <f>IFERROR(D8+E8-F8,"")</f>
        <v>3134</v>
      </c>
    </row>
    <row r="9" spans="1:7" ht="21.75" customHeight="1">
      <c r="A9" s="71"/>
      <c r="B9" s="71"/>
      <c r="C9" s="48" t="s">
        <v>30</v>
      </c>
      <c r="D9" s="49">
        <f>'May 2026'!G369</f>
        <v>5094</v>
      </c>
      <c r="E9" s="50">
        <v>118</v>
      </c>
      <c r="F9" s="51">
        <v>70</v>
      </c>
      <c r="G9" s="52">
        <f>IFERROR(D9+E9-F9,"")</f>
        <v>5142</v>
      </c>
    </row>
    <row r="10" spans="1:7" ht="21.75" customHeight="1">
      <c r="A10" s="71"/>
      <c r="B10" s="71"/>
      <c r="C10" s="48" t="s">
        <v>32</v>
      </c>
      <c r="D10" s="49">
        <f>'May 2026'!G370</f>
        <v>2168</v>
      </c>
      <c r="E10" s="50">
        <v>80</v>
      </c>
      <c r="F10" s="51">
        <v>63</v>
      </c>
      <c r="G10" s="52">
        <f>IFERROR(D10+E10-F10,"")</f>
        <v>2185</v>
      </c>
    </row>
    <row r="11" spans="1:7" ht="21.75" customHeight="1">
      <c r="A11" s="71"/>
      <c r="B11" s="71"/>
      <c r="C11" s="48" t="s">
        <v>34</v>
      </c>
      <c r="D11" s="49">
        <f>'May 2026'!G371</f>
        <v>5259</v>
      </c>
      <c r="E11" s="50">
        <v>142</v>
      </c>
      <c r="F11" s="51">
        <v>113</v>
      </c>
      <c r="G11" s="52">
        <f>IFERROR(D11+E11-F11,"")</f>
        <v>5288</v>
      </c>
    </row>
    <row r="12" spans="1:7" ht="21.75" customHeight="1">
      <c r="A12" s="71"/>
      <c r="B12" s="71"/>
      <c r="C12" s="48" t="s">
        <v>25</v>
      </c>
      <c r="D12" s="49">
        <f>'May 2026'!G372</f>
        <v>2708</v>
      </c>
      <c r="E12" s="50">
        <v>59</v>
      </c>
      <c r="F12" s="51">
        <v>42</v>
      </c>
      <c r="G12" s="52">
        <f>IFERROR(D12+E12-F12,"")</f>
        <v>2725</v>
      </c>
    </row>
    <row r="13" spans="1:7" ht="21.75" customHeight="1">
      <c r="A13" s="71"/>
      <c r="B13" s="71"/>
      <c r="C13" s="48" t="s">
        <v>35</v>
      </c>
      <c r="D13" s="49">
        <f>'May 2026'!G373</f>
        <v>2909</v>
      </c>
      <c r="E13" s="50">
        <v>79</v>
      </c>
      <c r="F13" s="51">
        <v>65</v>
      </c>
      <c r="G13" s="52">
        <f>IFERROR(D13+E13-F13,"")</f>
        <v>2923</v>
      </c>
    </row>
    <row r="14" spans="1:7" ht="21.75" customHeight="1">
      <c r="A14" s="71"/>
      <c r="B14" s="71"/>
      <c r="C14" s="48" t="s">
        <v>29</v>
      </c>
      <c r="D14" s="49">
        <f>'May 2026'!G374</f>
        <v>3386</v>
      </c>
      <c r="E14" s="50">
        <v>123</v>
      </c>
      <c r="F14" s="51">
        <v>96</v>
      </c>
      <c r="G14" s="52">
        <f>IFERROR(D14+E14-F14,"")</f>
        <v>3413</v>
      </c>
    </row>
    <row r="15" spans="1:7" ht="21.75" customHeight="1">
      <c r="A15" s="71"/>
      <c r="B15" s="71"/>
      <c r="C15" s="48" t="s">
        <v>31</v>
      </c>
      <c r="D15" s="49">
        <f>'May 2026'!G375</f>
        <v>4369</v>
      </c>
      <c r="E15" s="50">
        <v>102</v>
      </c>
      <c r="F15" s="51">
        <v>80</v>
      </c>
      <c r="G15" s="52">
        <f>IFERROR(D15+E15-F15,"")</f>
        <v>4391</v>
      </c>
    </row>
    <row r="16" spans="1:7" ht="21.75" customHeight="1">
      <c r="A16" s="71"/>
      <c r="B16" s="71"/>
      <c r="C16" s="48" t="s">
        <v>33</v>
      </c>
      <c r="D16" s="49">
        <f>'May 2026'!G376</f>
        <v>1617</v>
      </c>
      <c r="E16" s="50">
        <v>83</v>
      </c>
      <c r="F16" s="51">
        <v>64</v>
      </c>
      <c r="G16" s="52">
        <f>IFERROR(D16+E16-F16,"")</f>
        <v>1636</v>
      </c>
    </row>
    <row r="17" spans="1:7" ht="21.75" customHeight="1">
      <c r="A17" s="71"/>
      <c r="B17" s="71"/>
      <c r="C17" s="48" t="s">
        <v>36</v>
      </c>
      <c r="D17" s="49">
        <f>'May 2026'!G377</f>
        <v>5454</v>
      </c>
      <c r="E17" s="50">
        <v>105</v>
      </c>
      <c r="F17" s="51">
        <v>64</v>
      </c>
      <c r="G17" s="52">
        <f>IFERROR(D17+E17-F17,"")</f>
        <v>5495</v>
      </c>
    </row>
    <row r="18" spans="1:7" ht="21.75" customHeight="1">
      <c r="A18" s="73" t="s">
        <v>221</v>
      </c>
      <c r="B18" s="73"/>
      <c r="C18" s="73"/>
      <c r="D18" s="53">
        <f>IFERROR(SUM(D7:D17),"")</f>
        <v>40408</v>
      </c>
      <c r="E18" s="53">
        <f>IFERROR(SUM(E7:E17),"")</f>
        <v>1076</v>
      </c>
      <c r="F18" s="53">
        <f>IFERROR(SUM(F7:F17),"")</f>
        <v>803</v>
      </c>
      <c r="G18" s="53">
        <f>IFERROR(SUM(G7:G17),"")</f>
        <v>40681</v>
      </c>
    </row>
    <row r="19" spans="1:7" ht="21.75" customHeight="1">
      <c r="A19" s="71">
        <v>46175</v>
      </c>
      <c r="B19" s="72" t="s">
        <v>52</v>
      </c>
      <c r="C19" s="48" t="s">
        <v>26</v>
      </c>
      <c r="D19" s="54">
        <f>G7</f>
        <v>4349</v>
      </c>
      <c r="E19" s="50">
        <v>94</v>
      </c>
      <c r="F19" s="51">
        <v>70</v>
      </c>
      <c r="G19" s="52">
        <f>IFERROR(D19+E19-F19,"")</f>
        <v>4373</v>
      </c>
    </row>
    <row r="20" spans="1:7" ht="21.75" customHeight="1">
      <c r="A20" s="71"/>
      <c r="B20" s="71"/>
      <c r="C20" s="48" t="s">
        <v>27</v>
      </c>
      <c r="D20" s="54">
        <f>G8</f>
        <v>3134</v>
      </c>
      <c r="E20" s="50">
        <v>85</v>
      </c>
      <c r="F20" s="51">
        <v>68</v>
      </c>
      <c r="G20" s="52">
        <f>IFERROR(D20+E20-F20,"")</f>
        <v>3151</v>
      </c>
    </row>
    <row r="21" spans="1:7" ht="21.75" customHeight="1">
      <c r="A21" s="71"/>
      <c r="B21" s="71"/>
      <c r="C21" s="48" t="s">
        <v>30</v>
      </c>
      <c r="D21" s="54">
        <f>G9</f>
        <v>5142</v>
      </c>
      <c r="E21" s="50">
        <v>105</v>
      </c>
      <c r="F21" s="51">
        <v>64</v>
      </c>
      <c r="G21" s="52">
        <f>IFERROR(D21+E21-F21,"")</f>
        <v>5183</v>
      </c>
    </row>
    <row r="22" spans="1:7" ht="21.75" customHeight="1">
      <c r="A22" s="71"/>
      <c r="B22" s="71"/>
      <c r="C22" s="48" t="s">
        <v>32</v>
      </c>
      <c r="D22" s="54">
        <f>G10</f>
        <v>2185</v>
      </c>
      <c r="E22" s="50">
        <v>75</v>
      </c>
      <c r="F22" s="51">
        <v>69</v>
      </c>
      <c r="G22" s="52">
        <f>IFERROR(D22+E22-F22,"")</f>
        <v>2191</v>
      </c>
    </row>
    <row r="23" spans="1:7" ht="21.75" customHeight="1">
      <c r="A23" s="71"/>
      <c r="B23" s="71"/>
      <c r="C23" s="48" t="s">
        <v>34</v>
      </c>
      <c r="D23" s="54">
        <f>G11</f>
        <v>5288</v>
      </c>
      <c r="E23" s="50">
        <v>179</v>
      </c>
      <c r="F23" s="51">
        <v>139</v>
      </c>
      <c r="G23" s="52">
        <f>IFERROR(D23+E23-F23,"")</f>
        <v>5328</v>
      </c>
    </row>
    <row r="24" spans="1:7" ht="21.75" customHeight="1">
      <c r="A24" s="71"/>
      <c r="B24" s="71"/>
      <c r="C24" s="48" t="s">
        <v>25</v>
      </c>
      <c r="D24" s="54">
        <f>G12</f>
        <v>2725</v>
      </c>
      <c r="E24" s="50">
        <v>54</v>
      </c>
      <c r="F24" s="51">
        <v>37</v>
      </c>
      <c r="G24" s="52">
        <f>IFERROR(D24+E24-F24,"")</f>
        <v>2742</v>
      </c>
    </row>
    <row r="25" spans="1:7" ht="21.75" customHeight="1">
      <c r="A25" s="71"/>
      <c r="B25" s="71"/>
      <c r="C25" s="48" t="s">
        <v>35</v>
      </c>
      <c r="D25" s="54">
        <f>G13</f>
        <v>2923</v>
      </c>
      <c r="E25" s="50">
        <v>138</v>
      </c>
      <c r="F25" s="51">
        <v>118</v>
      </c>
      <c r="G25" s="52">
        <f>IFERROR(D25+E25-F25,"")</f>
        <v>2943</v>
      </c>
    </row>
    <row r="26" spans="1:7" ht="21.75" customHeight="1">
      <c r="A26" s="71"/>
      <c r="B26" s="71"/>
      <c r="C26" s="48" t="s">
        <v>29</v>
      </c>
      <c r="D26" s="54">
        <f>G14</f>
        <v>3413</v>
      </c>
      <c r="E26" s="50">
        <v>99</v>
      </c>
      <c r="F26" s="51">
        <v>65</v>
      </c>
      <c r="G26" s="52">
        <f>IFERROR(D26+E26-F26,"")</f>
        <v>3447</v>
      </c>
    </row>
    <row r="27" spans="1:7" ht="21.75" customHeight="1">
      <c r="A27" s="71"/>
      <c r="B27" s="71"/>
      <c r="C27" s="48" t="s">
        <v>31</v>
      </c>
      <c r="D27" s="54">
        <f>G15</f>
        <v>4391</v>
      </c>
      <c r="E27" s="50">
        <v>150</v>
      </c>
      <c r="F27" s="51">
        <v>114</v>
      </c>
      <c r="G27" s="52">
        <f>IFERROR(D27+E27-F27,"")</f>
        <v>4427</v>
      </c>
    </row>
    <row r="28" spans="1:7" ht="21.75" customHeight="1">
      <c r="A28" s="71"/>
      <c r="B28" s="71"/>
      <c r="C28" s="48" t="s">
        <v>33</v>
      </c>
      <c r="D28" s="54">
        <f>G16</f>
        <v>1636</v>
      </c>
      <c r="E28" s="50">
        <v>70</v>
      </c>
      <c r="F28" s="51">
        <v>65</v>
      </c>
      <c r="G28" s="52">
        <f>IFERROR(D28+E28-F28,"")</f>
        <v>1641</v>
      </c>
    </row>
    <row r="29" spans="1:7" ht="21.75" customHeight="1">
      <c r="A29" s="71"/>
      <c r="B29" s="71"/>
      <c r="C29" s="48" t="s">
        <v>36</v>
      </c>
      <c r="D29" s="54">
        <f>G17</f>
        <v>5495</v>
      </c>
      <c r="E29" s="50">
        <v>113</v>
      </c>
      <c r="F29" s="51">
        <v>77</v>
      </c>
      <c r="G29" s="52">
        <f>IFERROR(D29+E29-F29,"")</f>
        <v>5531</v>
      </c>
    </row>
    <row r="30" spans="1:7" ht="21.75" customHeight="1">
      <c r="A30" s="73" t="s">
        <v>222</v>
      </c>
      <c r="B30" s="73"/>
      <c r="C30" s="73"/>
      <c r="D30" s="53">
        <f>IFERROR(SUM(D19:D29),"")</f>
        <v>40681</v>
      </c>
      <c r="E30" s="53">
        <f>IFERROR(SUM(E19:E29),"")</f>
        <v>1162</v>
      </c>
      <c r="F30" s="53">
        <f>IFERROR(SUM(F19:F29),"")</f>
        <v>886</v>
      </c>
      <c r="G30" s="53">
        <f>IFERROR(SUM(G19:G29),"")</f>
        <v>40957</v>
      </c>
    </row>
    <row r="31" spans="1:7" ht="21.75" customHeight="1">
      <c r="A31" s="71">
        <v>46176</v>
      </c>
      <c r="B31" s="72" t="s">
        <v>53</v>
      </c>
      <c r="C31" s="48" t="s">
        <v>26</v>
      </c>
      <c r="D31" s="54">
        <f>G19</f>
        <v>4373</v>
      </c>
      <c r="E31" s="50">
        <v>90</v>
      </c>
      <c r="F31" s="51">
        <v>74</v>
      </c>
      <c r="G31" s="52">
        <f>IFERROR(D31+E31-F31,"")</f>
        <v>4389</v>
      </c>
    </row>
    <row r="32" spans="1:7" ht="21.75" customHeight="1">
      <c r="A32" s="71"/>
      <c r="B32" s="71"/>
      <c r="C32" s="48" t="s">
        <v>27</v>
      </c>
      <c r="D32" s="54">
        <f>G20</f>
        <v>3151</v>
      </c>
      <c r="E32" s="50">
        <v>93</v>
      </c>
      <c r="F32" s="51">
        <v>67</v>
      </c>
      <c r="G32" s="52">
        <f>IFERROR(D32+E32-F32,"")</f>
        <v>3177</v>
      </c>
    </row>
    <row r="33" spans="1:7" ht="21.75" customHeight="1">
      <c r="A33" s="71"/>
      <c r="B33" s="71"/>
      <c r="C33" s="48" t="s">
        <v>30</v>
      </c>
      <c r="D33" s="54">
        <f>G21</f>
        <v>5183</v>
      </c>
      <c r="E33" s="50">
        <v>157</v>
      </c>
      <c r="F33" s="51">
        <v>95</v>
      </c>
      <c r="G33" s="52">
        <f>IFERROR(D33+E33-F33,"")</f>
        <v>5245</v>
      </c>
    </row>
    <row r="34" spans="1:7" ht="21.75" customHeight="1">
      <c r="A34" s="71"/>
      <c r="B34" s="71"/>
      <c r="C34" s="48" t="s">
        <v>32</v>
      </c>
      <c r="D34" s="54">
        <f>G22</f>
        <v>2191</v>
      </c>
      <c r="E34" s="50">
        <v>84</v>
      </c>
      <c r="F34" s="51">
        <v>78</v>
      </c>
      <c r="G34" s="52">
        <f>IFERROR(D34+E34-F34,"")</f>
        <v>2197</v>
      </c>
    </row>
    <row r="35" spans="1:7" ht="21.75" customHeight="1">
      <c r="A35" s="71"/>
      <c r="B35" s="71"/>
      <c r="C35" s="48" t="s">
        <v>34</v>
      </c>
      <c r="D35" s="54">
        <f>G23</f>
        <v>5328</v>
      </c>
      <c r="E35" s="50">
        <v>105</v>
      </c>
      <c r="F35" s="51">
        <v>85</v>
      </c>
      <c r="G35" s="52">
        <f>IFERROR(D35+E35-F35,"")</f>
        <v>5348</v>
      </c>
    </row>
    <row r="36" spans="1:7" ht="21.75" customHeight="1">
      <c r="A36" s="71"/>
      <c r="B36" s="71"/>
      <c r="C36" s="48" t="s">
        <v>25</v>
      </c>
      <c r="D36" s="54">
        <f>G24</f>
        <v>2742</v>
      </c>
      <c r="E36" s="50">
        <v>74</v>
      </c>
      <c r="F36" s="51">
        <v>61</v>
      </c>
      <c r="G36" s="52">
        <f>IFERROR(D36+E36-F36,"")</f>
        <v>2755</v>
      </c>
    </row>
    <row r="37" spans="1:7" ht="21.75" customHeight="1">
      <c r="A37" s="71"/>
      <c r="B37" s="71"/>
      <c r="C37" s="48" t="s">
        <v>35</v>
      </c>
      <c r="D37" s="54">
        <f>G25</f>
        <v>2943</v>
      </c>
      <c r="E37" s="50">
        <v>107</v>
      </c>
      <c r="F37" s="51">
        <v>77</v>
      </c>
      <c r="G37" s="52">
        <f>IFERROR(D37+E37-F37,"")</f>
        <v>2973</v>
      </c>
    </row>
    <row r="38" spans="1:7" ht="21.75" customHeight="1">
      <c r="A38" s="71"/>
      <c r="B38" s="71"/>
      <c r="C38" s="48" t="s">
        <v>29</v>
      </c>
      <c r="D38" s="54">
        <f>G26</f>
        <v>3447</v>
      </c>
      <c r="E38" s="50">
        <v>87</v>
      </c>
      <c r="F38" s="51">
        <v>59</v>
      </c>
      <c r="G38" s="52">
        <f>IFERROR(D38+E38-F38,"")</f>
        <v>3475</v>
      </c>
    </row>
    <row r="39" spans="1:7" ht="21.75" customHeight="1">
      <c r="A39" s="71"/>
      <c r="B39" s="71"/>
      <c r="C39" s="48" t="s">
        <v>31</v>
      </c>
      <c r="D39" s="54">
        <f>G27</f>
        <v>4427</v>
      </c>
      <c r="E39" s="50">
        <v>129</v>
      </c>
      <c r="F39" s="51">
        <v>89</v>
      </c>
      <c r="G39" s="52">
        <f>IFERROR(D39+E39-F39,"")</f>
        <v>4467</v>
      </c>
    </row>
    <row r="40" spans="1:7" ht="21.75" customHeight="1">
      <c r="A40" s="71"/>
      <c r="B40" s="71"/>
      <c r="C40" s="48" t="s">
        <v>33</v>
      </c>
      <c r="D40" s="54">
        <f>G28</f>
        <v>1641</v>
      </c>
      <c r="E40" s="50">
        <v>101</v>
      </c>
      <c r="F40" s="51">
        <v>98</v>
      </c>
      <c r="G40" s="52">
        <f>IFERROR(D40+E40-F40,"")</f>
        <v>1644</v>
      </c>
    </row>
    <row r="41" spans="1:7" ht="21.75" customHeight="1">
      <c r="A41" s="71"/>
      <c r="B41" s="71"/>
      <c r="C41" s="48" t="s">
        <v>36</v>
      </c>
      <c r="D41" s="54">
        <f>G29</f>
        <v>5531</v>
      </c>
      <c r="E41" s="50">
        <v>108</v>
      </c>
      <c r="F41" s="51">
        <v>83</v>
      </c>
      <c r="G41" s="52">
        <f>IFERROR(D41+E41-F41,"")</f>
        <v>5556</v>
      </c>
    </row>
    <row r="42" spans="1:7" ht="21.75" customHeight="1">
      <c r="A42" s="73" t="s">
        <v>223</v>
      </c>
      <c r="B42" s="73"/>
      <c r="C42" s="73"/>
      <c r="D42" s="53">
        <f>IFERROR(SUM(D31:D41),"")</f>
        <v>40957</v>
      </c>
      <c r="E42" s="53">
        <f>IFERROR(SUM(E31:E41),"")</f>
        <v>1135</v>
      </c>
      <c r="F42" s="53">
        <f>IFERROR(SUM(F31:F41),"")</f>
        <v>866</v>
      </c>
      <c r="G42" s="53">
        <f>IFERROR(SUM(G31:G41),"")</f>
        <v>41226</v>
      </c>
    </row>
    <row r="43" spans="1:7" ht="21.75" customHeight="1">
      <c r="A43" s="71">
        <v>46177</v>
      </c>
      <c r="B43" s="72" t="s">
        <v>45</v>
      </c>
      <c r="C43" s="48" t="s">
        <v>26</v>
      </c>
      <c r="D43" s="54">
        <f>G31</f>
        <v>4389</v>
      </c>
      <c r="E43" s="50">
        <v>139</v>
      </c>
      <c r="F43" s="51">
        <v>112</v>
      </c>
      <c r="G43" s="52">
        <f>IFERROR(D43+E43-F43,"")</f>
        <v>4416</v>
      </c>
    </row>
    <row r="44" spans="1:7" ht="21.75" customHeight="1">
      <c r="A44" s="71"/>
      <c r="B44" s="71"/>
      <c r="C44" s="48" t="s">
        <v>27</v>
      </c>
      <c r="D44" s="54">
        <f>G32</f>
        <v>3177</v>
      </c>
      <c r="E44" s="50">
        <v>100</v>
      </c>
      <c r="F44" s="51">
        <v>90</v>
      </c>
      <c r="G44" s="52">
        <f>IFERROR(D44+E44-F44,"")</f>
        <v>3187</v>
      </c>
    </row>
    <row r="45" spans="1:7" ht="21.75" customHeight="1">
      <c r="A45" s="71"/>
      <c r="B45" s="71"/>
      <c r="C45" s="48" t="s">
        <v>30</v>
      </c>
      <c r="D45" s="54">
        <f>G33</f>
        <v>5245</v>
      </c>
      <c r="E45" s="50">
        <v>113</v>
      </c>
      <c r="F45" s="51">
        <v>71</v>
      </c>
      <c r="G45" s="52">
        <f>IFERROR(D45+E45-F45,"")</f>
        <v>5287</v>
      </c>
    </row>
    <row r="46" spans="1:7" ht="21.75" customHeight="1">
      <c r="A46" s="71"/>
      <c r="B46" s="71"/>
      <c r="C46" s="48" t="s">
        <v>32</v>
      </c>
      <c r="D46" s="54">
        <f>G34</f>
        <v>2197</v>
      </c>
      <c r="E46" s="50">
        <v>64</v>
      </c>
      <c r="F46" s="51">
        <v>59</v>
      </c>
      <c r="G46" s="52">
        <f>IFERROR(D46+E46-F46,"")</f>
        <v>2202</v>
      </c>
    </row>
    <row r="47" spans="1:7" ht="21.75" customHeight="1">
      <c r="A47" s="71"/>
      <c r="B47" s="71"/>
      <c r="C47" s="48" t="s">
        <v>34</v>
      </c>
      <c r="D47" s="54">
        <f>G35</f>
        <v>5348</v>
      </c>
      <c r="E47" s="50">
        <v>158</v>
      </c>
      <c r="F47" s="51">
        <v>99</v>
      </c>
      <c r="G47" s="52">
        <f>IFERROR(D47+E47-F47,"")</f>
        <v>5407</v>
      </c>
    </row>
    <row r="48" spans="1:7" ht="21.75" customHeight="1">
      <c r="A48" s="71"/>
      <c r="B48" s="71"/>
      <c r="C48" s="48" t="s">
        <v>25</v>
      </c>
      <c r="D48" s="54">
        <f>G36</f>
        <v>2755</v>
      </c>
      <c r="E48" s="50">
        <v>68</v>
      </c>
      <c r="F48" s="51">
        <v>49</v>
      </c>
      <c r="G48" s="52">
        <f>IFERROR(D48+E48-F48,"")</f>
        <v>2774</v>
      </c>
    </row>
    <row r="49" spans="1:7" ht="21.75" customHeight="1">
      <c r="A49" s="71"/>
      <c r="B49" s="71"/>
      <c r="C49" s="48" t="s">
        <v>35</v>
      </c>
      <c r="D49" s="54">
        <f>G37</f>
        <v>2973</v>
      </c>
      <c r="E49" s="50">
        <v>80</v>
      </c>
      <c r="F49" s="51">
        <v>63</v>
      </c>
      <c r="G49" s="52">
        <f>IFERROR(D49+E49-F49,"")</f>
        <v>2990</v>
      </c>
    </row>
    <row r="50" spans="1:7" ht="21.75" customHeight="1">
      <c r="A50" s="71"/>
      <c r="B50" s="71"/>
      <c r="C50" s="48" t="s">
        <v>29</v>
      </c>
      <c r="D50" s="54">
        <f>G38</f>
        <v>3475</v>
      </c>
      <c r="E50" s="50">
        <v>121</v>
      </c>
      <c r="F50" s="51">
        <v>80</v>
      </c>
      <c r="G50" s="52">
        <f>IFERROR(D50+E50-F50,"")</f>
        <v>3516</v>
      </c>
    </row>
    <row r="51" spans="1:7" ht="21.75" customHeight="1">
      <c r="A51" s="71"/>
      <c r="B51" s="71"/>
      <c r="C51" s="48" t="s">
        <v>31</v>
      </c>
      <c r="D51" s="54">
        <f>G39</f>
        <v>4467</v>
      </c>
      <c r="E51" s="50">
        <v>125</v>
      </c>
      <c r="F51" s="51">
        <v>89</v>
      </c>
      <c r="G51" s="52">
        <f>IFERROR(D51+E51-F51,"")</f>
        <v>4503</v>
      </c>
    </row>
    <row r="52" spans="1:7" ht="21.75" customHeight="1">
      <c r="A52" s="71"/>
      <c r="B52" s="71"/>
      <c r="C52" s="48" t="s">
        <v>33</v>
      </c>
      <c r="D52" s="54">
        <f>G40</f>
        <v>1644</v>
      </c>
      <c r="E52" s="50">
        <v>87</v>
      </c>
      <c r="F52" s="51">
        <v>79</v>
      </c>
      <c r="G52" s="52">
        <f>IFERROR(D52+E52-F52,"")</f>
        <v>1652</v>
      </c>
    </row>
    <row r="53" spans="1:7" ht="21.75" customHeight="1">
      <c r="A53" s="71"/>
      <c r="B53" s="71"/>
      <c r="C53" s="48" t="s">
        <v>36</v>
      </c>
      <c r="D53" s="54">
        <f>G41</f>
        <v>5556</v>
      </c>
      <c r="E53" s="50">
        <v>164</v>
      </c>
      <c r="F53" s="51">
        <v>130</v>
      </c>
      <c r="G53" s="52">
        <f>IFERROR(D53+E53-F53,"")</f>
        <v>5590</v>
      </c>
    </row>
    <row r="54" spans="1:7" ht="21.75" customHeight="1">
      <c r="A54" s="73" t="s">
        <v>224</v>
      </c>
      <c r="B54" s="73"/>
      <c r="C54" s="73"/>
      <c r="D54" s="53">
        <f>IFERROR(SUM(D43:D53),"")</f>
        <v>41226</v>
      </c>
      <c r="E54" s="53">
        <f>IFERROR(SUM(E43:E53),"")</f>
        <v>1219</v>
      </c>
      <c r="F54" s="53">
        <f>IFERROR(SUM(F43:F53),"")</f>
        <v>921</v>
      </c>
      <c r="G54" s="53">
        <f>IFERROR(SUM(G43:G53),"")</f>
        <v>41524</v>
      </c>
    </row>
    <row r="55" spans="1:7" ht="21.75" customHeight="1">
      <c r="A55" s="71">
        <v>46178</v>
      </c>
      <c r="B55" s="72" t="s">
        <v>47</v>
      </c>
      <c r="C55" s="48" t="s">
        <v>26</v>
      </c>
      <c r="D55" s="54">
        <f>G43</f>
        <v>4416</v>
      </c>
      <c r="E55" s="50">
        <v>95</v>
      </c>
      <c r="F55" s="51">
        <v>72</v>
      </c>
      <c r="G55" s="52">
        <f>IFERROR(D55+E55-F55,"")</f>
        <v>4439</v>
      </c>
    </row>
    <row r="56" spans="1:7" ht="21.75" customHeight="1">
      <c r="A56" s="71"/>
      <c r="B56" s="71"/>
      <c r="C56" s="48" t="s">
        <v>27</v>
      </c>
      <c r="D56" s="54">
        <f>G44</f>
        <v>3187</v>
      </c>
      <c r="E56" s="50">
        <v>97</v>
      </c>
      <c r="F56" s="51">
        <v>79</v>
      </c>
      <c r="G56" s="52">
        <f>IFERROR(D56+E56-F56,"")</f>
        <v>3205</v>
      </c>
    </row>
    <row r="57" spans="1:7" ht="21.75" customHeight="1">
      <c r="A57" s="71"/>
      <c r="B57" s="71"/>
      <c r="C57" s="48" t="s">
        <v>30</v>
      </c>
      <c r="D57" s="54">
        <f>G45</f>
        <v>5287</v>
      </c>
      <c r="E57" s="50">
        <v>146</v>
      </c>
      <c r="F57" s="51">
        <v>115</v>
      </c>
      <c r="G57" s="52">
        <f>IFERROR(D57+E57-F57,"")</f>
        <v>5318</v>
      </c>
    </row>
    <row r="58" spans="1:7" ht="21.75" customHeight="1">
      <c r="A58" s="71"/>
      <c r="B58" s="71"/>
      <c r="C58" s="48" t="s">
        <v>32</v>
      </c>
      <c r="D58" s="54">
        <f>G46</f>
        <v>2202</v>
      </c>
      <c r="E58" s="50">
        <v>84</v>
      </c>
      <c r="F58" s="51">
        <v>73</v>
      </c>
      <c r="G58" s="52">
        <f>IFERROR(D58+E58-F58,"")</f>
        <v>2213</v>
      </c>
    </row>
    <row r="59" spans="1:7" ht="21.75" customHeight="1">
      <c r="A59" s="71"/>
      <c r="B59" s="71"/>
      <c r="C59" s="48" t="s">
        <v>34</v>
      </c>
      <c r="D59" s="54">
        <f>G47</f>
        <v>5407</v>
      </c>
      <c r="E59" s="50">
        <v>123</v>
      </c>
      <c r="F59" s="51">
        <v>91</v>
      </c>
      <c r="G59" s="52">
        <f>IFERROR(D59+E59-F59,"")</f>
        <v>5439</v>
      </c>
    </row>
    <row r="60" spans="1:7" ht="21.75" customHeight="1">
      <c r="A60" s="71"/>
      <c r="B60" s="71"/>
      <c r="C60" s="48" t="s">
        <v>25</v>
      </c>
      <c r="D60" s="54">
        <f>G48</f>
        <v>2774</v>
      </c>
      <c r="E60" s="50">
        <v>94</v>
      </c>
      <c r="F60" s="51">
        <v>78</v>
      </c>
      <c r="G60" s="52">
        <f>IFERROR(D60+E60-F60,"")</f>
        <v>2790</v>
      </c>
    </row>
    <row r="61" spans="1:7" ht="21.75" customHeight="1">
      <c r="A61" s="71"/>
      <c r="B61" s="71"/>
      <c r="C61" s="48" t="s">
        <v>35</v>
      </c>
      <c r="D61" s="54">
        <f>G49</f>
        <v>2990</v>
      </c>
      <c r="E61" s="50">
        <v>122</v>
      </c>
      <c r="F61" s="51">
        <v>112</v>
      </c>
      <c r="G61" s="52">
        <f>IFERROR(D61+E61-F61,"")</f>
        <v>3000</v>
      </c>
    </row>
    <row r="62" spans="1:7" ht="21.75" customHeight="1">
      <c r="A62" s="71"/>
      <c r="B62" s="71"/>
      <c r="C62" s="48" t="s">
        <v>29</v>
      </c>
      <c r="D62" s="54">
        <f>G50</f>
        <v>3516</v>
      </c>
      <c r="E62" s="50">
        <v>98</v>
      </c>
      <c r="F62" s="51">
        <v>72</v>
      </c>
      <c r="G62" s="52">
        <f>IFERROR(D62+E62-F62,"")</f>
        <v>3542</v>
      </c>
    </row>
    <row r="63" spans="1:7" ht="21.75" customHeight="1">
      <c r="A63" s="71"/>
      <c r="B63" s="71"/>
      <c r="C63" s="48" t="s">
        <v>31</v>
      </c>
      <c r="D63" s="54">
        <f>G51</f>
        <v>4503</v>
      </c>
      <c r="E63" s="50">
        <v>95</v>
      </c>
      <c r="F63" s="51">
        <v>73</v>
      </c>
      <c r="G63" s="52">
        <f>IFERROR(D63+E63-F63,"")</f>
        <v>4525</v>
      </c>
    </row>
    <row r="64" spans="1:7" ht="21.75" customHeight="1">
      <c r="A64" s="71"/>
      <c r="B64" s="71"/>
      <c r="C64" s="48" t="s">
        <v>33</v>
      </c>
      <c r="D64" s="54">
        <f>G52</f>
        <v>1652</v>
      </c>
      <c r="E64" s="50">
        <v>60</v>
      </c>
      <c r="F64" s="51">
        <v>52</v>
      </c>
      <c r="G64" s="52">
        <f>IFERROR(D64+E64-F64,"")</f>
        <v>1660</v>
      </c>
    </row>
    <row r="65" spans="1:7" ht="21.75" customHeight="1">
      <c r="A65" s="71"/>
      <c r="B65" s="71"/>
      <c r="C65" s="48" t="s">
        <v>36</v>
      </c>
      <c r="D65" s="54">
        <f>G53</f>
        <v>5590</v>
      </c>
      <c r="E65" s="50">
        <v>118</v>
      </c>
      <c r="F65" s="51">
        <v>88</v>
      </c>
      <c r="G65" s="52">
        <f>IFERROR(D65+E65-F65,"")</f>
        <v>5620</v>
      </c>
    </row>
    <row r="66" spans="1:7" ht="21.75" customHeight="1">
      <c r="A66" s="73" t="s">
        <v>225</v>
      </c>
      <c r="B66" s="73"/>
      <c r="C66" s="73"/>
      <c r="D66" s="53">
        <f>IFERROR(SUM(D55:D65),"")</f>
        <v>41524</v>
      </c>
      <c r="E66" s="53">
        <f>IFERROR(SUM(E55:E65),"")</f>
        <v>1132</v>
      </c>
      <c r="F66" s="53">
        <f>IFERROR(SUM(F55:F65),"")</f>
        <v>905</v>
      </c>
      <c r="G66" s="53">
        <f>IFERROR(SUM(G55:G65),"")</f>
        <v>41751</v>
      </c>
    </row>
    <row r="67" spans="1:7" ht="21.75" customHeight="1">
      <c r="A67" s="74">
        <v>46179</v>
      </c>
      <c r="B67" s="75" t="s">
        <v>48</v>
      </c>
      <c r="C67" s="48" t="s">
        <v>26</v>
      </c>
      <c r="D67" s="54">
        <f>G55</f>
        <v>4439</v>
      </c>
      <c r="E67" s="50">
        <v>70</v>
      </c>
      <c r="F67" s="51">
        <v>56</v>
      </c>
      <c r="G67" s="52">
        <f>IFERROR(D67+E67-F67,"")</f>
        <v>4453</v>
      </c>
    </row>
    <row r="68" spans="1:7" ht="21.75" customHeight="1">
      <c r="A68" s="74"/>
      <c r="B68" s="74"/>
      <c r="C68" s="48" t="s">
        <v>27</v>
      </c>
      <c r="D68" s="54">
        <f>G56</f>
        <v>3205</v>
      </c>
      <c r="E68" s="50">
        <v>55</v>
      </c>
      <c r="F68" s="51">
        <v>40</v>
      </c>
      <c r="G68" s="52">
        <f>IFERROR(D68+E68-F68,"")</f>
        <v>3220</v>
      </c>
    </row>
    <row r="69" spans="1:7" ht="21.75" customHeight="1">
      <c r="A69" s="74"/>
      <c r="B69" s="74"/>
      <c r="C69" s="48" t="s">
        <v>30</v>
      </c>
      <c r="D69" s="54">
        <f>G57</f>
        <v>5318</v>
      </c>
      <c r="E69" s="50">
        <v>80</v>
      </c>
      <c r="F69" s="51">
        <v>62</v>
      </c>
      <c r="G69" s="52">
        <f>IFERROR(D69+E69-F69,"")</f>
        <v>5336</v>
      </c>
    </row>
    <row r="70" spans="1:7" ht="21.75" customHeight="1">
      <c r="A70" s="74"/>
      <c r="B70" s="74"/>
      <c r="C70" s="48" t="s">
        <v>32</v>
      </c>
      <c r="D70" s="54">
        <f>G58</f>
        <v>2213</v>
      </c>
      <c r="E70" s="50">
        <v>46</v>
      </c>
      <c r="F70" s="51">
        <v>41</v>
      </c>
      <c r="G70" s="52">
        <f>IFERROR(D70+E70-F70,"")</f>
        <v>2218</v>
      </c>
    </row>
    <row r="71" spans="1:7" ht="21.75" customHeight="1">
      <c r="A71" s="74"/>
      <c r="B71" s="74"/>
      <c r="C71" s="48" t="s">
        <v>34</v>
      </c>
      <c r="D71" s="54">
        <f>G59</f>
        <v>5439</v>
      </c>
      <c r="E71" s="50">
        <v>42</v>
      </c>
      <c r="F71" s="51">
        <v>31</v>
      </c>
      <c r="G71" s="52">
        <f>IFERROR(D71+E71-F71,"")</f>
        <v>5450</v>
      </c>
    </row>
    <row r="72" spans="1:7" ht="21.75" customHeight="1">
      <c r="A72" s="74"/>
      <c r="B72" s="74"/>
      <c r="C72" s="48" t="s">
        <v>25</v>
      </c>
      <c r="D72" s="54">
        <f>G60</f>
        <v>2790</v>
      </c>
      <c r="E72" s="50">
        <v>47</v>
      </c>
      <c r="F72" s="51">
        <v>35</v>
      </c>
      <c r="G72" s="52">
        <f>IFERROR(D72+E72-F72,"")</f>
        <v>2802</v>
      </c>
    </row>
    <row r="73" spans="1:7" ht="21.75" customHeight="1">
      <c r="A73" s="74"/>
      <c r="B73" s="74"/>
      <c r="C73" s="48" t="s">
        <v>35</v>
      </c>
      <c r="D73" s="54">
        <f>G61</f>
        <v>3000</v>
      </c>
      <c r="E73" s="50">
        <v>70</v>
      </c>
      <c r="F73" s="51">
        <v>62</v>
      </c>
      <c r="G73" s="52">
        <f>IFERROR(D73+E73-F73,"")</f>
        <v>3008</v>
      </c>
    </row>
    <row r="74" spans="1:7" ht="21.75" customHeight="1">
      <c r="A74" s="74"/>
      <c r="B74" s="74"/>
      <c r="C74" s="48" t="s">
        <v>29</v>
      </c>
      <c r="D74" s="54">
        <f>G62</f>
        <v>3542</v>
      </c>
      <c r="E74" s="50">
        <v>29</v>
      </c>
      <c r="F74" s="51">
        <v>19</v>
      </c>
      <c r="G74" s="52">
        <f>IFERROR(D74+E74-F74,"")</f>
        <v>3552</v>
      </c>
    </row>
    <row r="75" spans="1:7" ht="21.75" customHeight="1">
      <c r="A75" s="74"/>
      <c r="B75" s="74"/>
      <c r="C75" s="48" t="s">
        <v>31</v>
      </c>
      <c r="D75" s="54">
        <f>G63</f>
        <v>4525</v>
      </c>
      <c r="E75" s="50">
        <v>76</v>
      </c>
      <c r="F75" s="51">
        <v>60</v>
      </c>
      <c r="G75" s="52">
        <f>IFERROR(D75+E75-F75,"")</f>
        <v>4541</v>
      </c>
    </row>
    <row r="76" spans="1:7" ht="21.75" customHeight="1">
      <c r="A76" s="74"/>
      <c r="B76" s="74"/>
      <c r="C76" s="48" t="s">
        <v>33</v>
      </c>
      <c r="D76" s="54">
        <f>G64</f>
        <v>1660</v>
      </c>
      <c r="E76" s="50">
        <v>33</v>
      </c>
      <c r="F76" s="51">
        <v>27</v>
      </c>
      <c r="G76" s="52">
        <f>IFERROR(D76+E76-F76,"")</f>
        <v>1666</v>
      </c>
    </row>
    <row r="77" spans="1:7" ht="21.75" customHeight="1">
      <c r="A77" s="74"/>
      <c r="B77" s="74"/>
      <c r="C77" s="48" t="s">
        <v>36</v>
      </c>
      <c r="D77" s="54">
        <f>G65</f>
        <v>5620</v>
      </c>
      <c r="E77" s="50">
        <v>39</v>
      </c>
      <c r="F77" s="51">
        <v>25</v>
      </c>
      <c r="G77" s="52">
        <f>IFERROR(D77+E77-F77,"")</f>
        <v>5634</v>
      </c>
    </row>
    <row r="78" spans="1:7" ht="21.75" customHeight="1">
      <c r="A78" s="73" t="s">
        <v>226</v>
      </c>
      <c r="B78" s="73"/>
      <c r="C78" s="73"/>
      <c r="D78" s="53">
        <f>IFERROR(SUM(D67:D77),"")</f>
        <v>41751</v>
      </c>
      <c r="E78" s="53">
        <f>IFERROR(SUM(E67:E77),"")</f>
        <v>587</v>
      </c>
      <c r="F78" s="53">
        <f>IFERROR(SUM(F67:F77),"")</f>
        <v>458</v>
      </c>
      <c r="G78" s="53">
        <f>IFERROR(SUM(G67:G77),"")</f>
        <v>41880</v>
      </c>
    </row>
    <row r="79" spans="1:7" ht="21.75" customHeight="1">
      <c r="A79" s="74">
        <v>46180</v>
      </c>
      <c r="B79" s="75" t="s">
        <v>50</v>
      </c>
      <c r="C79" s="48" t="s">
        <v>26</v>
      </c>
      <c r="D79" s="54">
        <f>G67</f>
        <v>4453</v>
      </c>
      <c r="E79" s="50">
        <v>55</v>
      </c>
      <c r="F79" s="51">
        <v>40</v>
      </c>
      <c r="G79" s="52">
        <f>IFERROR(D79+E79-F79,"")</f>
        <v>4468</v>
      </c>
    </row>
    <row r="80" spans="1:7" ht="21.75" customHeight="1">
      <c r="A80" s="74"/>
      <c r="B80" s="74"/>
      <c r="C80" s="48" t="s">
        <v>27</v>
      </c>
      <c r="D80" s="54">
        <f>G68</f>
        <v>3220</v>
      </c>
      <c r="E80" s="50">
        <v>52</v>
      </c>
      <c r="F80" s="51">
        <v>45</v>
      </c>
      <c r="G80" s="52">
        <f>IFERROR(D80+E80-F80,"")</f>
        <v>3227</v>
      </c>
    </row>
    <row r="81" spans="1:7" ht="21.75" customHeight="1">
      <c r="A81" s="74"/>
      <c r="B81" s="74"/>
      <c r="C81" s="48" t="s">
        <v>30</v>
      </c>
      <c r="D81" s="54">
        <f>G69</f>
        <v>5336</v>
      </c>
      <c r="E81" s="50">
        <v>38</v>
      </c>
      <c r="F81" s="51">
        <v>24</v>
      </c>
      <c r="G81" s="52">
        <f>IFERROR(D81+E81-F81,"")</f>
        <v>5350</v>
      </c>
    </row>
    <row r="82" spans="1:7" ht="21.75" customHeight="1">
      <c r="A82" s="74"/>
      <c r="B82" s="74"/>
      <c r="C82" s="48" t="s">
        <v>32</v>
      </c>
      <c r="D82" s="54">
        <f>G70</f>
        <v>2218</v>
      </c>
      <c r="E82" s="50">
        <v>52</v>
      </c>
      <c r="F82" s="51">
        <v>44</v>
      </c>
      <c r="G82" s="52">
        <f>IFERROR(D82+E82-F82,"")</f>
        <v>2226</v>
      </c>
    </row>
    <row r="83" spans="1:7" ht="21.75" customHeight="1">
      <c r="A83" s="74"/>
      <c r="B83" s="74"/>
      <c r="C83" s="48" t="s">
        <v>34</v>
      </c>
      <c r="D83" s="54">
        <f>G71</f>
        <v>5450</v>
      </c>
      <c r="E83" s="50">
        <v>63</v>
      </c>
      <c r="F83" s="51">
        <v>46</v>
      </c>
      <c r="G83" s="52">
        <f>IFERROR(D83+E83-F83,"")</f>
        <v>5467</v>
      </c>
    </row>
    <row r="84" spans="1:7" ht="21.75" customHeight="1">
      <c r="A84" s="74"/>
      <c r="B84" s="74"/>
      <c r="C84" s="48" t="s">
        <v>25</v>
      </c>
      <c r="D84" s="54">
        <f>G72</f>
        <v>2802</v>
      </c>
      <c r="E84" s="50">
        <v>24</v>
      </c>
      <c r="F84" s="51">
        <v>20</v>
      </c>
      <c r="G84" s="52">
        <f>IFERROR(D84+E84-F84,"")</f>
        <v>2806</v>
      </c>
    </row>
    <row r="85" spans="1:7" ht="21.75" customHeight="1">
      <c r="A85" s="74"/>
      <c r="B85" s="74"/>
      <c r="C85" s="48" t="s">
        <v>35</v>
      </c>
      <c r="D85" s="54">
        <f>G73</f>
        <v>3008</v>
      </c>
      <c r="E85" s="50">
        <v>38</v>
      </c>
      <c r="F85" s="51">
        <v>32</v>
      </c>
      <c r="G85" s="52">
        <f>IFERROR(D85+E85-F85,"")</f>
        <v>3014</v>
      </c>
    </row>
    <row r="86" spans="1:7" ht="21.75" customHeight="1">
      <c r="A86" s="74"/>
      <c r="B86" s="74"/>
      <c r="C86" s="48" t="s">
        <v>29</v>
      </c>
      <c r="D86" s="54">
        <f>G74</f>
        <v>3552</v>
      </c>
      <c r="E86" s="50">
        <v>51</v>
      </c>
      <c r="F86" s="51">
        <v>38</v>
      </c>
      <c r="G86" s="52">
        <f>IFERROR(D86+E86-F86,"")</f>
        <v>3565</v>
      </c>
    </row>
    <row r="87" spans="1:7" ht="21.75" customHeight="1">
      <c r="A87" s="74"/>
      <c r="B87" s="74"/>
      <c r="C87" s="48" t="s">
        <v>31</v>
      </c>
      <c r="D87" s="54">
        <f>G75</f>
        <v>4541</v>
      </c>
      <c r="E87" s="50">
        <v>75</v>
      </c>
      <c r="F87" s="51">
        <v>56</v>
      </c>
      <c r="G87" s="52">
        <f>IFERROR(D87+E87-F87,"")</f>
        <v>4560</v>
      </c>
    </row>
    <row r="88" spans="1:7" ht="21.75" customHeight="1">
      <c r="A88" s="74"/>
      <c r="B88" s="74"/>
      <c r="C88" s="48" t="s">
        <v>33</v>
      </c>
      <c r="D88" s="54">
        <f>G76</f>
        <v>1666</v>
      </c>
      <c r="E88" s="50">
        <v>29</v>
      </c>
      <c r="F88" s="51">
        <v>22</v>
      </c>
      <c r="G88" s="52">
        <f>IFERROR(D88+E88-F88,"")</f>
        <v>1673</v>
      </c>
    </row>
    <row r="89" spans="1:7" ht="21.75" customHeight="1">
      <c r="A89" s="74"/>
      <c r="B89" s="74"/>
      <c r="C89" s="48" t="s">
        <v>36</v>
      </c>
      <c r="D89" s="54">
        <f>G77</f>
        <v>5634</v>
      </c>
      <c r="E89" s="50">
        <v>39</v>
      </c>
      <c r="F89" s="51">
        <v>25</v>
      </c>
      <c r="G89" s="52">
        <f>IFERROR(D89+E89-F89,"")</f>
        <v>5648</v>
      </c>
    </row>
    <row r="90" spans="1:7" ht="21.75" customHeight="1">
      <c r="A90" s="73" t="s">
        <v>227</v>
      </c>
      <c r="B90" s="73"/>
      <c r="C90" s="73"/>
      <c r="D90" s="53">
        <f>IFERROR(SUM(D79:D89),"")</f>
        <v>41880</v>
      </c>
      <c r="E90" s="53">
        <f>IFERROR(SUM(E79:E89),"")</f>
        <v>516</v>
      </c>
      <c r="F90" s="53">
        <f>IFERROR(SUM(F79:F89),"")</f>
        <v>392</v>
      </c>
      <c r="G90" s="53">
        <f>IFERROR(SUM(G79:G89),"")</f>
        <v>42004</v>
      </c>
    </row>
    <row r="91" spans="1:7" ht="21.75" customHeight="1">
      <c r="A91" s="71">
        <v>46181</v>
      </c>
      <c r="B91" s="72" t="s">
        <v>51</v>
      </c>
      <c r="C91" s="48" t="s">
        <v>26</v>
      </c>
      <c r="D91" s="54">
        <f>G79</f>
        <v>4468</v>
      </c>
      <c r="E91" s="50">
        <v>137</v>
      </c>
      <c r="F91" s="51">
        <v>95</v>
      </c>
      <c r="G91" s="52">
        <f>IFERROR(D91+E91-F91,"")</f>
        <v>4510</v>
      </c>
    </row>
    <row r="92" spans="1:7" ht="21.75" customHeight="1">
      <c r="A92" s="71"/>
      <c r="B92" s="71"/>
      <c r="C92" s="48" t="s">
        <v>27</v>
      </c>
      <c r="D92" s="54">
        <f>G80</f>
        <v>3227</v>
      </c>
      <c r="E92" s="50">
        <v>109</v>
      </c>
      <c r="F92" s="51">
        <v>85</v>
      </c>
      <c r="G92" s="52">
        <f>IFERROR(D92+E92-F92,"")</f>
        <v>3251</v>
      </c>
    </row>
    <row r="93" spans="1:7" ht="21.75" customHeight="1">
      <c r="A93" s="71"/>
      <c r="B93" s="71"/>
      <c r="C93" s="48" t="s">
        <v>30</v>
      </c>
      <c r="D93" s="54">
        <f>G81</f>
        <v>5350</v>
      </c>
      <c r="E93" s="50">
        <v>152</v>
      </c>
      <c r="F93" s="51">
        <v>97</v>
      </c>
      <c r="G93" s="52">
        <f>IFERROR(D93+E93-F93,"")</f>
        <v>5405</v>
      </c>
    </row>
    <row r="94" spans="1:7" ht="21.75" customHeight="1">
      <c r="A94" s="71"/>
      <c r="B94" s="71"/>
      <c r="C94" s="48" t="s">
        <v>32</v>
      </c>
      <c r="D94" s="54">
        <f>G82</f>
        <v>2226</v>
      </c>
      <c r="E94" s="50">
        <v>67</v>
      </c>
      <c r="F94" s="51">
        <v>52</v>
      </c>
      <c r="G94" s="52">
        <f>IFERROR(D94+E94-F94,"")</f>
        <v>2241</v>
      </c>
    </row>
    <row r="95" spans="1:7" ht="21.75" customHeight="1">
      <c r="A95" s="71"/>
      <c r="B95" s="71"/>
      <c r="C95" s="48" t="s">
        <v>34</v>
      </c>
      <c r="D95" s="54">
        <f>G83</f>
        <v>5467</v>
      </c>
      <c r="E95" s="50">
        <v>109</v>
      </c>
      <c r="F95" s="51">
        <v>81</v>
      </c>
      <c r="G95" s="52">
        <f>IFERROR(D95+E95-F95,"")</f>
        <v>5495</v>
      </c>
    </row>
    <row r="96" spans="1:7" ht="21.75" customHeight="1">
      <c r="A96" s="71"/>
      <c r="B96" s="71"/>
      <c r="C96" s="48" t="s">
        <v>25</v>
      </c>
      <c r="D96" s="54">
        <f>G84</f>
        <v>2806</v>
      </c>
      <c r="E96" s="50">
        <v>61</v>
      </c>
      <c r="F96" s="51">
        <v>52</v>
      </c>
      <c r="G96" s="52">
        <f>IFERROR(D96+E96-F96,"")</f>
        <v>2815</v>
      </c>
    </row>
    <row r="97" spans="1:7" ht="21.75" customHeight="1">
      <c r="A97" s="71"/>
      <c r="B97" s="71"/>
      <c r="C97" s="48" t="s">
        <v>35</v>
      </c>
      <c r="D97" s="54">
        <f>G85</f>
        <v>3014</v>
      </c>
      <c r="E97" s="50">
        <v>131</v>
      </c>
      <c r="F97" s="51">
        <v>96</v>
      </c>
      <c r="G97" s="52">
        <f>IFERROR(D97+E97-F97,"")</f>
        <v>3049</v>
      </c>
    </row>
    <row r="98" spans="1:7" ht="21.75" customHeight="1">
      <c r="A98" s="71"/>
      <c r="B98" s="71"/>
      <c r="C98" s="48" t="s">
        <v>29</v>
      </c>
      <c r="D98" s="54">
        <f>G86</f>
        <v>3565</v>
      </c>
      <c r="E98" s="50">
        <v>116</v>
      </c>
      <c r="F98" s="51">
        <v>97</v>
      </c>
      <c r="G98" s="52">
        <f>IFERROR(D98+E98-F98,"")</f>
        <v>3584</v>
      </c>
    </row>
    <row r="99" spans="1:7" ht="21.75" customHeight="1">
      <c r="A99" s="71"/>
      <c r="B99" s="71"/>
      <c r="C99" s="48" t="s">
        <v>31</v>
      </c>
      <c r="D99" s="54">
        <f>G87</f>
        <v>4560</v>
      </c>
      <c r="E99" s="50">
        <v>125</v>
      </c>
      <c r="F99" s="51">
        <v>101</v>
      </c>
      <c r="G99" s="52">
        <f>IFERROR(D99+E99-F99,"")</f>
        <v>4584</v>
      </c>
    </row>
    <row r="100" spans="1:7" ht="21.75" customHeight="1">
      <c r="A100" s="71"/>
      <c r="B100" s="71"/>
      <c r="C100" s="48" t="s">
        <v>33</v>
      </c>
      <c r="D100" s="54">
        <f>G88</f>
        <v>1673</v>
      </c>
      <c r="E100" s="50">
        <v>77</v>
      </c>
      <c r="F100" s="51">
        <v>62</v>
      </c>
      <c r="G100" s="52">
        <f>IFERROR(D100+E100-F100,"")</f>
        <v>1688</v>
      </c>
    </row>
    <row r="101" spans="1:7" ht="21.75" customHeight="1">
      <c r="A101" s="71"/>
      <c r="B101" s="71"/>
      <c r="C101" s="48" t="s">
        <v>36</v>
      </c>
      <c r="D101" s="54">
        <f>G89</f>
        <v>5648</v>
      </c>
      <c r="E101" s="50">
        <v>165</v>
      </c>
      <c r="F101" s="51">
        <v>118</v>
      </c>
      <c r="G101" s="52">
        <f>IFERROR(D101+E101-F101,"")</f>
        <v>5695</v>
      </c>
    </row>
    <row r="102" spans="1:7" ht="21.75" customHeight="1">
      <c r="A102" s="73" t="s">
        <v>228</v>
      </c>
      <c r="B102" s="73"/>
      <c r="C102" s="73"/>
      <c r="D102" s="53">
        <f>IFERROR(SUM(D91:D101),"")</f>
        <v>42004</v>
      </c>
      <c r="E102" s="53">
        <f>IFERROR(SUM(E91:E101),"")</f>
        <v>1249</v>
      </c>
      <c r="F102" s="53">
        <f>IFERROR(SUM(F91:F101),"")</f>
        <v>936</v>
      </c>
      <c r="G102" s="53">
        <f>IFERROR(SUM(G91:G101),"")</f>
        <v>42317</v>
      </c>
    </row>
    <row r="103" spans="1:7" ht="21.75" customHeight="1">
      <c r="A103" s="71">
        <v>46182</v>
      </c>
      <c r="B103" s="72" t="s">
        <v>52</v>
      </c>
      <c r="C103" s="48" t="s">
        <v>26</v>
      </c>
      <c r="D103" s="54">
        <f>G91</f>
        <v>4510</v>
      </c>
      <c r="E103" s="50">
        <v>97</v>
      </c>
      <c r="F103" s="51">
        <v>70</v>
      </c>
      <c r="G103" s="52">
        <f>IFERROR(D103+E103-F103,"")</f>
        <v>4537</v>
      </c>
    </row>
    <row r="104" spans="1:7" ht="21.75" customHeight="1">
      <c r="A104" s="71"/>
      <c r="B104" s="71"/>
      <c r="C104" s="48" t="s">
        <v>27</v>
      </c>
      <c r="D104" s="54">
        <f>G92</f>
        <v>3251</v>
      </c>
      <c r="E104" s="50">
        <v>120</v>
      </c>
      <c r="F104" s="51">
        <v>99</v>
      </c>
      <c r="G104" s="52">
        <f>IFERROR(D104+E104-F104,"")</f>
        <v>3272</v>
      </c>
    </row>
    <row r="105" spans="1:7" ht="21.75" customHeight="1">
      <c r="A105" s="71"/>
      <c r="B105" s="71"/>
      <c r="C105" s="48" t="s">
        <v>30</v>
      </c>
      <c r="D105" s="54">
        <f>G93</f>
        <v>5405</v>
      </c>
      <c r="E105" s="50">
        <v>93</v>
      </c>
      <c r="F105" s="51">
        <v>66</v>
      </c>
      <c r="G105" s="52">
        <f>IFERROR(D105+E105-F105,"")</f>
        <v>5432</v>
      </c>
    </row>
    <row r="106" spans="1:7" ht="21.75" customHeight="1">
      <c r="A106" s="71"/>
      <c r="B106" s="71"/>
      <c r="C106" s="48" t="s">
        <v>32</v>
      </c>
      <c r="D106" s="54">
        <f>G94</f>
        <v>2241</v>
      </c>
      <c r="E106" s="50">
        <v>95</v>
      </c>
      <c r="F106" s="51">
        <v>89</v>
      </c>
      <c r="G106" s="52">
        <f>IFERROR(D106+E106-F106,"")</f>
        <v>2247</v>
      </c>
    </row>
    <row r="107" spans="1:7" ht="21.75" customHeight="1">
      <c r="A107" s="71"/>
      <c r="B107" s="71"/>
      <c r="C107" s="48" t="s">
        <v>34</v>
      </c>
      <c r="D107" s="54">
        <f>G95</f>
        <v>5495</v>
      </c>
      <c r="E107" s="50">
        <v>147</v>
      </c>
      <c r="F107" s="51">
        <v>105</v>
      </c>
      <c r="G107" s="52">
        <f>IFERROR(D107+E107-F107,"")</f>
        <v>5537</v>
      </c>
    </row>
    <row r="108" spans="1:7" ht="21.75" customHeight="1">
      <c r="A108" s="71"/>
      <c r="B108" s="71"/>
      <c r="C108" s="48" t="s">
        <v>25</v>
      </c>
      <c r="D108" s="54">
        <f>G96</f>
        <v>2815</v>
      </c>
      <c r="E108" s="50">
        <v>101</v>
      </c>
      <c r="F108" s="51">
        <v>85</v>
      </c>
      <c r="G108" s="52">
        <f>IFERROR(D108+E108-F108,"")</f>
        <v>2831</v>
      </c>
    </row>
    <row r="109" spans="1:7" ht="21.75" customHeight="1">
      <c r="A109" s="71"/>
      <c r="B109" s="71"/>
      <c r="C109" s="48" t="s">
        <v>35</v>
      </c>
      <c r="D109" s="54">
        <f>G97</f>
        <v>3049</v>
      </c>
      <c r="E109" s="50">
        <v>91</v>
      </c>
      <c r="F109" s="51">
        <v>67</v>
      </c>
      <c r="G109" s="52">
        <f>IFERROR(D109+E109-F109,"")</f>
        <v>3073</v>
      </c>
    </row>
    <row r="110" spans="1:7" ht="21.75" customHeight="1">
      <c r="A110" s="71"/>
      <c r="B110" s="71"/>
      <c r="C110" s="48" t="s">
        <v>29</v>
      </c>
      <c r="D110" s="54">
        <f>G98</f>
        <v>3584</v>
      </c>
      <c r="E110" s="50">
        <v>69</v>
      </c>
      <c r="F110" s="51">
        <v>49</v>
      </c>
      <c r="G110" s="52">
        <f>IFERROR(D110+E110-F110,"")</f>
        <v>3604</v>
      </c>
    </row>
    <row r="111" spans="1:7" ht="21.75" customHeight="1">
      <c r="A111" s="71"/>
      <c r="B111" s="71"/>
      <c r="C111" s="48" t="s">
        <v>31</v>
      </c>
      <c r="D111" s="54">
        <f>G99</f>
        <v>4584</v>
      </c>
      <c r="E111" s="50">
        <v>135</v>
      </c>
      <c r="F111" s="51">
        <v>108</v>
      </c>
      <c r="G111" s="52">
        <f>IFERROR(D111+E111-F111,"")</f>
        <v>4611</v>
      </c>
    </row>
    <row r="112" spans="1:7" ht="21.75" customHeight="1">
      <c r="A112" s="71"/>
      <c r="B112" s="71"/>
      <c r="C112" s="48" t="s">
        <v>33</v>
      </c>
      <c r="D112" s="54">
        <f>G100</f>
        <v>1688</v>
      </c>
      <c r="E112" s="50">
        <v>101</v>
      </c>
      <c r="F112" s="51">
        <v>93</v>
      </c>
      <c r="G112" s="52">
        <f>IFERROR(D112+E112-F112,"")</f>
        <v>1696</v>
      </c>
    </row>
    <row r="113" spans="1:7" ht="21.75" customHeight="1">
      <c r="A113" s="71"/>
      <c r="B113" s="71"/>
      <c r="C113" s="48" t="s">
        <v>36</v>
      </c>
      <c r="D113" s="54">
        <f>G101</f>
        <v>5695</v>
      </c>
      <c r="E113" s="50">
        <v>162</v>
      </c>
      <c r="F113" s="51">
        <v>124</v>
      </c>
      <c r="G113" s="52">
        <f>IFERROR(D113+E113-F113,"")</f>
        <v>5733</v>
      </c>
    </row>
    <row r="114" spans="1:7" ht="21.75" customHeight="1">
      <c r="A114" s="73" t="s">
        <v>229</v>
      </c>
      <c r="B114" s="73"/>
      <c r="C114" s="73"/>
      <c r="D114" s="53">
        <f>IFERROR(SUM(D103:D113),"")</f>
        <v>42317</v>
      </c>
      <c r="E114" s="53">
        <f>IFERROR(SUM(E103:E113),"")</f>
        <v>1211</v>
      </c>
      <c r="F114" s="53">
        <f>IFERROR(SUM(F103:F113),"")</f>
        <v>955</v>
      </c>
      <c r="G114" s="53">
        <f>IFERROR(SUM(G103:G113),"")</f>
        <v>42573</v>
      </c>
    </row>
    <row r="115" spans="1:7" ht="21.75" customHeight="1">
      <c r="A115" s="71">
        <v>46183</v>
      </c>
      <c r="B115" s="72" t="s">
        <v>53</v>
      </c>
      <c r="C115" s="48" t="s">
        <v>26</v>
      </c>
      <c r="D115" s="54">
        <f>G103</f>
        <v>4537</v>
      </c>
      <c r="E115" s="50">
        <v>146</v>
      </c>
      <c r="F115" s="51">
        <v>105</v>
      </c>
      <c r="G115" s="52">
        <f>IFERROR(D115+E115-F115,"")</f>
        <v>4578</v>
      </c>
    </row>
    <row r="116" spans="1:7" ht="21.75" customHeight="1">
      <c r="A116" s="71"/>
      <c r="B116" s="71"/>
      <c r="C116" s="48" t="s">
        <v>27</v>
      </c>
      <c r="D116" s="54">
        <f>G104</f>
        <v>3272</v>
      </c>
      <c r="E116" s="50">
        <v>78</v>
      </c>
      <c r="F116" s="51">
        <v>59</v>
      </c>
      <c r="G116" s="52">
        <f>IFERROR(D116+E116-F116,"")</f>
        <v>3291</v>
      </c>
    </row>
    <row r="117" spans="1:7" ht="21.75" customHeight="1">
      <c r="A117" s="71"/>
      <c r="B117" s="71"/>
      <c r="C117" s="48" t="s">
        <v>30</v>
      </c>
      <c r="D117" s="54">
        <f>G105</f>
        <v>5432</v>
      </c>
      <c r="E117" s="50">
        <v>106</v>
      </c>
      <c r="F117" s="51">
        <v>76</v>
      </c>
      <c r="G117" s="52">
        <f>IFERROR(D117+E117-F117,"")</f>
        <v>5462</v>
      </c>
    </row>
    <row r="118" spans="1:7" ht="21.75" customHeight="1">
      <c r="A118" s="71"/>
      <c r="B118" s="71"/>
      <c r="C118" s="48" t="s">
        <v>32</v>
      </c>
      <c r="D118" s="54">
        <f>G106</f>
        <v>2247</v>
      </c>
      <c r="E118" s="50">
        <v>92</v>
      </c>
      <c r="F118" s="51">
        <v>70</v>
      </c>
      <c r="G118" s="52">
        <f>IFERROR(D118+E118-F118,"")</f>
        <v>2269</v>
      </c>
    </row>
    <row r="119" spans="1:7" ht="21.75" customHeight="1">
      <c r="A119" s="71"/>
      <c r="B119" s="71"/>
      <c r="C119" s="48" t="s">
        <v>34</v>
      </c>
      <c r="D119" s="54">
        <f>G107</f>
        <v>5537</v>
      </c>
      <c r="E119" s="50">
        <v>115</v>
      </c>
      <c r="F119" s="51">
        <v>87</v>
      </c>
      <c r="G119" s="52">
        <f>IFERROR(D119+E119-F119,"")</f>
        <v>5565</v>
      </c>
    </row>
    <row r="120" spans="1:7" ht="21.75" customHeight="1">
      <c r="A120" s="71"/>
      <c r="B120" s="71"/>
      <c r="C120" s="48" t="s">
        <v>25</v>
      </c>
      <c r="D120" s="54">
        <f>G108</f>
        <v>2831</v>
      </c>
      <c r="E120" s="50">
        <v>59</v>
      </c>
      <c r="F120" s="51">
        <v>44</v>
      </c>
      <c r="G120" s="52">
        <f>IFERROR(D120+E120-F120,"")</f>
        <v>2846</v>
      </c>
    </row>
    <row r="121" spans="1:7" ht="21.75" customHeight="1">
      <c r="A121" s="71"/>
      <c r="B121" s="71"/>
      <c r="C121" s="48" t="s">
        <v>35</v>
      </c>
      <c r="D121" s="54">
        <f>G109</f>
        <v>3073</v>
      </c>
      <c r="E121" s="50">
        <v>96</v>
      </c>
      <c r="F121" s="51">
        <v>74</v>
      </c>
      <c r="G121" s="52">
        <f>IFERROR(D121+E121-F121,"")</f>
        <v>3095</v>
      </c>
    </row>
    <row r="122" spans="1:7" ht="21.75" customHeight="1">
      <c r="A122" s="71"/>
      <c r="B122" s="71"/>
      <c r="C122" s="48" t="s">
        <v>29</v>
      </c>
      <c r="D122" s="54">
        <f>G110</f>
        <v>3604</v>
      </c>
      <c r="E122" s="50">
        <v>85</v>
      </c>
      <c r="F122" s="51">
        <v>63</v>
      </c>
      <c r="G122" s="52">
        <f>IFERROR(D122+E122-F122,"")</f>
        <v>3626</v>
      </c>
    </row>
    <row r="123" spans="1:7" ht="21.75" customHeight="1">
      <c r="A123" s="71"/>
      <c r="B123" s="71"/>
      <c r="C123" s="48" t="s">
        <v>31</v>
      </c>
      <c r="D123" s="54">
        <f>G111</f>
        <v>4611</v>
      </c>
      <c r="E123" s="50">
        <v>129</v>
      </c>
      <c r="F123" s="51">
        <v>98</v>
      </c>
      <c r="G123" s="52">
        <f>IFERROR(D123+E123-F123,"")</f>
        <v>4642</v>
      </c>
    </row>
    <row r="124" spans="1:7" ht="21.75" customHeight="1">
      <c r="A124" s="71"/>
      <c r="B124" s="71"/>
      <c r="C124" s="48" t="s">
        <v>33</v>
      </c>
      <c r="D124" s="54">
        <f>G112</f>
        <v>1696</v>
      </c>
      <c r="E124" s="50">
        <v>73</v>
      </c>
      <c r="F124" s="51">
        <v>58</v>
      </c>
      <c r="G124" s="52">
        <f>IFERROR(D124+E124-F124,"")</f>
        <v>1711</v>
      </c>
    </row>
    <row r="125" spans="1:7" ht="21.75" customHeight="1">
      <c r="A125" s="71"/>
      <c r="B125" s="71"/>
      <c r="C125" s="48" t="s">
        <v>36</v>
      </c>
      <c r="D125" s="54">
        <f>G113</f>
        <v>5733</v>
      </c>
      <c r="E125" s="50">
        <v>127</v>
      </c>
      <c r="F125" s="51">
        <v>83</v>
      </c>
      <c r="G125" s="52">
        <f>IFERROR(D125+E125-F125,"")</f>
        <v>5777</v>
      </c>
    </row>
    <row r="126" spans="1:7" ht="21.75" customHeight="1">
      <c r="A126" s="73" t="s">
        <v>230</v>
      </c>
      <c r="B126" s="73"/>
      <c r="C126" s="73"/>
      <c r="D126" s="53">
        <f>IFERROR(SUM(D115:D125),"")</f>
        <v>42573</v>
      </c>
      <c r="E126" s="53">
        <f>IFERROR(SUM(E115:E125),"")</f>
        <v>1106</v>
      </c>
      <c r="F126" s="53">
        <f>IFERROR(SUM(F115:F125),"")</f>
        <v>817</v>
      </c>
      <c r="G126" s="53">
        <f>IFERROR(SUM(G115:G125),"")</f>
        <v>42862</v>
      </c>
    </row>
    <row r="127" spans="1:7" ht="21.75" customHeight="1">
      <c r="A127" s="71">
        <v>46184</v>
      </c>
      <c r="B127" s="72" t="s">
        <v>45</v>
      </c>
      <c r="C127" s="48" t="s">
        <v>26</v>
      </c>
      <c r="D127" s="54">
        <f>G115</f>
        <v>4578</v>
      </c>
      <c r="E127" s="50">
        <v>101</v>
      </c>
      <c r="F127" s="51">
        <v>83</v>
      </c>
      <c r="G127" s="52">
        <f>IFERROR(D127+E127-F127,"")</f>
        <v>4596</v>
      </c>
    </row>
    <row r="128" spans="1:7" ht="21.75" customHeight="1">
      <c r="A128" s="71"/>
      <c r="B128" s="71"/>
      <c r="C128" s="48" t="s">
        <v>27</v>
      </c>
      <c r="D128" s="54">
        <f>G116</f>
        <v>3291</v>
      </c>
      <c r="E128" s="50">
        <v>130</v>
      </c>
      <c r="F128" s="51">
        <v>109</v>
      </c>
      <c r="G128" s="52">
        <f>IFERROR(D128+E128-F128,"")</f>
        <v>3312</v>
      </c>
    </row>
    <row r="129" spans="1:7" ht="21.75" customHeight="1">
      <c r="A129" s="71"/>
      <c r="B129" s="71"/>
      <c r="C129" s="48" t="s">
        <v>30</v>
      </c>
      <c r="D129" s="54">
        <f>G117</f>
        <v>5462</v>
      </c>
      <c r="E129" s="50">
        <v>109</v>
      </c>
      <c r="F129" s="51">
        <v>70</v>
      </c>
      <c r="G129" s="52">
        <f>IFERROR(D129+E129-F129,"")</f>
        <v>5501</v>
      </c>
    </row>
    <row r="130" spans="1:7" ht="21.75" customHeight="1">
      <c r="A130" s="71"/>
      <c r="B130" s="71"/>
      <c r="C130" s="48" t="s">
        <v>32</v>
      </c>
      <c r="D130" s="54">
        <f>G118</f>
        <v>2269</v>
      </c>
      <c r="E130" s="50">
        <v>102</v>
      </c>
      <c r="F130" s="51">
        <v>95</v>
      </c>
      <c r="G130" s="52">
        <f>IFERROR(D130+E130-F130,"")</f>
        <v>2276</v>
      </c>
    </row>
    <row r="131" spans="1:7" ht="21.75" customHeight="1">
      <c r="A131" s="71"/>
      <c r="B131" s="71"/>
      <c r="C131" s="48" t="s">
        <v>34</v>
      </c>
      <c r="D131" s="54">
        <f>G119</f>
        <v>5565</v>
      </c>
      <c r="E131" s="50">
        <v>177</v>
      </c>
      <c r="F131" s="51">
        <v>130</v>
      </c>
      <c r="G131" s="52">
        <f>IFERROR(D131+E131-F131,"")</f>
        <v>5612</v>
      </c>
    </row>
    <row r="132" spans="1:7" ht="21.75" customHeight="1">
      <c r="A132" s="71"/>
      <c r="B132" s="71"/>
      <c r="C132" s="48" t="s">
        <v>25</v>
      </c>
      <c r="D132" s="54">
        <f>G120</f>
        <v>2846</v>
      </c>
      <c r="E132" s="50">
        <v>103</v>
      </c>
      <c r="F132" s="51">
        <v>88</v>
      </c>
      <c r="G132" s="52">
        <f>IFERROR(D132+E132-F132,"")</f>
        <v>2861</v>
      </c>
    </row>
    <row r="133" spans="1:7" ht="21.75" customHeight="1">
      <c r="A133" s="71"/>
      <c r="B133" s="71"/>
      <c r="C133" s="48" t="s">
        <v>35</v>
      </c>
      <c r="D133" s="54">
        <f>G121</f>
        <v>3095</v>
      </c>
      <c r="E133" s="50">
        <v>80</v>
      </c>
      <c r="F133" s="51">
        <v>57</v>
      </c>
      <c r="G133" s="52">
        <f>IFERROR(D133+E133-F133,"")</f>
        <v>3118</v>
      </c>
    </row>
    <row r="134" spans="1:7" ht="21.75" customHeight="1">
      <c r="A134" s="71"/>
      <c r="B134" s="71"/>
      <c r="C134" s="48" t="s">
        <v>29</v>
      </c>
      <c r="D134" s="54">
        <f>G122</f>
        <v>3626</v>
      </c>
      <c r="E134" s="50">
        <v>70</v>
      </c>
      <c r="F134" s="51">
        <v>46</v>
      </c>
      <c r="G134" s="52">
        <f>IFERROR(D134+E134-F134,"")</f>
        <v>3650</v>
      </c>
    </row>
    <row r="135" spans="1:7" ht="21.75" customHeight="1">
      <c r="A135" s="71"/>
      <c r="B135" s="71"/>
      <c r="C135" s="48" t="s">
        <v>31</v>
      </c>
      <c r="D135" s="54">
        <f>G123</f>
        <v>4642</v>
      </c>
      <c r="E135" s="50">
        <v>118</v>
      </c>
      <c r="F135" s="51">
        <v>95</v>
      </c>
      <c r="G135" s="52">
        <f>IFERROR(D135+E135-F135,"")</f>
        <v>4665</v>
      </c>
    </row>
    <row r="136" spans="1:7" ht="21.75" customHeight="1">
      <c r="A136" s="71"/>
      <c r="B136" s="71"/>
      <c r="C136" s="48" t="s">
        <v>33</v>
      </c>
      <c r="D136" s="54">
        <f>G124</f>
        <v>1711</v>
      </c>
      <c r="E136" s="50">
        <v>68</v>
      </c>
      <c r="F136" s="51">
        <v>65</v>
      </c>
      <c r="G136" s="52">
        <f>IFERROR(D136+E136-F136,"")</f>
        <v>1714</v>
      </c>
    </row>
    <row r="137" spans="1:7" ht="21.75" customHeight="1">
      <c r="A137" s="71"/>
      <c r="B137" s="71"/>
      <c r="C137" s="48" t="s">
        <v>36</v>
      </c>
      <c r="D137" s="54">
        <f>G125</f>
        <v>5777</v>
      </c>
      <c r="E137" s="50">
        <v>168</v>
      </c>
      <c r="F137" s="51">
        <v>128</v>
      </c>
      <c r="G137" s="52">
        <f>IFERROR(D137+E137-F137,"")</f>
        <v>5817</v>
      </c>
    </row>
    <row r="138" spans="1:7" ht="21.75" customHeight="1">
      <c r="A138" s="73" t="s">
        <v>231</v>
      </c>
      <c r="B138" s="73"/>
      <c r="C138" s="73"/>
      <c r="D138" s="53">
        <f>IFERROR(SUM(D127:D137),"")</f>
        <v>42862</v>
      </c>
      <c r="E138" s="53">
        <f>IFERROR(SUM(E127:E137),"")</f>
        <v>1226</v>
      </c>
      <c r="F138" s="53">
        <f>IFERROR(SUM(F127:F137),"")</f>
        <v>966</v>
      </c>
      <c r="G138" s="53">
        <f>IFERROR(SUM(G127:G137),"")</f>
        <v>43122</v>
      </c>
    </row>
    <row r="139" spans="1:7" ht="21.75" customHeight="1">
      <c r="A139" s="71">
        <v>46185</v>
      </c>
      <c r="B139" s="72" t="s">
        <v>47</v>
      </c>
      <c r="C139" s="48" t="s">
        <v>26</v>
      </c>
      <c r="D139" s="54">
        <f>G127</f>
        <v>4596</v>
      </c>
      <c r="E139" s="50">
        <v>131</v>
      </c>
      <c r="F139" s="51">
        <v>94</v>
      </c>
      <c r="G139" s="52">
        <f>IFERROR(D139+E139-F139,"")</f>
        <v>4633</v>
      </c>
    </row>
    <row r="140" spans="1:7" ht="21.75" customHeight="1">
      <c r="A140" s="71"/>
      <c r="B140" s="71"/>
      <c r="C140" s="48" t="s">
        <v>27</v>
      </c>
      <c r="D140" s="54">
        <f>G128</f>
        <v>3312</v>
      </c>
      <c r="E140" s="50">
        <v>99</v>
      </c>
      <c r="F140" s="51">
        <v>71</v>
      </c>
      <c r="G140" s="52">
        <f>IFERROR(D140+E140-F140,"")</f>
        <v>3340</v>
      </c>
    </row>
    <row r="141" spans="1:7" ht="21.75" customHeight="1">
      <c r="A141" s="71"/>
      <c r="B141" s="71"/>
      <c r="C141" s="48" t="s">
        <v>30</v>
      </c>
      <c r="D141" s="54">
        <f>G129</f>
        <v>5501</v>
      </c>
      <c r="E141" s="50">
        <v>97</v>
      </c>
      <c r="F141" s="51">
        <v>63</v>
      </c>
      <c r="G141" s="52">
        <f>IFERROR(D141+E141-F141,"")</f>
        <v>5535</v>
      </c>
    </row>
    <row r="142" spans="1:7" ht="21.75" customHeight="1">
      <c r="A142" s="71"/>
      <c r="B142" s="71"/>
      <c r="C142" s="48" t="s">
        <v>32</v>
      </c>
      <c r="D142" s="54">
        <f>G130</f>
        <v>2276</v>
      </c>
      <c r="E142" s="50">
        <v>88</v>
      </c>
      <c r="F142" s="51">
        <v>79</v>
      </c>
      <c r="G142" s="52">
        <f>IFERROR(D142+E142-F142,"")</f>
        <v>2285</v>
      </c>
    </row>
    <row r="143" spans="1:7" ht="21.75" customHeight="1">
      <c r="A143" s="71"/>
      <c r="B143" s="71"/>
      <c r="C143" s="48" t="s">
        <v>34</v>
      </c>
      <c r="D143" s="54">
        <f>G131</f>
        <v>5612</v>
      </c>
      <c r="E143" s="50">
        <v>161</v>
      </c>
      <c r="F143" s="51">
        <v>128</v>
      </c>
      <c r="G143" s="52">
        <f>IFERROR(D143+E143-F143,"")</f>
        <v>5645</v>
      </c>
    </row>
    <row r="144" spans="1:7" ht="21.75" customHeight="1">
      <c r="A144" s="71"/>
      <c r="B144" s="71"/>
      <c r="C144" s="48" t="s">
        <v>25</v>
      </c>
      <c r="D144" s="54">
        <f>G132</f>
        <v>2861</v>
      </c>
      <c r="E144" s="50">
        <v>63</v>
      </c>
      <c r="F144" s="51">
        <v>47</v>
      </c>
      <c r="G144" s="52">
        <f>IFERROR(D144+E144-F144,"")</f>
        <v>2877</v>
      </c>
    </row>
    <row r="145" spans="1:7" ht="21.75" customHeight="1">
      <c r="A145" s="71"/>
      <c r="B145" s="71"/>
      <c r="C145" s="48" t="s">
        <v>35</v>
      </c>
      <c r="D145" s="54">
        <f>G133</f>
        <v>3118</v>
      </c>
      <c r="E145" s="50">
        <v>93</v>
      </c>
      <c r="F145" s="51">
        <v>76</v>
      </c>
      <c r="G145" s="52">
        <f>IFERROR(D145+E145-F145,"")</f>
        <v>3135</v>
      </c>
    </row>
    <row r="146" spans="1:7" ht="21.75" customHeight="1">
      <c r="A146" s="71"/>
      <c r="B146" s="71"/>
      <c r="C146" s="48" t="s">
        <v>29</v>
      </c>
      <c r="D146" s="54">
        <f>G134</f>
        <v>3650</v>
      </c>
      <c r="E146" s="50">
        <v>120</v>
      </c>
      <c r="F146" s="51">
        <v>101</v>
      </c>
      <c r="G146" s="52">
        <f>IFERROR(D146+E146-F146,"")</f>
        <v>3669</v>
      </c>
    </row>
    <row r="147" spans="1:7" ht="21.75" customHeight="1">
      <c r="A147" s="71"/>
      <c r="B147" s="71"/>
      <c r="C147" s="48" t="s">
        <v>31</v>
      </c>
      <c r="D147" s="54">
        <f>G135</f>
        <v>4665</v>
      </c>
      <c r="E147" s="50">
        <v>125</v>
      </c>
      <c r="F147" s="51">
        <v>103</v>
      </c>
      <c r="G147" s="52">
        <f>IFERROR(D147+E147-F147,"")</f>
        <v>4687</v>
      </c>
    </row>
    <row r="148" spans="1:7" ht="21.75" customHeight="1">
      <c r="A148" s="71"/>
      <c r="B148" s="71"/>
      <c r="C148" s="48" t="s">
        <v>33</v>
      </c>
      <c r="D148" s="54">
        <f>G136</f>
        <v>1714</v>
      </c>
      <c r="E148" s="50">
        <v>77</v>
      </c>
      <c r="F148" s="51">
        <v>72</v>
      </c>
      <c r="G148" s="52">
        <f>IFERROR(D148+E148-F148,"")</f>
        <v>1719</v>
      </c>
    </row>
    <row r="149" spans="1:7" ht="21.75" customHeight="1">
      <c r="A149" s="71"/>
      <c r="B149" s="71"/>
      <c r="C149" s="48" t="s">
        <v>36</v>
      </c>
      <c r="D149" s="54">
        <f>G137</f>
        <v>5817</v>
      </c>
      <c r="E149" s="50">
        <v>111</v>
      </c>
      <c r="F149" s="51">
        <v>78</v>
      </c>
      <c r="G149" s="52">
        <f>IFERROR(D149+E149-F149,"")</f>
        <v>5850</v>
      </c>
    </row>
    <row r="150" spans="1:7" ht="21.75" customHeight="1">
      <c r="A150" s="73" t="s">
        <v>232</v>
      </c>
      <c r="B150" s="73"/>
      <c r="C150" s="73"/>
      <c r="D150" s="53">
        <f>IFERROR(SUM(D139:D149),"")</f>
        <v>43122</v>
      </c>
      <c r="E150" s="53">
        <f>IFERROR(SUM(E139:E149),"")</f>
        <v>1165</v>
      </c>
      <c r="F150" s="53">
        <f>IFERROR(SUM(F139:F149),"")</f>
        <v>912</v>
      </c>
      <c r="G150" s="53">
        <f>IFERROR(SUM(G139:G149),"")</f>
        <v>43375</v>
      </c>
    </row>
    <row r="151" spans="1:7" ht="21.75" customHeight="1">
      <c r="A151" s="74">
        <v>46186</v>
      </c>
      <c r="B151" s="75" t="s">
        <v>48</v>
      </c>
      <c r="C151" s="48" t="s">
        <v>26</v>
      </c>
      <c r="D151" s="54">
        <f>G139</f>
        <v>4633</v>
      </c>
      <c r="E151" s="50">
        <v>60</v>
      </c>
      <c r="F151" s="51">
        <v>42</v>
      </c>
      <c r="G151" s="52">
        <f>IFERROR(D151+E151-F151,"")</f>
        <v>4651</v>
      </c>
    </row>
    <row r="152" spans="1:7" ht="21.75" customHeight="1">
      <c r="A152" s="74"/>
      <c r="B152" s="74"/>
      <c r="C152" s="48" t="s">
        <v>27</v>
      </c>
      <c r="D152" s="54">
        <f>G140</f>
        <v>3340</v>
      </c>
      <c r="E152" s="50">
        <v>37</v>
      </c>
      <c r="F152" s="51">
        <v>26</v>
      </c>
      <c r="G152" s="52">
        <f>IFERROR(D152+E152-F152,"")</f>
        <v>3351</v>
      </c>
    </row>
    <row r="153" spans="1:7" ht="21.75" customHeight="1">
      <c r="A153" s="74"/>
      <c r="B153" s="74"/>
      <c r="C153" s="48" t="s">
        <v>30</v>
      </c>
      <c r="D153" s="54">
        <f>G141</f>
        <v>5535</v>
      </c>
      <c r="E153" s="50">
        <v>39</v>
      </c>
      <c r="F153" s="51">
        <v>27</v>
      </c>
      <c r="G153" s="52">
        <f>IFERROR(D153+E153-F153,"")</f>
        <v>5547</v>
      </c>
    </row>
    <row r="154" spans="1:7" ht="21.75" customHeight="1">
      <c r="A154" s="74"/>
      <c r="B154" s="74"/>
      <c r="C154" s="48" t="s">
        <v>32</v>
      </c>
      <c r="D154" s="54">
        <f>G142</f>
        <v>2285</v>
      </c>
      <c r="E154" s="50">
        <v>48</v>
      </c>
      <c r="F154" s="51">
        <v>45</v>
      </c>
      <c r="G154" s="52">
        <f>IFERROR(D154+E154-F154,"")</f>
        <v>2288</v>
      </c>
    </row>
    <row r="155" spans="1:7" ht="21.75" customHeight="1">
      <c r="A155" s="74"/>
      <c r="B155" s="74"/>
      <c r="C155" s="48" t="s">
        <v>34</v>
      </c>
      <c r="D155" s="54">
        <f>G143</f>
        <v>5645</v>
      </c>
      <c r="E155" s="50">
        <v>66</v>
      </c>
      <c r="F155" s="51">
        <v>43</v>
      </c>
      <c r="G155" s="52">
        <f>IFERROR(D155+E155-F155,"")</f>
        <v>5668</v>
      </c>
    </row>
    <row r="156" spans="1:7" ht="21.75" customHeight="1">
      <c r="A156" s="74"/>
      <c r="B156" s="74"/>
      <c r="C156" s="48" t="s">
        <v>25</v>
      </c>
      <c r="D156" s="54">
        <f>G144</f>
        <v>2877</v>
      </c>
      <c r="E156" s="50">
        <v>30</v>
      </c>
      <c r="F156" s="51">
        <v>26</v>
      </c>
      <c r="G156" s="52">
        <f>IFERROR(D156+E156-F156,"")</f>
        <v>2881</v>
      </c>
    </row>
    <row r="157" spans="1:7" ht="21.75" customHeight="1">
      <c r="A157" s="74"/>
      <c r="B157" s="74"/>
      <c r="C157" s="48" t="s">
        <v>35</v>
      </c>
      <c r="D157" s="54">
        <f>G145</f>
        <v>3135</v>
      </c>
      <c r="E157" s="50">
        <v>50</v>
      </c>
      <c r="F157" s="51">
        <v>45</v>
      </c>
      <c r="G157" s="52">
        <f>IFERROR(D157+E157-F157,"")</f>
        <v>3140</v>
      </c>
    </row>
    <row r="158" spans="1:7" ht="21.75" customHeight="1">
      <c r="A158" s="74"/>
      <c r="B158" s="74"/>
      <c r="C158" s="48" t="s">
        <v>29</v>
      </c>
      <c r="D158" s="54">
        <f>G146</f>
        <v>3669</v>
      </c>
      <c r="E158" s="50">
        <v>46</v>
      </c>
      <c r="F158" s="51">
        <v>33</v>
      </c>
      <c r="G158" s="52">
        <f>IFERROR(D158+E158-F158,"")</f>
        <v>3682</v>
      </c>
    </row>
    <row r="159" spans="1:7" ht="21.75" customHeight="1">
      <c r="A159" s="74"/>
      <c r="B159" s="74"/>
      <c r="C159" s="48" t="s">
        <v>31</v>
      </c>
      <c r="D159" s="54">
        <f>G147</f>
        <v>4687</v>
      </c>
      <c r="E159" s="50">
        <v>44</v>
      </c>
      <c r="F159" s="51">
        <v>35</v>
      </c>
      <c r="G159" s="52">
        <f>IFERROR(D159+E159-F159,"")</f>
        <v>4696</v>
      </c>
    </row>
    <row r="160" spans="1:7" ht="21.75" customHeight="1">
      <c r="A160" s="74"/>
      <c r="B160" s="74"/>
      <c r="C160" s="48" t="s">
        <v>33</v>
      </c>
      <c r="D160" s="54">
        <f>G148</f>
        <v>1719</v>
      </c>
      <c r="E160" s="50">
        <v>38</v>
      </c>
      <c r="F160" s="51">
        <v>36</v>
      </c>
      <c r="G160" s="52">
        <f>IFERROR(D160+E160-F160,"")</f>
        <v>1721</v>
      </c>
    </row>
    <row r="161" spans="1:7" ht="21.75" customHeight="1">
      <c r="A161" s="74"/>
      <c r="B161" s="74"/>
      <c r="C161" s="48" t="s">
        <v>36</v>
      </c>
      <c r="D161" s="54">
        <f>G149</f>
        <v>5850</v>
      </c>
      <c r="E161" s="50">
        <v>69</v>
      </c>
      <c r="F161" s="51">
        <v>46</v>
      </c>
      <c r="G161" s="52">
        <f>IFERROR(D161+E161-F161,"")</f>
        <v>5873</v>
      </c>
    </row>
    <row r="162" spans="1:7" ht="21.75" customHeight="1">
      <c r="A162" s="73" t="s">
        <v>233</v>
      </c>
      <c r="B162" s="73"/>
      <c r="C162" s="73"/>
      <c r="D162" s="53">
        <f>IFERROR(SUM(D151:D161),"")</f>
        <v>43375</v>
      </c>
      <c r="E162" s="53">
        <f>IFERROR(SUM(E151:E161),"")</f>
        <v>527</v>
      </c>
      <c r="F162" s="53">
        <f>IFERROR(SUM(F151:F161),"")</f>
        <v>404</v>
      </c>
      <c r="G162" s="53">
        <f>IFERROR(SUM(G151:G161),"")</f>
        <v>43498</v>
      </c>
    </row>
    <row r="163" spans="1:7" ht="21.75" customHeight="1">
      <c r="A163" s="74">
        <v>46187</v>
      </c>
      <c r="B163" s="75" t="s">
        <v>50</v>
      </c>
      <c r="C163" s="48" t="s">
        <v>26</v>
      </c>
      <c r="D163" s="54">
        <f>G151</f>
        <v>4651</v>
      </c>
      <c r="E163" s="50">
        <v>69</v>
      </c>
      <c r="F163" s="51">
        <v>49</v>
      </c>
      <c r="G163" s="52">
        <f>IFERROR(D163+E163-F163,"")</f>
        <v>4671</v>
      </c>
    </row>
    <row r="164" spans="1:7" ht="21.75" customHeight="1">
      <c r="A164" s="74"/>
      <c r="B164" s="74"/>
      <c r="C164" s="48" t="s">
        <v>27</v>
      </c>
      <c r="D164" s="54">
        <f>G152</f>
        <v>3351</v>
      </c>
      <c r="E164" s="50">
        <v>31</v>
      </c>
      <c r="F164" s="51">
        <v>21</v>
      </c>
      <c r="G164" s="52">
        <f>IFERROR(D164+E164-F164,"")</f>
        <v>3361</v>
      </c>
    </row>
    <row r="165" spans="1:7" ht="21.75" customHeight="1">
      <c r="A165" s="74"/>
      <c r="B165" s="74"/>
      <c r="C165" s="48" t="s">
        <v>30</v>
      </c>
      <c r="D165" s="54">
        <f>G153</f>
        <v>5547</v>
      </c>
      <c r="E165" s="50">
        <v>54</v>
      </c>
      <c r="F165" s="51">
        <v>39</v>
      </c>
      <c r="G165" s="52">
        <f>IFERROR(D165+E165-F165,"")</f>
        <v>5562</v>
      </c>
    </row>
    <row r="166" spans="1:7" ht="21.75" customHeight="1">
      <c r="A166" s="74"/>
      <c r="B166" s="74"/>
      <c r="C166" s="48" t="s">
        <v>32</v>
      </c>
      <c r="D166" s="54">
        <f>G154</f>
        <v>2288</v>
      </c>
      <c r="E166" s="50">
        <v>54</v>
      </c>
      <c r="F166" s="51">
        <v>44</v>
      </c>
      <c r="G166" s="52">
        <f>IFERROR(D166+E166-F166,"")</f>
        <v>2298</v>
      </c>
    </row>
    <row r="167" spans="1:7" ht="21.75" customHeight="1">
      <c r="A167" s="74"/>
      <c r="B167" s="74"/>
      <c r="C167" s="48" t="s">
        <v>34</v>
      </c>
      <c r="D167" s="54">
        <f>G155</f>
        <v>5668</v>
      </c>
      <c r="E167" s="50">
        <v>74</v>
      </c>
      <c r="F167" s="51">
        <v>45</v>
      </c>
      <c r="G167" s="52">
        <f>IFERROR(D167+E167-F167,"")</f>
        <v>5697</v>
      </c>
    </row>
    <row r="168" spans="1:7" ht="21.75" customHeight="1">
      <c r="A168" s="74"/>
      <c r="B168" s="74"/>
      <c r="C168" s="48" t="s">
        <v>25</v>
      </c>
      <c r="D168" s="54">
        <f>G156</f>
        <v>2881</v>
      </c>
      <c r="E168" s="50">
        <v>26</v>
      </c>
      <c r="F168" s="51">
        <v>20</v>
      </c>
      <c r="G168" s="52">
        <f>IFERROR(D168+E168-F168,"")</f>
        <v>2887</v>
      </c>
    </row>
    <row r="169" spans="1:7" ht="21.75" customHeight="1">
      <c r="A169" s="74"/>
      <c r="B169" s="74"/>
      <c r="C169" s="48" t="s">
        <v>35</v>
      </c>
      <c r="D169" s="54">
        <f>G157</f>
        <v>3140</v>
      </c>
      <c r="E169" s="50">
        <v>38</v>
      </c>
      <c r="F169" s="51">
        <v>31</v>
      </c>
      <c r="G169" s="52">
        <f>IFERROR(D169+E169-F169,"")</f>
        <v>3147</v>
      </c>
    </row>
    <row r="170" spans="1:7" ht="21.75" customHeight="1">
      <c r="A170" s="74"/>
      <c r="B170" s="74"/>
      <c r="C170" s="48" t="s">
        <v>29</v>
      </c>
      <c r="D170" s="54">
        <f>G158</f>
        <v>3682</v>
      </c>
      <c r="E170" s="50">
        <v>49</v>
      </c>
      <c r="F170" s="51">
        <v>38</v>
      </c>
      <c r="G170" s="52">
        <f>IFERROR(D170+E170-F170,"")</f>
        <v>3693</v>
      </c>
    </row>
    <row r="171" spans="1:7" ht="21.75" customHeight="1">
      <c r="A171" s="74"/>
      <c r="B171" s="74"/>
      <c r="C171" s="48" t="s">
        <v>31</v>
      </c>
      <c r="D171" s="54">
        <f>G159</f>
        <v>4696</v>
      </c>
      <c r="E171" s="50">
        <v>57</v>
      </c>
      <c r="F171" s="51">
        <v>36</v>
      </c>
      <c r="G171" s="52">
        <f>IFERROR(D171+E171-F171,"")</f>
        <v>4717</v>
      </c>
    </row>
    <row r="172" spans="1:7" ht="21.75" customHeight="1">
      <c r="A172" s="74"/>
      <c r="B172" s="74"/>
      <c r="C172" s="48" t="s">
        <v>33</v>
      </c>
      <c r="D172" s="54">
        <f>G160</f>
        <v>1721</v>
      </c>
      <c r="E172" s="50">
        <v>34</v>
      </c>
      <c r="F172" s="51">
        <v>26</v>
      </c>
      <c r="G172" s="52">
        <f>IFERROR(D172+E172-F172,"")</f>
        <v>1729</v>
      </c>
    </row>
    <row r="173" spans="1:7" ht="21.75" customHeight="1">
      <c r="A173" s="74"/>
      <c r="B173" s="74"/>
      <c r="C173" s="48" t="s">
        <v>36</v>
      </c>
      <c r="D173" s="54">
        <f>G161</f>
        <v>5873</v>
      </c>
      <c r="E173" s="50">
        <v>74</v>
      </c>
      <c r="F173" s="51">
        <v>53</v>
      </c>
      <c r="G173" s="52">
        <f>IFERROR(D173+E173-F173,"")</f>
        <v>5894</v>
      </c>
    </row>
    <row r="174" spans="1:7" ht="21.75" customHeight="1">
      <c r="A174" s="73" t="s">
        <v>234</v>
      </c>
      <c r="B174" s="73"/>
      <c r="C174" s="73"/>
      <c r="D174" s="53">
        <f>IFERROR(SUM(D163:D173),"")</f>
        <v>43498</v>
      </c>
      <c r="E174" s="53">
        <f>IFERROR(SUM(E163:E173),"")</f>
        <v>560</v>
      </c>
      <c r="F174" s="53">
        <f>IFERROR(SUM(F163:F173),"")</f>
        <v>402</v>
      </c>
      <c r="G174" s="53">
        <f>IFERROR(SUM(G163:G173),"")</f>
        <v>43656</v>
      </c>
    </row>
    <row r="175" spans="1:7" ht="21.75" customHeight="1">
      <c r="A175" s="71">
        <v>46188</v>
      </c>
      <c r="B175" s="72" t="s">
        <v>51</v>
      </c>
      <c r="C175" s="48" t="s">
        <v>26</v>
      </c>
      <c r="D175" s="54">
        <f>G163</f>
        <v>4671</v>
      </c>
      <c r="E175" s="50">
        <v>150</v>
      </c>
      <c r="F175" s="51">
        <v>105</v>
      </c>
      <c r="G175" s="52">
        <f>IFERROR(D175+E175-F175,"")</f>
        <v>4716</v>
      </c>
    </row>
    <row r="176" spans="1:7" ht="21.75" customHeight="1">
      <c r="A176" s="71"/>
      <c r="B176" s="71"/>
      <c r="C176" s="48" t="s">
        <v>27</v>
      </c>
      <c r="D176" s="54">
        <f>G164</f>
        <v>3361</v>
      </c>
      <c r="E176" s="50">
        <v>122</v>
      </c>
      <c r="F176" s="51">
        <v>104</v>
      </c>
      <c r="G176" s="52">
        <f>IFERROR(D176+E176-F176,"")</f>
        <v>3379</v>
      </c>
    </row>
    <row r="177" spans="1:7" ht="21.75" customHeight="1">
      <c r="A177" s="71"/>
      <c r="B177" s="71"/>
      <c r="C177" s="48" t="s">
        <v>30</v>
      </c>
      <c r="D177" s="54">
        <f>G165</f>
        <v>5562</v>
      </c>
      <c r="E177" s="50">
        <v>105</v>
      </c>
      <c r="F177" s="51">
        <v>67</v>
      </c>
      <c r="G177" s="52">
        <f>IFERROR(D177+E177-F177,"")</f>
        <v>5600</v>
      </c>
    </row>
    <row r="178" spans="1:7" ht="21.75" customHeight="1">
      <c r="A178" s="71"/>
      <c r="B178" s="71"/>
      <c r="C178" s="48" t="s">
        <v>32</v>
      </c>
      <c r="D178" s="54">
        <f>G166</f>
        <v>2298</v>
      </c>
      <c r="E178" s="50">
        <v>66</v>
      </c>
      <c r="F178" s="51">
        <v>55</v>
      </c>
      <c r="G178" s="52">
        <f>IFERROR(D178+E178-F178,"")</f>
        <v>2309</v>
      </c>
    </row>
    <row r="179" spans="1:7" ht="21.75" customHeight="1">
      <c r="A179" s="71"/>
      <c r="B179" s="71"/>
      <c r="C179" s="48" t="s">
        <v>34</v>
      </c>
      <c r="D179" s="54">
        <f>G167</f>
        <v>5697</v>
      </c>
      <c r="E179" s="50">
        <v>147</v>
      </c>
      <c r="F179" s="51">
        <v>116</v>
      </c>
      <c r="G179" s="52">
        <f>IFERROR(D179+E179-F179,"")</f>
        <v>5728</v>
      </c>
    </row>
    <row r="180" spans="1:7" ht="21.75" customHeight="1">
      <c r="A180" s="71"/>
      <c r="B180" s="71"/>
      <c r="C180" s="48" t="s">
        <v>25</v>
      </c>
      <c r="D180" s="54">
        <f>G168</f>
        <v>2887</v>
      </c>
      <c r="E180" s="50">
        <v>71</v>
      </c>
      <c r="F180" s="51">
        <v>56</v>
      </c>
      <c r="G180" s="52">
        <f>IFERROR(D180+E180-F180,"")</f>
        <v>2902</v>
      </c>
    </row>
    <row r="181" spans="1:7" ht="21.75" customHeight="1">
      <c r="A181" s="71"/>
      <c r="B181" s="71"/>
      <c r="C181" s="48" t="s">
        <v>35</v>
      </c>
      <c r="D181" s="54">
        <f>G169</f>
        <v>3147</v>
      </c>
      <c r="E181" s="50">
        <v>121</v>
      </c>
      <c r="F181" s="51">
        <v>111</v>
      </c>
      <c r="G181" s="52">
        <f>IFERROR(D181+E181-F181,"")</f>
        <v>3157</v>
      </c>
    </row>
    <row r="182" spans="1:7" ht="21.75" customHeight="1">
      <c r="A182" s="71"/>
      <c r="B182" s="71"/>
      <c r="C182" s="48" t="s">
        <v>29</v>
      </c>
      <c r="D182" s="54">
        <f>G170</f>
        <v>3693</v>
      </c>
      <c r="E182" s="50">
        <v>74</v>
      </c>
      <c r="F182" s="51">
        <v>54</v>
      </c>
      <c r="G182" s="52">
        <f>IFERROR(D182+E182-F182,"")</f>
        <v>3713</v>
      </c>
    </row>
    <row r="183" spans="1:7" ht="21.75" customHeight="1">
      <c r="A183" s="71"/>
      <c r="B183" s="71"/>
      <c r="C183" s="48" t="s">
        <v>31</v>
      </c>
      <c r="D183" s="54">
        <f>G171</f>
        <v>4717</v>
      </c>
      <c r="E183" s="50">
        <v>150</v>
      </c>
      <c r="F183" s="51">
        <v>108</v>
      </c>
      <c r="G183" s="52">
        <f>IFERROR(D183+E183-F183,"")</f>
        <v>4759</v>
      </c>
    </row>
    <row r="184" spans="1:7" ht="21.75" customHeight="1">
      <c r="A184" s="71"/>
      <c r="B184" s="71"/>
      <c r="C184" s="48" t="s">
        <v>33</v>
      </c>
      <c r="D184" s="54">
        <f>G172</f>
        <v>1729</v>
      </c>
      <c r="E184" s="50">
        <v>87</v>
      </c>
      <c r="F184" s="51">
        <v>68</v>
      </c>
      <c r="G184" s="52">
        <f>IFERROR(D184+E184-F184,"")</f>
        <v>1748</v>
      </c>
    </row>
    <row r="185" spans="1:7" ht="21.75" customHeight="1">
      <c r="A185" s="71"/>
      <c r="B185" s="71"/>
      <c r="C185" s="48" t="s">
        <v>36</v>
      </c>
      <c r="D185" s="54">
        <f>G173</f>
        <v>5894</v>
      </c>
      <c r="E185" s="50">
        <v>100</v>
      </c>
      <c r="F185" s="51">
        <v>62</v>
      </c>
      <c r="G185" s="52">
        <f>IFERROR(D185+E185-F185,"")</f>
        <v>5932</v>
      </c>
    </row>
    <row r="186" spans="1:7" ht="21.75" customHeight="1">
      <c r="A186" s="73" t="s">
        <v>235</v>
      </c>
      <c r="B186" s="73"/>
      <c r="C186" s="73"/>
      <c r="D186" s="53">
        <f>IFERROR(SUM(D175:D185),"")</f>
        <v>43656</v>
      </c>
      <c r="E186" s="53">
        <f>IFERROR(SUM(E175:E185),"")</f>
        <v>1193</v>
      </c>
      <c r="F186" s="53">
        <f>IFERROR(SUM(F175:F185),"")</f>
        <v>906</v>
      </c>
      <c r="G186" s="53">
        <f>IFERROR(SUM(G175:G185),"")</f>
        <v>43943</v>
      </c>
    </row>
    <row r="187" spans="1:7" ht="21.75" customHeight="1">
      <c r="A187" s="71">
        <v>46189</v>
      </c>
      <c r="B187" s="72" t="s">
        <v>52</v>
      </c>
      <c r="C187" s="48" t="s">
        <v>26</v>
      </c>
      <c r="D187" s="54">
        <f>G175</f>
        <v>4716</v>
      </c>
      <c r="E187" s="50">
        <v>121</v>
      </c>
      <c r="F187" s="51">
        <v>97</v>
      </c>
      <c r="G187" s="52">
        <f>IFERROR(D187+E187-F187,"")</f>
        <v>4740</v>
      </c>
    </row>
    <row r="188" spans="1:7" ht="21.75" customHeight="1">
      <c r="A188" s="71"/>
      <c r="B188" s="71"/>
      <c r="C188" s="48" t="s">
        <v>27</v>
      </c>
      <c r="D188" s="54">
        <f>G176</f>
        <v>3379</v>
      </c>
      <c r="E188" s="50">
        <v>90</v>
      </c>
      <c r="F188" s="51">
        <v>68</v>
      </c>
      <c r="G188" s="52">
        <f>IFERROR(D188+E188-F188,"")</f>
        <v>3401</v>
      </c>
    </row>
    <row r="189" spans="1:7" ht="21.75" customHeight="1">
      <c r="A189" s="71"/>
      <c r="B189" s="71"/>
      <c r="C189" s="48" t="s">
        <v>30</v>
      </c>
      <c r="D189" s="54">
        <f>G177</f>
        <v>5600</v>
      </c>
      <c r="E189" s="50">
        <v>140</v>
      </c>
      <c r="F189" s="51">
        <v>103</v>
      </c>
      <c r="G189" s="52">
        <f>IFERROR(D189+E189-F189,"")</f>
        <v>5637</v>
      </c>
    </row>
    <row r="190" spans="1:7" ht="21.75" customHeight="1">
      <c r="A190" s="71"/>
      <c r="B190" s="71"/>
      <c r="C190" s="48" t="s">
        <v>32</v>
      </c>
      <c r="D190" s="54">
        <f>G178</f>
        <v>2309</v>
      </c>
      <c r="E190" s="50">
        <v>107</v>
      </c>
      <c r="F190" s="51">
        <v>89</v>
      </c>
      <c r="G190" s="52">
        <f>IFERROR(D190+E190-F190,"")</f>
        <v>2327</v>
      </c>
    </row>
    <row r="191" spans="1:7" ht="21.75" customHeight="1">
      <c r="A191" s="71"/>
      <c r="B191" s="71"/>
      <c r="C191" s="48" t="s">
        <v>34</v>
      </c>
      <c r="D191" s="54">
        <f>G179</f>
        <v>5728</v>
      </c>
      <c r="E191" s="50">
        <v>175</v>
      </c>
      <c r="F191" s="51">
        <v>129</v>
      </c>
      <c r="G191" s="52">
        <f>IFERROR(D191+E191-F191,"")</f>
        <v>5774</v>
      </c>
    </row>
    <row r="192" spans="1:7" ht="21.75" customHeight="1">
      <c r="A192" s="71"/>
      <c r="B192" s="71"/>
      <c r="C192" s="48" t="s">
        <v>25</v>
      </c>
      <c r="D192" s="54">
        <f>G180</f>
        <v>2902</v>
      </c>
      <c r="E192" s="50">
        <v>82</v>
      </c>
      <c r="F192" s="51">
        <v>71</v>
      </c>
      <c r="G192" s="52">
        <f>IFERROR(D192+E192-F192,"")</f>
        <v>2913</v>
      </c>
    </row>
    <row r="193" spans="1:7" ht="21.75" customHeight="1">
      <c r="A193" s="71"/>
      <c r="B193" s="71"/>
      <c r="C193" s="48" t="s">
        <v>35</v>
      </c>
      <c r="D193" s="54">
        <f>G181</f>
        <v>3157</v>
      </c>
      <c r="E193" s="50">
        <v>137</v>
      </c>
      <c r="F193" s="51">
        <v>120</v>
      </c>
      <c r="G193" s="52">
        <f>IFERROR(D193+E193-F193,"")</f>
        <v>3174</v>
      </c>
    </row>
    <row r="194" spans="1:7" ht="21.75" customHeight="1">
      <c r="A194" s="71"/>
      <c r="B194" s="71"/>
      <c r="C194" s="48" t="s">
        <v>29</v>
      </c>
      <c r="D194" s="54">
        <f>G182</f>
        <v>3713</v>
      </c>
      <c r="E194" s="50">
        <v>101</v>
      </c>
      <c r="F194" s="51">
        <v>75</v>
      </c>
      <c r="G194" s="52">
        <f>IFERROR(D194+E194-F194,"")</f>
        <v>3739</v>
      </c>
    </row>
    <row r="195" spans="1:7" ht="21.75" customHeight="1">
      <c r="A195" s="71"/>
      <c r="B195" s="71"/>
      <c r="C195" s="48" t="s">
        <v>31</v>
      </c>
      <c r="D195" s="54">
        <f>G183</f>
        <v>4759</v>
      </c>
      <c r="E195" s="50">
        <v>145</v>
      </c>
      <c r="F195" s="51">
        <v>118</v>
      </c>
      <c r="G195" s="52">
        <f>IFERROR(D195+E195-F195,"")</f>
        <v>4786</v>
      </c>
    </row>
    <row r="196" spans="1:7" ht="21.75" customHeight="1">
      <c r="A196" s="71"/>
      <c r="B196" s="71"/>
      <c r="C196" s="48" t="s">
        <v>33</v>
      </c>
      <c r="D196" s="54">
        <f>G184</f>
        <v>1748</v>
      </c>
      <c r="E196" s="50">
        <v>56</v>
      </c>
      <c r="F196" s="51">
        <v>48</v>
      </c>
      <c r="G196" s="52">
        <f>IFERROR(D196+E196-F196,"")</f>
        <v>1756</v>
      </c>
    </row>
    <row r="197" spans="1:7" ht="21.75" customHeight="1">
      <c r="A197" s="71"/>
      <c r="B197" s="71"/>
      <c r="C197" s="48" t="s">
        <v>36</v>
      </c>
      <c r="D197" s="54">
        <f>G185</f>
        <v>5932</v>
      </c>
      <c r="E197" s="50">
        <v>137</v>
      </c>
      <c r="F197" s="51">
        <v>104</v>
      </c>
      <c r="G197" s="52">
        <f>IFERROR(D197+E197-F197,"")</f>
        <v>5965</v>
      </c>
    </row>
    <row r="198" spans="1:7" ht="21.75" customHeight="1">
      <c r="A198" s="73" t="s">
        <v>236</v>
      </c>
      <c r="B198" s="73"/>
      <c r="C198" s="73"/>
      <c r="D198" s="53">
        <f>IFERROR(SUM(D187:D197),"")</f>
        <v>43943</v>
      </c>
      <c r="E198" s="53">
        <f>IFERROR(SUM(E187:E197),"")</f>
        <v>1291</v>
      </c>
      <c r="F198" s="53">
        <f>IFERROR(SUM(F187:F197),"")</f>
        <v>1022</v>
      </c>
      <c r="G198" s="53">
        <f>IFERROR(SUM(G187:G197),"")</f>
        <v>44212</v>
      </c>
    </row>
    <row r="199" spans="1:7" ht="21.75" customHeight="1">
      <c r="A199" s="71">
        <v>46190</v>
      </c>
      <c r="B199" s="72" t="s">
        <v>53</v>
      </c>
      <c r="C199" s="48" t="s">
        <v>26</v>
      </c>
      <c r="D199" s="54">
        <f>G187</f>
        <v>4740</v>
      </c>
      <c r="E199" s="50">
        <v>140</v>
      </c>
      <c r="F199" s="51">
        <v>99</v>
      </c>
      <c r="G199" s="52">
        <f>IFERROR(D199+E199-F199,"")</f>
        <v>4781</v>
      </c>
    </row>
    <row r="200" spans="1:7" ht="21.75" customHeight="1">
      <c r="A200" s="71"/>
      <c r="B200" s="71"/>
      <c r="C200" s="48" t="s">
        <v>27</v>
      </c>
      <c r="D200" s="54">
        <f>G188</f>
        <v>3401</v>
      </c>
      <c r="E200" s="50">
        <v>111</v>
      </c>
      <c r="F200" s="51">
        <v>95</v>
      </c>
      <c r="G200" s="52">
        <f>IFERROR(D200+E200-F200,"")</f>
        <v>3417</v>
      </c>
    </row>
    <row r="201" spans="1:7" ht="21.75" customHeight="1">
      <c r="A201" s="71"/>
      <c r="B201" s="71"/>
      <c r="C201" s="48" t="s">
        <v>30</v>
      </c>
      <c r="D201" s="54">
        <f>G189</f>
        <v>5637</v>
      </c>
      <c r="E201" s="50">
        <v>119</v>
      </c>
      <c r="F201" s="51">
        <v>94</v>
      </c>
      <c r="G201" s="52">
        <f>IFERROR(D201+E201-F201,"")</f>
        <v>5662</v>
      </c>
    </row>
    <row r="202" spans="1:7" ht="21.75" customHeight="1">
      <c r="A202" s="71"/>
      <c r="B202" s="71"/>
      <c r="C202" s="48" t="s">
        <v>32</v>
      </c>
      <c r="D202" s="54">
        <f>G190</f>
        <v>2327</v>
      </c>
      <c r="E202" s="50">
        <v>63</v>
      </c>
      <c r="F202" s="51">
        <v>56</v>
      </c>
      <c r="G202" s="52">
        <f>IFERROR(D202+E202-F202,"")</f>
        <v>2334</v>
      </c>
    </row>
    <row r="203" spans="1:7" ht="21.75" customHeight="1">
      <c r="A203" s="71"/>
      <c r="B203" s="71"/>
      <c r="C203" s="48" t="s">
        <v>34</v>
      </c>
      <c r="D203" s="54">
        <f>G191</f>
        <v>5774</v>
      </c>
      <c r="E203" s="50">
        <v>161</v>
      </c>
      <c r="F203" s="51">
        <v>109</v>
      </c>
      <c r="G203" s="52">
        <f>IFERROR(D203+E203-F203,"")</f>
        <v>5826</v>
      </c>
    </row>
    <row r="204" spans="1:7" ht="21.75" customHeight="1">
      <c r="A204" s="71"/>
      <c r="B204" s="71"/>
      <c r="C204" s="48" t="s">
        <v>25</v>
      </c>
      <c r="D204" s="54">
        <f>G192</f>
        <v>2913</v>
      </c>
      <c r="E204" s="50">
        <v>83</v>
      </c>
      <c r="F204" s="51">
        <v>68</v>
      </c>
      <c r="G204" s="52">
        <f>IFERROR(D204+E204-F204,"")</f>
        <v>2928</v>
      </c>
    </row>
    <row r="205" spans="1:7" ht="21.75" customHeight="1">
      <c r="A205" s="71"/>
      <c r="B205" s="71"/>
      <c r="C205" s="48" t="s">
        <v>35</v>
      </c>
      <c r="D205" s="54">
        <f>G193</f>
        <v>3174</v>
      </c>
      <c r="E205" s="50">
        <v>93</v>
      </c>
      <c r="F205" s="51">
        <v>73</v>
      </c>
      <c r="G205" s="52">
        <f>IFERROR(D205+E205-F205,"")</f>
        <v>3194</v>
      </c>
    </row>
    <row r="206" spans="1:7" ht="21.75" customHeight="1">
      <c r="A206" s="71"/>
      <c r="B206" s="71"/>
      <c r="C206" s="48" t="s">
        <v>29</v>
      </c>
      <c r="D206" s="54">
        <f>G194</f>
        <v>3739</v>
      </c>
      <c r="E206" s="50">
        <v>67</v>
      </c>
      <c r="F206" s="51">
        <v>53</v>
      </c>
      <c r="G206" s="52">
        <f>IFERROR(D206+E206-F206,"")</f>
        <v>3753</v>
      </c>
    </row>
    <row r="207" spans="1:7" ht="21.75" customHeight="1">
      <c r="A207" s="71"/>
      <c r="B207" s="71"/>
      <c r="C207" s="48" t="s">
        <v>31</v>
      </c>
      <c r="D207" s="54">
        <f>G195</f>
        <v>4786</v>
      </c>
      <c r="E207" s="50">
        <v>99</v>
      </c>
      <c r="F207" s="51">
        <v>69</v>
      </c>
      <c r="G207" s="52">
        <f>IFERROR(D207+E207-F207,"")</f>
        <v>4816</v>
      </c>
    </row>
    <row r="208" spans="1:7" ht="21.75" customHeight="1">
      <c r="A208" s="71"/>
      <c r="B208" s="71"/>
      <c r="C208" s="48" t="s">
        <v>33</v>
      </c>
      <c r="D208" s="54">
        <f>G196</f>
        <v>1756</v>
      </c>
      <c r="E208" s="50">
        <v>56</v>
      </c>
      <c r="F208" s="51">
        <v>50</v>
      </c>
      <c r="G208" s="52">
        <f>IFERROR(D208+E208-F208,"")</f>
        <v>1762</v>
      </c>
    </row>
    <row r="209" spans="1:7" ht="21.75" customHeight="1">
      <c r="A209" s="71"/>
      <c r="B209" s="71"/>
      <c r="C209" s="48" t="s">
        <v>36</v>
      </c>
      <c r="D209" s="54">
        <f>G197</f>
        <v>5965</v>
      </c>
      <c r="E209" s="50">
        <v>135</v>
      </c>
      <c r="F209" s="51">
        <v>95</v>
      </c>
      <c r="G209" s="52">
        <f>IFERROR(D209+E209-F209,"")</f>
        <v>6005</v>
      </c>
    </row>
    <row r="210" spans="1:7" ht="21.75" customHeight="1">
      <c r="A210" s="73" t="s">
        <v>237</v>
      </c>
      <c r="B210" s="73"/>
      <c r="C210" s="73"/>
      <c r="D210" s="53">
        <f>IFERROR(SUM(D199:D209),"")</f>
        <v>44212</v>
      </c>
      <c r="E210" s="53">
        <f>IFERROR(SUM(E199:E209),"")</f>
        <v>1127</v>
      </c>
      <c r="F210" s="53">
        <f>IFERROR(SUM(F199:F209),"")</f>
        <v>861</v>
      </c>
      <c r="G210" s="53">
        <f>IFERROR(SUM(G199:G209),"")</f>
        <v>44478</v>
      </c>
    </row>
    <row r="211" spans="1:7" ht="21.75" customHeight="1">
      <c r="A211" s="71">
        <v>46191</v>
      </c>
      <c r="B211" s="72" t="s">
        <v>45</v>
      </c>
      <c r="C211" s="48" t="s">
        <v>26</v>
      </c>
      <c r="D211" s="54">
        <f>G199</f>
        <v>4781</v>
      </c>
      <c r="E211" s="50">
        <v>146</v>
      </c>
      <c r="F211" s="51">
        <v>100</v>
      </c>
      <c r="G211" s="52">
        <f>IFERROR(D211+E211-F211,"")</f>
        <v>4827</v>
      </c>
    </row>
    <row r="212" spans="1:7" ht="21.75" customHeight="1">
      <c r="A212" s="71"/>
      <c r="B212" s="71"/>
      <c r="C212" s="48" t="s">
        <v>27</v>
      </c>
      <c r="D212" s="54">
        <f>G200</f>
        <v>3417</v>
      </c>
      <c r="E212" s="50">
        <v>105</v>
      </c>
      <c r="F212" s="51">
        <v>83</v>
      </c>
      <c r="G212" s="52">
        <f>IFERROR(D212+E212-F212,"")</f>
        <v>3439</v>
      </c>
    </row>
    <row r="213" spans="1:7" ht="21.75" customHeight="1">
      <c r="A213" s="71"/>
      <c r="B213" s="71"/>
      <c r="C213" s="48" t="s">
        <v>30</v>
      </c>
      <c r="D213" s="54">
        <f>G201</f>
        <v>5662</v>
      </c>
      <c r="E213" s="50">
        <v>151</v>
      </c>
      <c r="F213" s="51">
        <v>106</v>
      </c>
      <c r="G213" s="52">
        <f>IFERROR(D213+E213-F213,"")</f>
        <v>5707</v>
      </c>
    </row>
    <row r="214" spans="1:7" ht="21.75" customHeight="1">
      <c r="A214" s="71"/>
      <c r="B214" s="71"/>
      <c r="C214" s="48" t="s">
        <v>32</v>
      </c>
      <c r="D214" s="54">
        <f>G202</f>
        <v>2334</v>
      </c>
      <c r="E214" s="50">
        <v>84</v>
      </c>
      <c r="F214" s="51">
        <v>73</v>
      </c>
      <c r="G214" s="52">
        <f>IFERROR(D214+E214-F214,"")</f>
        <v>2345</v>
      </c>
    </row>
    <row r="215" spans="1:7" ht="21.75" customHeight="1">
      <c r="A215" s="71"/>
      <c r="B215" s="71"/>
      <c r="C215" s="48" t="s">
        <v>34</v>
      </c>
      <c r="D215" s="54">
        <f>G203</f>
        <v>5826</v>
      </c>
      <c r="E215" s="50">
        <v>122</v>
      </c>
      <c r="F215" s="51">
        <v>89</v>
      </c>
      <c r="G215" s="52">
        <f>IFERROR(D215+E215-F215,"")</f>
        <v>5859</v>
      </c>
    </row>
    <row r="216" spans="1:7" ht="21.75" customHeight="1">
      <c r="A216" s="71"/>
      <c r="B216" s="71"/>
      <c r="C216" s="48" t="s">
        <v>25</v>
      </c>
      <c r="D216" s="54">
        <f>G204</f>
        <v>2928</v>
      </c>
      <c r="E216" s="50">
        <v>108</v>
      </c>
      <c r="F216" s="51">
        <v>90</v>
      </c>
      <c r="G216" s="52">
        <f>IFERROR(D216+E216-F216,"")</f>
        <v>2946</v>
      </c>
    </row>
    <row r="217" spans="1:7" ht="21.75" customHeight="1">
      <c r="A217" s="71"/>
      <c r="B217" s="71"/>
      <c r="C217" s="48" t="s">
        <v>35</v>
      </c>
      <c r="D217" s="54">
        <f>G205</f>
        <v>3194</v>
      </c>
      <c r="E217" s="50">
        <v>118</v>
      </c>
      <c r="F217" s="51">
        <v>101</v>
      </c>
      <c r="G217" s="52">
        <f>IFERROR(D217+E217-F217,"")</f>
        <v>3211</v>
      </c>
    </row>
    <row r="218" spans="1:7" ht="21.75" customHeight="1">
      <c r="A218" s="71"/>
      <c r="B218" s="71"/>
      <c r="C218" s="48" t="s">
        <v>29</v>
      </c>
      <c r="D218" s="54">
        <f>G206</f>
        <v>3753</v>
      </c>
      <c r="E218" s="50">
        <v>87</v>
      </c>
      <c r="F218" s="51">
        <v>65</v>
      </c>
      <c r="G218" s="52">
        <f>IFERROR(D218+E218-F218,"")</f>
        <v>3775</v>
      </c>
    </row>
    <row r="219" spans="1:7" ht="21.75" customHeight="1">
      <c r="A219" s="71"/>
      <c r="B219" s="71"/>
      <c r="C219" s="48" t="s">
        <v>31</v>
      </c>
      <c r="D219" s="54">
        <f>G207</f>
        <v>4816</v>
      </c>
      <c r="E219" s="50">
        <v>146</v>
      </c>
      <c r="F219" s="51">
        <v>99</v>
      </c>
      <c r="G219" s="52">
        <f>IFERROR(D219+E219-F219,"")</f>
        <v>4863</v>
      </c>
    </row>
    <row r="220" spans="1:7" ht="21.75" customHeight="1">
      <c r="A220" s="71"/>
      <c r="B220" s="71"/>
      <c r="C220" s="48" t="s">
        <v>33</v>
      </c>
      <c r="D220" s="54">
        <f>G208</f>
        <v>1762</v>
      </c>
      <c r="E220" s="50">
        <v>70</v>
      </c>
      <c r="F220" s="51">
        <v>58</v>
      </c>
      <c r="G220" s="52">
        <f>IFERROR(D220+E220-F220,"")</f>
        <v>1774</v>
      </c>
    </row>
    <row r="221" spans="1:7" ht="21.75" customHeight="1">
      <c r="A221" s="71"/>
      <c r="B221" s="71"/>
      <c r="C221" s="48" t="s">
        <v>36</v>
      </c>
      <c r="D221" s="54">
        <f>G209</f>
        <v>6005</v>
      </c>
      <c r="E221" s="50">
        <v>166</v>
      </c>
      <c r="F221" s="51">
        <v>120</v>
      </c>
      <c r="G221" s="52">
        <f>IFERROR(D221+E221-F221,"")</f>
        <v>6051</v>
      </c>
    </row>
    <row r="222" spans="1:7" ht="21.75" customHeight="1">
      <c r="A222" s="73" t="s">
        <v>238</v>
      </c>
      <c r="B222" s="73"/>
      <c r="C222" s="73"/>
      <c r="D222" s="53">
        <f>IFERROR(SUM(D211:D221),"")</f>
        <v>44478</v>
      </c>
      <c r="E222" s="53">
        <f>IFERROR(SUM(E211:E221),"")</f>
        <v>1303</v>
      </c>
      <c r="F222" s="53">
        <f>IFERROR(SUM(F211:F221),"")</f>
        <v>984</v>
      </c>
      <c r="G222" s="53">
        <f>IFERROR(SUM(G211:G221),"")</f>
        <v>44797</v>
      </c>
    </row>
    <row r="223" spans="1:7" ht="21.75" customHeight="1">
      <c r="A223" s="71">
        <v>46192</v>
      </c>
      <c r="B223" s="72" t="s">
        <v>47</v>
      </c>
      <c r="C223" s="48" t="s">
        <v>26</v>
      </c>
      <c r="D223" s="54">
        <f>G211</f>
        <v>4827</v>
      </c>
      <c r="E223" s="50">
        <v>141</v>
      </c>
      <c r="F223" s="51">
        <v>102</v>
      </c>
      <c r="G223" s="52">
        <f>IFERROR(D223+E223-F223,"")</f>
        <v>4866</v>
      </c>
    </row>
    <row r="224" spans="1:7" ht="21.75" customHeight="1">
      <c r="A224" s="71"/>
      <c r="B224" s="71"/>
      <c r="C224" s="48" t="s">
        <v>27</v>
      </c>
      <c r="D224" s="54">
        <f>G212</f>
        <v>3439</v>
      </c>
      <c r="E224" s="50">
        <v>105</v>
      </c>
      <c r="F224" s="51">
        <v>81</v>
      </c>
      <c r="G224" s="52">
        <f>IFERROR(D224+E224-F224,"")</f>
        <v>3463</v>
      </c>
    </row>
    <row r="225" spans="1:7" ht="21.75" customHeight="1">
      <c r="A225" s="71"/>
      <c r="B225" s="71"/>
      <c r="C225" s="48" t="s">
        <v>30</v>
      </c>
      <c r="D225" s="54">
        <f>G213</f>
        <v>5707</v>
      </c>
      <c r="E225" s="50">
        <v>126</v>
      </c>
      <c r="F225" s="51">
        <v>78</v>
      </c>
      <c r="G225" s="52">
        <f>IFERROR(D225+E225-F225,"")</f>
        <v>5755</v>
      </c>
    </row>
    <row r="226" spans="1:7" ht="21.75" customHeight="1">
      <c r="A226" s="71"/>
      <c r="B226" s="71"/>
      <c r="C226" s="48" t="s">
        <v>32</v>
      </c>
      <c r="D226" s="54">
        <f>G214</f>
        <v>2345</v>
      </c>
      <c r="E226" s="50">
        <v>96</v>
      </c>
      <c r="F226" s="51">
        <v>89</v>
      </c>
      <c r="G226" s="52">
        <f>IFERROR(D226+E226-F226,"")</f>
        <v>2352</v>
      </c>
    </row>
    <row r="227" spans="1:7" ht="21.75" customHeight="1">
      <c r="A227" s="71"/>
      <c r="B227" s="71"/>
      <c r="C227" s="48" t="s">
        <v>34</v>
      </c>
      <c r="D227" s="54">
        <f>G215</f>
        <v>5859</v>
      </c>
      <c r="E227" s="50">
        <v>148</v>
      </c>
      <c r="F227" s="51">
        <v>119</v>
      </c>
      <c r="G227" s="52">
        <f>IFERROR(D227+E227-F227,"")</f>
        <v>5888</v>
      </c>
    </row>
    <row r="228" spans="1:7" ht="21.75" customHeight="1">
      <c r="A228" s="71"/>
      <c r="B228" s="71"/>
      <c r="C228" s="48" t="s">
        <v>25</v>
      </c>
      <c r="D228" s="54">
        <f>G216</f>
        <v>2946</v>
      </c>
      <c r="E228" s="50">
        <v>75</v>
      </c>
      <c r="F228" s="51">
        <v>62</v>
      </c>
      <c r="G228" s="52">
        <f>IFERROR(D228+E228-F228,"")</f>
        <v>2959</v>
      </c>
    </row>
    <row r="229" spans="1:7" ht="21.75" customHeight="1">
      <c r="A229" s="71"/>
      <c r="B229" s="71"/>
      <c r="C229" s="48" t="s">
        <v>35</v>
      </c>
      <c r="D229" s="54">
        <f>G217</f>
        <v>3211</v>
      </c>
      <c r="E229" s="50">
        <v>93</v>
      </c>
      <c r="F229" s="51">
        <v>75</v>
      </c>
      <c r="G229" s="52">
        <f>IFERROR(D229+E229-F229,"")</f>
        <v>3229</v>
      </c>
    </row>
    <row r="230" spans="1:7" ht="21.75" customHeight="1">
      <c r="A230" s="71"/>
      <c r="B230" s="71"/>
      <c r="C230" s="48" t="s">
        <v>29</v>
      </c>
      <c r="D230" s="54">
        <f>G218</f>
        <v>3775</v>
      </c>
      <c r="E230" s="50">
        <v>67</v>
      </c>
      <c r="F230" s="51">
        <v>48</v>
      </c>
      <c r="G230" s="52">
        <f>IFERROR(D230+E230-F230,"")</f>
        <v>3794</v>
      </c>
    </row>
    <row r="231" spans="1:7" ht="21.75" customHeight="1">
      <c r="A231" s="71"/>
      <c r="B231" s="71"/>
      <c r="C231" s="48" t="s">
        <v>31</v>
      </c>
      <c r="D231" s="54">
        <f>G219</f>
        <v>4863</v>
      </c>
      <c r="E231" s="50">
        <v>95</v>
      </c>
      <c r="F231" s="51">
        <v>71</v>
      </c>
      <c r="G231" s="52">
        <f>IFERROR(D231+E231-F231,"")</f>
        <v>4887</v>
      </c>
    </row>
    <row r="232" spans="1:7" ht="21.75" customHeight="1">
      <c r="A232" s="71"/>
      <c r="B232" s="71"/>
      <c r="C232" s="48" t="s">
        <v>33</v>
      </c>
      <c r="D232" s="54">
        <f>G220</f>
        <v>1774</v>
      </c>
      <c r="E232" s="50">
        <v>83</v>
      </c>
      <c r="F232" s="51">
        <v>72</v>
      </c>
      <c r="G232" s="52">
        <f>IFERROR(D232+E232-F232,"")</f>
        <v>1785</v>
      </c>
    </row>
    <row r="233" spans="1:7" ht="21.75" customHeight="1">
      <c r="A233" s="71"/>
      <c r="B233" s="71"/>
      <c r="C233" s="48" t="s">
        <v>36</v>
      </c>
      <c r="D233" s="54">
        <f>G221</f>
        <v>6051</v>
      </c>
      <c r="E233" s="50">
        <v>156</v>
      </c>
      <c r="F233" s="51">
        <v>108</v>
      </c>
      <c r="G233" s="52">
        <f>IFERROR(D233+E233-F233,"")</f>
        <v>6099</v>
      </c>
    </row>
    <row r="234" spans="1:7" ht="21.75" customHeight="1">
      <c r="A234" s="73" t="s">
        <v>239</v>
      </c>
      <c r="B234" s="73"/>
      <c r="C234" s="73"/>
      <c r="D234" s="53">
        <f>IFERROR(SUM(D223:D233),"")</f>
        <v>44797</v>
      </c>
      <c r="E234" s="53">
        <f>IFERROR(SUM(E223:E233),"")</f>
        <v>1185</v>
      </c>
      <c r="F234" s="53">
        <f>IFERROR(SUM(F223:F233),"")</f>
        <v>905</v>
      </c>
      <c r="G234" s="53">
        <f>IFERROR(SUM(G223:G233),"")</f>
        <v>45077</v>
      </c>
    </row>
    <row r="235" spans="1:7" ht="21.75" customHeight="1">
      <c r="A235" s="74">
        <v>46193</v>
      </c>
      <c r="B235" s="75" t="s">
        <v>48</v>
      </c>
      <c r="C235" s="48" t="s">
        <v>26</v>
      </c>
      <c r="D235" s="54">
        <f>G223</f>
        <v>4866</v>
      </c>
      <c r="E235" s="50">
        <v>71</v>
      </c>
      <c r="F235" s="51">
        <v>57</v>
      </c>
      <c r="G235" s="52">
        <f>IFERROR(D235+E235-F235,"")</f>
        <v>4880</v>
      </c>
    </row>
    <row r="236" spans="1:7" ht="21.75" customHeight="1">
      <c r="A236" s="74"/>
      <c r="B236" s="74"/>
      <c r="C236" s="48" t="s">
        <v>27</v>
      </c>
      <c r="D236" s="54">
        <f>G224</f>
        <v>3463</v>
      </c>
      <c r="E236" s="50">
        <v>65</v>
      </c>
      <c r="F236" s="51">
        <v>48</v>
      </c>
      <c r="G236" s="52">
        <f>IFERROR(D236+E236-F236,"")</f>
        <v>3480</v>
      </c>
    </row>
    <row r="237" spans="1:7" ht="21.75" customHeight="1">
      <c r="A237" s="74"/>
      <c r="B237" s="74"/>
      <c r="C237" s="48" t="s">
        <v>30</v>
      </c>
      <c r="D237" s="54">
        <f>G225</f>
        <v>5755</v>
      </c>
      <c r="E237" s="50">
        <v>51</v>
      </c>
      <c r="F237" s="51">
        <v>30</v>
      </c>
      <c r="G237" s="52">
        <f>IFERROR(D237+E237-F237,"")</f>
        <v>5776</v>
      </c>
    </row>
    <row r="238" spans="1:7" ht="21.75" customHeight="1">
      <c r="A238" s="74"/>
      <c r="B238" s="74"/>
      <c r="C238" s="48" t="s">
        <v>32</v>
      </c>
      <c r="D238" s="54">
        <f>G226</f>
        <v>2352</v>
      </c>
      <c r="E238" s="50">
        <v>57</v>
      </c>
      <c r="F238" s="51">
        <v>45</v>
      </c>
      <c r="G238" s="52">
        <f>IFERROR(D238+E238-F238,"")</f>
        <v>2364</v>
      </c>
    </row>
    <row r="239" spans="1:7" ht="21.75" customHeight="1">
      <c r="A239" s="74"/>
      <c r="B239" s="74"/>
      <c r="C239" s="48" t="s">
        <v>34</v>
      </c>
      <c r="D239" s="54">
        <f>G227</f>
        <v>5888</v>
      </c>
      <c r="E239" s="50">
        <v>80</v>
      </c>
      <c r="F239" s="51">
        <v>56</v>
      </c>
      <c r="G239" s="52">
        <f>IFERROR(D239+E239-F239,"")</f>
        <v>5912</v>
      </c>
    </row>
    <row r="240" spans="1:7" ht="21.75" customHeight="1">
      <c r="A240" s="74"/>
      <c r="B240" s="74"/>
      <c r="C240" s="48" t="s">
        <v>25</v>
      </c>
      <c r="D240" s="54">
        <f>G228</f>
        <v>2959</v>
      </c>
      <c r="E240" s="50">
        <v>23</v>
      </c>
      <c r="F240" s="51">
        <v>15</v>
      </c>
      <c r="G240" s="52">
        <f>IFERROR(D240+E240-F240,"")</f>
        <v>2967</v>
      </c>
    </row>
    <row r="241" spans="1:7" ht="21.75" customHeight="1">
      <c r="A241" s="74"/>
      <c r="B241" s="74"/>
      <c r="C241" s="48" t="s">
        <v>35</v>
      </c>
      <c r="D241" s="54">
        <f>G229</f>
        <v>3229</v>
      </c>
      <c r="E241" s="50">
        <v>56</v>
      </c>
      <c r="F241" s="51">
        <v>45</v>
      </c>
      <c r="G241" s="52">
        <f>IFERROR(D241+E241-F241,"")</f>
        <v>3240</v>
      </c>
    </row>
    <row r="242" spans="1:7" ht="21.75" customHeight="1">
      <c r="A242" s="74"/>
      <c r="B242" s="74"/>
      <c r="C242" s="48" t="s">
        <v>29</v>
      </c>
      <c r="D242" s="54">
        <f>G230</f>
        <v>3794</v>
      </c>
      <c r="E242" s="50">
        <v>56</v>
      </c>
      <c r="F242" s="51">
        <v>37</v>
      </c>
      <c r="G242" s="52">
        <f>IFERROR(D242+E242-F242,"")</f>
        <v>3813</v>
      </c>
    </row>
    <row r="243" spans="1:7" ht="21.75" customHeight="1">
      <c r="A243" s="74"/>
      <c r="B243" s="74"/>
      <c r="C243" s="48" t="s">
        <v>31</v>
      </c>
      <c r="D243" s="54">
        <f>G231</f>
        <v>4887</v>
      </c>
      <c r="E243" s="50">
        <v>77</v>
      </c>
      <c r="F243" s="51">
        <v>53</v>
      </c>
      <c r="G243" s="52">
        <f>IFERROR(D243+E243-F243,"")</f>
        <v>4911</v>
      </c>
    </row>
    <row r="244" spans="1:7" ht="21.75" customHeight="1">
      <c r="A244" s="74"/>
      <c r="B244" s="74"/>
      <c r="C244" s="48" t="s">
        <v>33</v>
      </c>
      <c r="D244" s="54">
        <f>G232</f>
        <v>1785</v>
      </c>
      <c r="E244" s="50">
        <v>22</v>
      </c>
      <c r="F244" s="51">
        <v>21</v>
      </c>
      <c r="G244" s="52">
        <f>IFERROR(D244+E244-F244,"")</f>
        <v>1786</v>
      </c>
    </row>
    <row r="245" spans="1:7" ht="21.75" customHeight="1">
      <c r="A245" s="74"/>
      <c r="B245" s="74"/>
      <c r="C245" s="48" t="s">
        <v>36</v>
      </c>
      <c r="D245" s="54">
        <f>G233</f>
        <v>6099</v>
      </c>
      <c r="E245" s="50">
        <v>48</v>
      </c>
      <c r="F245" s="51">
        <v>35</v>
      </c>
      <c r="G245" s="52">
        <f>IFERROR(D245+E245-F245,"")</f>
        <v>6112</v>
      </c>
    </row>
    <row r="246" spans="1:7" ht="21.75" customHeight="1">
      <c r="A246" s="73" t="s">
        <v>240</v>
      </c>
      <c r="B246" s="73"/>
      <c r="C246" s="73"/>
      <c r="D246" s="53">
        <f>IFERROR(SUM(D235:D245),"")</f>
        <v>45077</v>
      </c>
      <c r="E246" s="53">
        <f>IFERROR(SUM(E235:E245),"")</f>
        <v>606</v>
      </c>
      <c r="F246" s="53">
        <f>IFERROR(SUM(F235:F245),"")</f>
        <v>442</v>
      </c>
      <c r="G246" s="53">
        <f>IFERROR(SUM(G235:G245),"")</f>
        <v>45241</v>
      </c>
    </row>
    <row r="247" spans="1:7" ht="21.75" customHeight="1">
      <c r="A247" s="74">
        <v>46194</v>
      </c>
      <c r="B247" s="75" t="s">
        <v>50</v>
      </c>
      <c r="C247" s="48" t="s">
        <v>26</v>
      </c>
      <c r="D247" s="54">
        <f>G235</f>
        <v>4880</v>
      </c>
      <c r="E247" s="50">
        <v>37</v>
      </c>
      <c r="F247" s="51">
        <v>27</v>
      </c>
      <c r="G247" s="52">
        <f>IFERROR(D247+E247-F247,"")</f>
        <v>4890</v>
      </c>
    </row>
    <row r="248" spans="1:7" ht="21.75" customHeight="1">
      <c r="A248" s="74"/>
      <c r="B248" s="74"/>
      <c r="C248" s="48" t="s">
        <v>27</v>
      </c>
      <c r="D248" s="54">
        <f>G236</f>
        <v>3480</v>
      </c>
      <c r="E248" s="50">
        <v>62</v>
      </c>
      <c r="F248" s="51">
        <v>54</v>
      </c>
      <c r="G248" s="52">
        <f>IFERROR(D248+E248-F248,"")</f>
        <v>3488</v>
      </c>
    </row>
    <row r="249" spans="1:7" ht="21.75" customHeight="1">
      <c r="A249" s="74"/>
      <c r="B249" s="74"/>
      <c r="C249" s="48" t="s">
        <v>30</v>
      </c>
      <c r="D249" s="54">
        <f>G237</f>
        <v>5776</v>
      </c>
      <c r="E249" s="50">
        <v>38</v>
      </c>
      <c r="F249" s="51">
        <v>24</v>
      </c>
      <c r="G249" s="52">
        <f>IFERROR(D249+E249-F249,"")</f>
        <v>5790</v>
      </c>
    </row>
    <row r="250" spans="1:7" ht="21.75" customHeight="1">
      <c r="A250" s="74"/>
      <c r="B250" s="74"/>
      <c r="C250" s="48" t="s">
        <v>32</v>
      </c>
      <c r="D250" s="54">
        <f>G238</f>
        <v>2364</v>
      </c>
      <c r="E250" s="50">
        <v>50</v>
      </c>
      <c r="F250" s="51">
        <v>39</v>
      </c>
      <c r="G250" s="52">
        <f>IFERROR(D250+E250-F250,"")</f>
        <v>2375</v>
      </c>
    </row>
    <row r="251" spans="1:7" ht="21.75" customHeight="1">
      <c r="A251" s="74"/>
      <c r="B251" s="74"/>
      <c r="C251" s="48" t="s">
        <v>34</v>
      </c>
      <c r="D251" s="54">
        <f>G239</f>
        <v>5912</v>
      </c>
      <c r="E251" s="50">
        <v>42</v>
      </c>
      <c r="F251" s="51">
        <v>32</v>
      </c>
      <c r="G251" s="52">
        <f>IFERROR(D251+E251-F251,"")</f>
        <v>5922</v>
      </c>
    </row>
    <row r="252" spans="1:7" ht="21.75" customHeight="1">
      <c r="A252" s="74"/>
      <c r="B252" s="74"/>
      <c r="C252" s="48" t="s">
        <v>25</v>
      </c>
      <c r="D252" s="54">
        <f>G240</f>
        <v>2967</v>
      </c>
      <c r="E252" s="50">
        <v>51</v>
      </c>
      <c r="F252" s="51">
        <v>36</v>
      </c>
      <c r="G252" s="52">
        <f>IFERROR(D252+E252-F252,"")</f>
        <v>2982</v>
      </c>
    </row>
    <row r="253" spans="1:7" ht="21.75" customHeight="1">
      <c r="A253" s="74"/>
      <c r="B253" s="74"/>
      <c r="C253" s="48" t="s">
        <v>35</v>
      </c>
      <c r="D253" s="54">
        <f>G241</f>
        <v>3240</v>
      </c>
      <c r="E253" s="50">
        <v>48</v>
      </c>
      <c r="F253" s="51">
        <v>34</v>
      </c>
      <c r="G253" s="52">
        <f>IFERROR(D253+E253-F253,"")</f>
        <v>3254</v>
      </c>
    </row>
    <row r="254" spans="1:7" ht="21.75" customHeight="1">
      <c r="A254" s="74"/>
      <c r="B254" s="74"/>
      <c r="C254" s="48" t="s">
        <v>29</v>
      </c>
      <c r="D254" s="54">
        <f>G242</f>
        <v>3813</v>
      </c>
      <c r="E254" s="50">
        <v>26</v>
      </c>
      <c r="F254" s="51">
        <v>19</v>
      </c>
      <c r="G254" s="52">
        <f>IFERROR(D254+E254-F254,"")</f>
        <v>3820</v>
      </c>
    </row>
    <row r="255" spans="1:7" ht="21.75" customHeight="1">
      <c r="A255" s="74"/>
      <c r="B255" s="74"/>
      <c r="C255" s="48" t="s">
        <v>31</v>
      </c>
      <c r="D255" s="54">
        <f>G243</f>
        <v>4911</v>
      </c>
      <c r="E255" s="50">
        <v>70</v>
      </c>
      <c r="F255" s="51">
        <v>53</v>
      </c>
      <c r="G255" s="52">
        <f>IFERROR(D255+E255-F255,"")</f>
        <v>4928</v>
      </c>
    </row>
    <row r="256" spans="1:7" ht="21.75" customHeight="1">
      <c r="A256" s="74"/>
      <c r="B256" s="74"/>
      <c r="C256" s="48" t="s">
        <v>33</v>
      </c>
      <c r="D256" s="54">
        <f>G244</f>
        <v>1786</v>
      </c>
      <c r="E256" s="50">
        <v>25</v>
      </c>
      <c r="F256" s="51">
        <v>21</v>
      </c>
      <c r="G256" s="52">
        <f>IFERROR(D256+E256-F256,"")</f>
        <v>1790</v>
      </c>
    </row>
    <row r="257" spans="1:7" ht="21.75" customHeight="1">
      <c r="A257" s="74"/>
      <c r="B257" s="74"/>
      <c r="C257" s="48" t="s">
        <v>36</v>
      </c>
      <c r="D257" s="54">
        <f>G245</f>
        <v>6112</v>
      </c>
      <c r="E257" s="50">
        <v>56</v>
      </c>
      <c r="F257" s="51">
        <v>41</v>
      </c>
      <c r="G257" s="52">
        <f>IFERROR(D257+E257-F257,"")</f>
        <v>6127</v>
      </c>
    </row>
    <row r="258" spans="1:7" ht="21.75" customHeight="1">
      <c r="A258" s="73" t="s">
        <v>241</v>
      </c>
      <c r="B258" s="73"/>
      <c r="C258" s="73"/>
      <c r="D258" s="53">
        <f>IFERROR(SUM(D247:D257),"")</f>
        <v>45241</v>
      </c>
      <c r="E258" s="53">
        <f>IFERROR(SUM(E247:E257),"")</f>
        <v>505</v>
      </c>
      <c r="F258" s="53">
        <f>IFERROR(SUM(F247:F257),"")</f>
        <v>380</v>
      </c>
      <c r="G258" s="53">
        <f>IFERROR(SUM(G247:G257),"")</f>
        <v>45366</v>
      </c>
    </row>
    <row r="259" spans="1:7" ht="21.75" customHeight="1">
      <c r="A259" s="71">
        <v>46195</v>
      </c>
      <c r="B259" s="72" t="s">
        <v>51</v>
      </c>
      <c r="C259" s="48" t="s">
        <v>26</v>
      </c>
      <c r="D259" s="54">
        <f>G247</f>
        <v>4890</v>
      </c>
      <c r="E259" s="50">
        <v>94</v>
      </c>
      <c r="F259" s="51">
        <v>71</v>
      </c>
      <c r="G259" s="52">
        <f>IFERROR(D259+E259-F259,"")</f>
        <v>4913</v>
      </c>
    </row>
    <row r="260" spans="1:7" ht="21.75" customHeight="1">
      <c r="A260" s="71"/>
      <c r="B260" s="71"/>
      <c r="C260" s="48" t="s">
        <v>27</v>
      </c>
      <c r="D260" s="54">
        <f>G248</f>
        <v>3488</v>
      </c>
      <c r="E260" s="50">
        <v>80</v>
      </c>
      <c r="F260" s="51">
        <v>70</v>
      </c>
      <c r="G260" s="52">
        <f>IFERROR(D260+E260-F260,"")</f>
        <v>3498</v>
      </c>
    </row>
    <row r="261" spans="1:7" ht="21.75" customHeight="1">
      <c r="A261" s="71"/>
      <c r="B261" s="71"/>
      <c r="C261" s="48" t="s">
        <v>30</v>
      </c>
      <c r="D261" s="54">
        <f>G249</f>
        <v>5790</v>
      </c>
      <c r="E261" s="50">
        <v>122</v>
      </c>
      <c r="F261" s="51">
        <v>95</v>
      </c>
      <c r="G261" s="52">
        <f>IFERROR(D261+E261-F261,"")</f>
        <v>5817</v>
      </c>
    </row>
    <row r="262" spans="1:7" ht="21.75" customHeight="1">
      <c r="A262" s="71"/>
      <c r="B262" s="71"/>
      <c r="C262" s="48" t="s">
        <v>32</v>
      </c>
      <c r="D262" s="54">
        <f>G250</f>
        <v>2375</v>
      </c>
      <c r="E262" s="50">
        <v>71</v>
      </c>
      <c r="F262" s="51">
        <v>53</v>
      </c>
      <c r="G262" s="52">
        <f>IFERROR(D262+E262-F262,"")</f>
        <v>2393</v>
      </c>
    </row>
    <row r="263" spans="1:7" ht="21.75" customHeight="1">
      <c r="A263" s="71"/>
      <c r="B263" s="71"/>
      <c r="C263" s="48" t="s">
        <v>34</v>
      </c>
      <c r="D263" s="54">
        <f>G251</f>
        <v>5922</v>
      </c>
      <c r="E263" s="50">
        <v>143</v>
      </c>
      <c r="F263" s="51">
        <v>113</v>
      </c>
      <c r="G263" s="52">
        <f>IFERROR(D263+E263-F263,"")</f>
        <v>5952</v>
      </c>
    </row>
    <row r="264" spans="1:7" ht="21.75" customHeight="1">
      <c r="A264" s="71"/>
      <c r="B264" s="71"/>
      <c r="C264" s="48" t="s">
        <v>25</v>
      </c>
      <c r="D264" s="54">
        <f>G252</f>
        <v>2982</v>
      </c>
      <c r="E264" s="50">
        <v>68</v>
      </c>
      <c r="F264" s="51">
        <v>55</v>
      </c>
      <c r="G264" s="52">
        <f>IFERROR(D264+E264-F264,"")</f>
        <v>2995</v>
      </c>
    </row>
    <row r="265" spans="1:7" ht="21.75" customHeight="1">
      <c r="A265" s="71"/>
      <c r="B265" s="71"/>
      <c r="C265" s="48" t="s">
        <v>35</v>
      </c>
      <c r="D265" s="54">
        <f>G253</f>
        <v>3254</v>
      </c>
      <c r="E265" s="50">
        <v>99</v>
      </c>
      <c r="F265" s="51">
        <v>76</v>
      </c>
      <c r="G265" s="52">
        <f>IFERROR(D265+E265-F265,"")</f>
        <v>3277</v>
      </c>
    </row>
    <row r="266" spans="1:7" ht="21.75" customHeight="1">
      <c r="A266" s="71"/>
      <c r="B266" s="71"/>
      <c r="C266" s="48" t="s">
        <v>29</v>
      </c>
      <c r="D266" s="54">
        <f>G254</f>
        <v>3820</v>
      </c>
      <c r="E266" s="50">
        <v>104</v>
      </c>
      <c r="F266" s="51">
        <v>88</v>
      </c>
      <c r="G266" s="52">
        <f>IFERROR(D266+E266-F266,"")</f>
        <v>3836</v>
      </c>
    </row>
    <row r="267" spans="1:7" ht="21.75" customHeight="1">
      <c r="A267" s="71"/>
      <c r="B267" s="71"/>
      <c r="C267" s="48" t="s">
        <v>31</v>
      </c>
      <c r="D267" s="54">
        <f>G255</f>
        <v>4928</v>
      </c>
      <c r="E267" s="50">
        <v>136</v>
      </c>
      <c r="F267" s="51">
        <v>113</v>
      </c>
      <c r="G267" s="52">
        <f>IFERROR(D267+E267-F267,"")</f>
        <v>4951</v>
      </c>
    </row>
    <row r="268" spans="1:7" ht="21.75" customHeight="1">
      <c r="A268" s="71"/>
      <c r="B268" s="71"/>
      <c r="C268" s="48" t="s">
        <v>33</v>
      </c>
      <c r="D268" s="54">
        <f>G256</f>
        <v>1790</v>
      </c>
      <c r="E268" s="50">
        <v>82</v>
      </c>
      <c r="F268" s="51">
        <v>79</v>
      </c>
      <c r="G268" s="52">
        <f>IFERROR(D268+E268-F268,"")</f>
        <v>1793</v>
      </c>
    </row>
    <row r="269" spans="1:7" ht="21.75" customHeight="1">
      <c r="A269" s="71"/>
      <c r="B269" s="71"/>
      <c r="C269" s="48" t="s">
        <v>36</v>
      </c>
      <c r="D269" s="54">
        <f>G257</f>
        <v>6127</v>
      </c>
      <c r="E269" s="50">
        <v>136</v>
      </c>
      <c r="F269" s="51">
        <v>84</v>
      </c>
      <c r="G269" s="52">
        <f>IFERROR(D269+E269-F269,"")</f>
        <v>6179</v>
      </c>
    </row>
    <row r="270" spans="1:7" ht="21.75" customHeight="1">
      <c r="A270" s="73" t="s">
        <v>242</v>
      </c>
      <c r="B270" s="73"/>
      <c r="C270" s="73"/>
      <c r="D270" s="53">
        <f>IFERROR(SUM(D259:D269),"")</f>
        <v>45366</v>
      </c>
      <c r="E270" s="53">
        <f>IFERROR(SUM(E259:E269),"")</f>
        <v>1135</v>
      </c>
      <c r="F270" s="53">
        <f>IFERROR(SUM(F259:F269),"")</f>
        <v>897</v>
      </c>
      <c r="G270" s="53">
        <f>IFERROR(SUM(G259:G269),"")</f>
        <v>45604</v>
      </c>
    </row>
    <row r="271" spans="1:7" ht="21.75" customHeight="1">
      <c r="A271" s="71">
        <v>46196</v>
      </c>
      <c r="B271" s="72" t="s">
        <v>52</v>
      </c>
      <c r="C271" s="48" t="s">
        <v>26</v>
      </c>
      <c r="D271" s="54">
        <f>G259</f>
        <v>4913</v>
      </c>
      <c r="E271" s="50">
        <v>80</v>
      </c>
      <c r="F271" s="51">
        <v>60</v>
      </c>
      <c r="G271" s="52">
        <f>IFERROR(D271+E271-F271,"")</f>
        <v>4933</v>
      </c>
    </row>
    <row r="272" spans="1:7" ht="21.75" customHeight="1">
      <c r="A272" s="71"/>
      <c r="B272" s="71"/>
      <c r="C272" s="48" t="s">
        <v>27</v>
      </c>
      <c r="D272" s="54">
        <f>G260</f>
        <v>3498</v>
      </c>
      <c r="E272" s="50">
        <v>94</v>
      </c>
      <c r="F272" s="51">
        <v>72</v>
      </c>
      <c r="G272" s="52">
        <f>IFERROR(D272+E272-F272,"")</f>
        <v>3520</v>
      </c>
    </row>
    <row r="273" spans="1:7" ht="21.75" customHeight="1">
      <c r="A273" s="71"/>
      <c r="B273" s="71"/>
      <c r="C273" s="48" t="s">
        <v>30</v>
      </c>
      <c r="D273" s="54">
        <f>G261</f>
        <v>5817</v>
      </c>
      <c r="E273" s="50">
        <v>147</v>
      </c>
      <c r="F273" s="51">
        <v>112</v>
      </c>
      <c r="G273" s="52">
        <f>IFERROR(D273+E273-F273,"")</f>
        <v>5852</v>
      </c>
    </row>
    <row r="274" spans="1:7" ht="21.75" customHeight="1">
      <c r="A274" s="71"/>
      <c r="B274" s="71"/>
      <c r="C274" s="48" t="s">
        <v>32</v>
      </c>
      <c r="D274" s="54">
        <f>G262</f>
        <v>2393</v>
      </c>
      <c r="E274" s="50">
        <v>77</v>
      </c>
      <c r="F274" s="51">
        <v>67</v>
      </c>
      <c r="G274" s="52">
        <f>IFERROR(D274+E274-F274,"")</f>
        <v>2403</v>
      </c>
    </row>
    <row r="275" spans="1:7" ht="21.75" customHeight="1">
      <c r="A275" s="71"/>
      <c r="B275" s="71"/>
      <c r="C275" s="48" t="s">
        <v>34</v>
      </c>
      <c r="D275" s="54">
        <f>G263</f>
        <v>5952</v>
      </c>
      <c r="E275" s="50">
        <v>138</v>
      </c>
      <c r="F275" s="51">
        <v>103</v>
      </c>
      <c r="G275" s="52">
        <f>IFERROR(D275+E275-F275,"")</f>
        <v>5987</v>
      </c>
    </row>
    <row r="276" spans="1:7" ht="21.75" customHeight="1">
      <c r="A276" s="71"/>
      <c r="B276" s="71"/>
      <c r="C276" s="48" t="s">
        <v>25</v>
      </c>
      <c r="D276" s="54">
        <f>G264</f>
        <v>2995</v>
      </c>
      <c r="E276" s="50">
        <v>96</v>
      </c>
      <c r="F276" s="51">
        <v>83</v>
      </c>
      <c r="G276" s="52">
        <f>IFERROR(D276+E276-F276,"")</f>
        <v>3008</v>
      </c>
    </row>
    <row r="277" spans="1:7" ht="21.75" customHeight="1">
      <c r="A277" s="71"/>
      <c r="B277" s="71"/>
      <c r="C277" s="48" t="s">
        <v>35</v>
      </c>
      <c r="D277" s="54">
        <f>G265</f>
        <v>3277</v>
      </c>
      <c r="E277" s="50">
        <v>76</v>
      </c>
      <c r="F277" s="51">
        <v>62</v>
      </c>
      <c r="G277" s="52">
        <f>IFERROR(D277+E277-F277,"")</f>
        <v>3291</v>
      </c>
    </row>
    <row r="278" spans="1:7" ht="21.75" customHeight="1">
      <c r="A278" s="71"/>
      <c r="B278" s="71"/>
      <c r="C278" s="48" t="s">
        <v>29</v>
      </c>
      <c r="D278" s="54">
        <f>G266</f>
        <v>3836</v>
      </c>
      <c r="E278" s="50">
        <v>106</v>
      </c>
      <c r="F278" s="51">
        <v>80</v>
      </c>
      <c r="G278" s="52">
        <f>IFERROR(D278+E278-F278,"")</f>
        <v>3862</v>
      </c>
    </row>
    <row r="279" spans="1:7" ht="21.75" customHeight="1">
      <c r="A279" s="71"/>
      <c r="B279" s="71"/>
      <c r="C279" s="48" t="s">
        <v>31</v>
      </c>
      <c r="D279" s="54">
        <f>G267</f>
        <v>4951</v>
      </c>
      <c r="E279" s="50">
        <v>115</v>
      </c>
      <c r="F279" s="51">
        <v>74</v>
      </c>
      <c r="G279" s="52">
        <f>IFERROR(D279+E279-F279,"")</f>
        <v>4992</v>
      </c>
    </row>
    <row r="280" spans="1:7" ht="21.75" customHeight="1">
      <c r="A280" s="71"/>
      <c r="B280" s="71"/>
      <c r="C280" s="48" t="s">
        <v>33</v>
      </c>
      <c r="D280" s="54">
        <f>G268</f>
        <v>1793</v>
      </c>
      <c r="E280" s="50">
        <v>97</v>
      </c>
      <c r="F280" s="51">
        <v>78</v>
      </c>
      <c r="G280" s="52">
        <f>IFERROR(D280+E280-F280,"")</f>
        <v>1812</v>
      </c>
    </row>
    <row r="281" spans="1:7" ht="21.75" customHeight="1">
      <c r="A281" s="71"/>
      <c r="B281" s="71"/>
      <c r="C281" s="48" t="s">
        <v>36</v>
      </c>
      <c r="D281" s="54">
        <f>G269</f>
        <v>6179</v>
      </c>
      <c r="E281" s="50">
        <v>154</v>
      </c>
      <c r="F281" s="51">
        <v>112</v>
      </c>
      <c r="G281" s="52">
        <f>IFERROR(D281+E281-F281,"")</f>
        <v>6221</v>
      </c>
    </row>
    <row r="282" spans="1:7" ht="21.75" customHeight="1">
      <c r="A282" s="73" t="s">
        <v>243</v>
      </c>
      <c r="B282" s="73"/>
      <c r="C282" s="73"/>
      <c r="D282" s="53">
        <f>IFERROR(SUM(D271:D281),"")</f>
        <v>45604</v>
      </c>
      <c r="E282" s="53">
        <f>IFERROR(SUM(E271:E281),"")</f>
        <v>1180</v>
      </c>
      <c r="F282" s="53">
        <f>IFERROR(SUM(F271:F281),"")</f>
        <v>903</v>
      </c>
      <c r="G282" s="53">
        <f>IFERROR(SUM(G271:G281),"")</f>
        <v>45881</v>
      </c>
    </row>
    <row r="283" spans="1:7" ht="21.75" customHeight="1">
      <c r="A283" s="71">
        <v>46197</v>
      </c>
      <c r="B283" s="72" t="s">
        <v>53</v>
      </c>
      <c r="C283" s="48" t="s">
        <v>26</v>
      </c>
      <c r="D283" s="54">
        <f>G271</f>
        <v>4933</v>
      </c>
      <c r="E283" s="50">
        <v>117</v>
      </c>
      <c r="F283" s="51">
        <v>87</v>
      </c>
      <c r="G283" s="52">
        <f>IFERROR(D283+E283-F283,"")</f>
        <v>4963</v>
      </c>
    </row>
    <row r="284" spans="1:7" ht="21.75" customHeight="1">
      <c r="A284" s="71"/>
      <c r="B284" s="71"/>
      <c r="C284" s="48" t="s">
        <v>27</v>
      </c>
      <c r="D284" s="54">
        <f>G272</f>
        <v>3520</v>
      </c>
      <c r="E284" s="50">
        <v>109</v>
      </c>
      <c r="F284" s="51">
        <v>83</v>
      </c>
      <c r="G284" s="52">
        <f>IFERROR(D284+E284-F284,"")</f>
        <v>3546</v>
      </c>
    </row>
    <row r="285" spans="1:7" ht="21.75" customHeight="1">
      <c r="A285" s="71"/>
      <c r="B285" s="71"/>
      <c r="C285" s="48" t="s">
        <v>30</v>
      </c>
      <c r="D285" s="54">
        <f>G273</f>
        <v>5852</v>
      </c>
      <c r="E285" s="50">
        <v>118</v>
      </c>
      <c r="F285" s="51">
        <v>74</v>
      </c>
      <c r="G285" s="52">
        <f>IFERROR(D285+E285-F285,"")</f>
        <v>5896</v>
      </c>
    </row>
    <row r="286" spans="1:7" ht="21.75" customHeight="1">
      <c r="A286" s="71"/>
      <c r="B286" s="71"/>
      <c r="C286" s="48" t="s">
        <v>32</v>
      </c>
      <c r="D286" s="54">
        <f>G274</f>
        <v>2403</v>
      </c>
      <c r="E286" s="50">
        <v>90</v>
      </c>
      <c r="F286" s="51">
        <v>71</v>
      </c>
      <c r="G286" s="52">
        <f>IFERROR(D286+E286-F286,"")</f>
        <v>2422</v>
      </c>
    </row>
    <row r="287" spans="1:7" ht="21.75" customHeight="1">
      <c r="A287" s="71"/>
      <c r="B287" s="71"/>
      <c r="C287" s="48" t="s">
        <v>34</v>
      </c>
      <c r="D287" s="54">
        <f>G275</f>
        <v>5987</v>
      </c>
      <c r="E287" s="50">
        <v>158</v>
      </c>
      <c r="F287" s="51">
        <v>120</v>
      </c>
      <c r="G287" s="52">
        <f>IFERROR(D287+E287-F287,"")</f>
        <v>6025</v>
      </c>
    </row>
    <row r="288" spans="1:7" ht="21.75" customHeight="1">
      <c r="A288" s="71"/>
      <c r="B288" s="71"/>
      <c r="C288" s="48" t="s">
        <v>25</v>
      </c>
      <c r="D288" s="54">
        <f>G276</f>
        <v>3008</v>
      </c>
      <c r="E288" s="50">
        <v>76</v>
      </c>
      <c r="F288" s="51">
        <v>66</v>
      </c>
      <c r="G288" s="52">
        <f>IFERROR(D288+E288-F288,"")</f>
        <v>3018</v>
      </c>
    </row>
    <row r="289" spans="1:7" ht="21.75" customHeight="1">
      <c r="A289" s="71"/>
      <c r="B289" s="71"/>
      <c r="C289" s="48" t="s">
        <v>35</v>
      </c>
      <c r="D289" s="54">
        <f>G277</f>
        <v>3291</v>
      </c>
      <c r="E289" s="50">
        <v>102</v>
      </c>
      <c r="F289" s="51">
        <v>80</v>
      </c>
      <c r="G289" s="52">
        <f>IFERROR(D289+E289-F289,"")</f>
        <v>3313</v>
      </c>
    </row>
    <row r="290" spans="1:7" ht="21.75" customHeight="1">
      <c r="A290" s="71"/>
      <c r="B290" s="71"/>
      <c r="C290" s="48" t="s">
        <v>29</v>
      </c>
      <c r="D290" s="54">
        <f>G278</f>
        <v>3862</v>
      </c>
      <c r="E290" s="50">
        <v>108</v>
      </c>
      <c r="F290" s="51">
        <v>90</v>
      </c>
      <c r="G290" s="52">
        <f>IFERROR(D290+E290-F290,"")</f>
        <v>3880</v>
      </c>
    </row>
    <row r="291" spans="1:7" ht="21.75" customHeight="1">
      <c r="A291" s="71"/>
      <c r="B291" s="71"/>
      <c r="C291" s="48" t="s">
        <v>31</v>
      </c>
      <c r="D291" s="54">
        <f>G279</f>
        <v>4992</v>
      </c>
      <c r="E291" s="50">
        <v>95</v>
      </c>
      <c r="F291" s="51">
        <v>76</v>
      </c>
      <c r="G291" s="52">
        <f>IFERROR(D291+E291-F291,"")</f>
        <v>5011</v>
      </c>
    </row>
    <row r="292" spans="1:7" ht="21.75" customHeight="1">
      <c r="A292" s="71"/>
      <c r="B292" s="71"/>
      <c r="C292" s="48" t="s">
        <v>33</v>
      </c>
      <c r="D292" s="54">
        <f>G280</f>
        <v>1812</v>
      </c>
      <c r="E292" s="50">
        <v>83</v>
      </c>
      <c r="F292" s="51">
        <v>80</v>
      </c>
      <c r="G292" s="52">
        <f>IFERROR(D292+E292-F292,"")</f>
        <v>1815</v>
      </c>
    </row>
    <row r="293" spans="1:7" ht="21.75" customHeight="1">
      <c r="A293" s="71"/>
      <c r="B293" s="71"/>
      <c r="C293" s="48" t="s">
        <v>36</v>
      </c>
      <c r="D293" s="54">
        <f>G281</f>
        <v>6221</v>
      </c>
      <c r="E293" s="50">
        <v>141</v>
      </c>
      <c r="F293" s="51">
        <v>88</v>
      </c>
      <c r="G293" s="52">
        <f>IFERROR(D293+E293-F293,"")</f>
        <v>6274</v>
      </c>
    </row>
    <row r="294" spans="1:7" ht="21.75" customHeight="1">
      <c r="A294" s="73" t="s">
        <v>244</v>
      </c>
      <c r="B294" s="73"/>
      <c r="C294" s="73"/>
      <c r="D294" s="53">
        <f>IFERROR(SUM(D283:D293),"")</f>
        <v>45881</v>
      </c>
      <c r="E294" s="53">
        <f>IFERROR(SUM(E283:E293),"")</f>
        <v>1197</v>
      </c>
      <c r="F294" s="53">
        <f>IFERROR(SUM(F283:F293),"")</f>
        <v>915</v>
      </c>
      <c r="G294" s="53">
        <f>IFERROR(SUM(G283:G293),"")</f>
        <v>46163</v>
      </c>
    </row>
    <row r="295" spans="1:7" ht="21.75" customHeight="1">
      <c r="A295" s="71">
        <v>46198</v>
      </c>
      <c r="B295" s="72" t="s">
        <v>45</v>
      </c>
      <c r="C295" s="48" t="s">
        <v>26</v>
      </c>
      <c r="D295" s="54">
        <f>G283</f>
        <v>4963</v>
      </c>
      <c r="E295" s="50">
        <v>121</v>
      </c>
      <c r="F295" s="51">
        <v>94</v>
      </c>
      <c r="G295" s="52">
        <f>IFERROR(D295+E295-F295,"")</f>
        <v>4990</v>
      </c>
    </row>
    <row r="296" spans="1:7" ht="21.75" customHeight="1">
      <c r="A296" s="71"/>
      <c r="B296" s="71"/>
      <c r="C296" s="48" t="s">
        <v>27</v>
      </c>
      <c r="D296" s="54">
        <f>G284</f>
        <v>3546</v>
      </c>
      <c r="E296" s="50">
        <v>98</v>
      </c>
      <c r="F296" s="51">
        <v>71</v>
      </c>
      <c r="G296" s="52">
        <f>IFERROR(D296+E296-F296,"")</f>
        <v>3573</v>
      </c>
    </row>
    <row r="297" spans="1:7" ht="21.75" customHeight="1">
      <c r="A297" s="71"/>
      <c r="B297" s="71"/>
      <c r="C297" s="48" t="s">
        <v>30</v>
      </c>
      <c r="D297" s="54">
        <f>G285</f>
        <v>5896</v>
      </c>
      <c r="E297" s="50">
        <v>116</v>
      </c>
      <c r="F297" s="51">
        <v>91</v>
      </c>
      <c r="G297" s="52">
        <f>IFERROR(D297+E297-F297,"")</f>
        <v>5921</v>
      </c>
    </row>
    <row r="298" spans="1:7" ht="21.75" customHeight="1">
      <c r="A298" s="71"/>
      <c r="B298" s="71"/>
      <c r="C298" s="48" t="s">
        <v>32</v>
      </c>
      <c r="D298" s="54">
        <f>G286</f>
        <v>2422</v>
      </c>
      <c r="E298" s="50">
        <v>97</v>
      </c>
      <c r="F298" s="51">
        <v>87</v>
      </c>
      <c r="G298" s="52">
        <f>IFERROR(D298+E298-F298,"")</f>
        <v>2432</v>
      </c>
    </row>
    <row r="299" spans="1:7" ht="21.75" customHeight="1">
      <c r="A299" s="71"/>
      <c r="B299" s="71"/>
      <c r="C299" s="48" t="s">
        <v>34</v>
      </c>
      <c r="D299" s="54">
        <f>G287</f>
        <v>6025</v>
      </c>
      <c r="E299" s="50">
        <v>111</v>
      </c>
      <c r="F299" s="51">
        <v>84</v>
      </c>
      <c r="G299" s="52">
        <f>IFERROR(D299+E299-F299,"")</f>
        <v>6052</v>
      </c>
    </row>
    <row r="300" spans="1:7" ht="21.75" customHeight="1">
      <c r="A300" s="71"/>
      <c r="B300" s="71"/>
      <c r="C300" s="48" t="s">
        <v>25</v>
      </c>
      <c r="D300" s="54">
        <f>G288</f>
        <v>3018</v>
      </c>
      <c r="E300" s="50">
        <v>78</v>
      </c>
      <c r="F300" s="51">
        <v>54</v>
      </c>
      <c r="G300" s="52">
        <f>IFERROR(D300+E300-F300,"")</f>
        <v>3042</v>
      </c>
    </row>
    <row r="301" spans="1:7" ht="21.75" customHeight="1">
      <c r="A301" s="71"/>
      <c r="B301" s="71"/>
      <c r="C301" s="48" t="s">
        <v>35</v>
      </c>
      <c r="D301" s="54">
        <f>G289</f>
        <v>3313</v>
      </c>
      <c r="E301" s="50">
        <v>133</v>
      </c>
      <c r="F301" s="51">
        <v>99</v>
      </c>
      <c r="G301" s="52">
        <f>IFERROR(D301+E301-F301,"")</f>
        <v>3347</v>
      </c>
    </row>
    <row r="302" spans="1:7" ht="21.75" customHeight="1">
      <c r="A302" s="71"/>
      <c r="B302" s="71"/>
      <c r="C302" s="48" t="s">
        <v>29</v>
      </c>
      <c r="D302" s="54">
        <f>G290</f>
        <v>3880</v>
      </c>
      <c r="E302" s="50">
        <v>97</v>
      </c>
      <c r="F302" s="51">
        <v>77</v>
      </c>
      <c r="G302" s="52">
        <f>IFERROR(D302+E302-F302,"")</f>
        <v>3900</v>
      </c>
    </row>
    <row r="303" spans="1:7" ht="21.75" customHeight="1">
      <c r="A303" s="71"/>
      <c r="B303" s="71"/>
      <c r="C303" s="48" t="s">
        <v>31</v>
      </c>
      <c r="D303" s="54">
        <f>G291</f>
        <v>5011</v>
      </c>
      <c r="E303" s="50">
        <v>143</v>
      </c>
      <c r="F303" s="51">
        <v>109</v>
      </c>
      <c r="G303" s="52">
        <f>IFERROR(D303+E303-F303,"")</f>
        <v>5045</v>
      </c>
    </row>
    <row r="304" spans="1:7" ht="21.75" customHeight="1">
      <c r="A304" s="71"/>
      <c r="B304" s="71"/>
      <c r="C304" s="48" t="s">
        <v>33</v>
      </c>
      <c r="D304" s="54">
        <f>G292</f>
        <v>1815</v>
      </c>
      <c r="E304" s="50">
        <v>58</v>
      </c>
      <c r="F304" s="51">
        <v>53</v>
      </c>
      <c r="G304" s="52">
        <f>IFERROR(D304+E304-F304,"")</f>
        <v>1820</v>
      </c>
    </row>
    <row r="305" spans="1:7" ht="21.75" customHeight="1">
      <c r="A305" s="71"/>
      <c r="B305" s="71"/>
      <c r="C305" s="48" t="s">
        <v>36</v>
      </c>
      <c r="D305" s="54">
        <f>G293</f>
        <v>6274</v>
      </c>
      <c r="E305" s="50">
        <v>154</v>
      </c>
      <c r="F305" s="51">
        <v>112</v>
      </c>
      <c r="G305" s="52">
        <f>IFERROR(D305+E305-F305,"")</f>
        <v>6316</v>
      </c>
    </row>
    <row r="306" spans="1:7" ht="21.75" customHeight="1">
      <c r="A306" s="73" t="s">
        <v>245</v>
      </c>
      <c r="B306" s="73"/>
      <c r="C306" s="73"/>
      <c r="D306" s="53">
        <f>IFERROR(SUM(D295:D305),"")</f>
        <v>46163</v>
      </c>
      <c r="E306" s="53">
        <f>IFERROR(SUM(E295:E305),"")</f>
        <v>1206</v>
      </c>
      <c r="F306" s="53">
        <f>IFERROR(SUM(F295:F305),"")</f>
        <v>931</v>
      </c>
      <c r="G306" s="53">
        <f>IFERROR(SUM(G295:G305),"")</f>
        <v>46438</v>
      </c>
    </row>
    <row r="307" spans="1:7" ht="21.75" customHeight="1">
      <c r="A307" s="71">
        <v>46199</v>
      </c>
      <c r="B307" s="72" t="s">
        <v>47</v>
      </c>
      <c r="C307" s="48" t="s">
        <v>26</v>
      </c>
      <c r="D307" s="54">
        <f>G295</f>
        <v>4990</v>
      </c>
      <c r="E307" s="50">
        <v>85</v>
      </c>
      <c r="F307" s="51">
        <v>68</v>
      </c>
      <c r="G307" s="52">
        <f>IFERROR(D307+E307-F307,"")</f>
        <v>5007</v>
      </c>
    </row>
    <row r="308" spans="1:7" ht="21.75" customHeight="1">
      <c r="A308" s="71"/>
      <c r="B308" s="71"/>
      <c r="C308" s="48" t="s">
        <v>27</v>
      </c>
      <c r="D308" s="54">
        <f>G296</f>
        <v>3573</v>
      </c>
      <c r="E308" s="50">
        <v>92</v>
      </c>
      <c r="F308" s="51">
        <v>66</v>
      </c>
      <c r="G308" s="52">
        <f>IFERROR(D308+E308-F308,"")</f>
        <v>3599</v>
      </c>
    </row>
    <row r="309" spans="1:7" ht="21.75" customHeight="1">
      <c r="A309" s="71"/>
      <c r="B309" s="71"/>
      <c r="C309" s="48" t="s">
        <v>30</v>
      </c>
      <c r="D309" s="54">
        <f>G297</f>
        <v>5921</v>
      </c>
      <c r="E309" s="50">
        <v>159</v>
      </c>
      <c r="F309" s="51">
        <v>98</v>
      </c>
      <c r="G309" s="52">
        <f>IFERROR(D309+E309-F309,"")</f>
        <v>5982</v>
      </c>
    </row>
    <row r="310" spans="1:7" ht="21.75" customHeight="1">
      <c r="A310" s="71"/>
      <c r="B310" s="71"/>
      <c r="C310" s="48" t="s">
        <v>32</v>
      </c>
      <c r="D310" s="54">
        <f>G298</f>
        <v>2432</v>
      </c>
      <c r="E310" s="50">
        <v>119</v>
      </c>
      <c r="F310" s="51">
        <v>91</v>
      </c>
      <c r="G310" s="52">
        <f>IFERROR(D310+E310-F310,"")</f>
        <v>2460</v>
      </c>
    </row>
    <row r="311" spans="1:7" ht="21.75" customHeight="1">
      <c r="A311" s="71"/>
      <c r="B311" s="71"/>
      <c r="C311" s="48" t="s">
        <v>34</v>
      </c>
      <c r="D311" s="54">
        <f>G299</f>
        <v>6052</v>
      </c>
      <c r="E311" s="50">
        <v>160</v>
      </c>
      <c r="F311" s="51">
        <v>101</v>
      </c>
      <c r="G311" s="52">
        <f>IFERROR(D311+E311-F311,"")</f>
        <v>6111</v>
      </c>
    </row>
    <row r="312" spans="1:7" ht="21.75" customHeight="1">
      <c r="A312" s="71"/>
      <c r="B312" s="71"/>
      <c r="C312" s="48" t="s">
        <v>25</v>
      </c>
      <c r="D312" s="54">
        <f>G300</f>
        <v>3042</v>
      </c>
      <c r="E312" s="50">
        <v>68</v>
      </c>
      <c r="F312" s="51">
        <v>52</v>
      </c>
      <c r="G312" s="52">
        <f>IFERROR(D312+E312-F312,"")</f>
        <v>3058</v>
      </c>
    </row>
    <row r="313" spans="1:7" ht="21.75" customHeight="1">
      <c r="A313" s="71"/>
      <c r="B313" s="71"/>
      <c r="C313" s="48" t="s">
        <v>35</v>
      </c>
      <c r="D313" s="54">
        <f>G301</f>
        <v>3347</v>
      </c>
      <c r="E313" s="50">
        <v>98</v>
      </c>
      <c r="F313" s="51">
        <v>74</v>
      </c>
      <c r="G313" s="52">
        <f>IFERROR(D313+E313-F313,"")</f>
        <v>3371</v>
      </c>
    </row>
    <row r="314" spans="1:7" ht="21.75" customHeight="1">
      <c r="A314" s="71"/>
      <c r="B314" s="71"/>
      <c r="C314" s="48" t="s">
        <v>29</v>
      </c>
      <c r="D314" s="54">
        <f>G302</f>
        <v>3900</v>
      </c>
      <c r="E314" s="50">
        <v>114</v>
      </c>
      <c r="F314" s="51">
        <v>95</v>
      </c>
      <c r="G314" s="52">
        <f>IFERROR(D314+E314-F314,"")</f>
        <v>3919</v>
      </c>
    </row>
    <row r="315" spans="1:7" ht="21.75" customHeight="1">
      <c r="A315" s="71"/>
      <c r="B315" s="71"/>
      <c r="C315" s="48" t="s">
        <v>31</v>
      </c>
      <c r="D315" s="54">
        <f>G303</f>
        <v>5045</v>
      </c>
      <c r="E315" s="50">
        <v>138</v>
      </c>
      <c r="F315" s="51">
        <v>99</v>
      </c>
      <c r="G315" s="52">
        <f>IFERROR(D315+E315-F315,"")</f>
        <v>5084</v>
      </c>
    </row>
    <row r="316" spans="1:7" ht="21.75" customHeight="1">
      <c r="A316" s="71"/>
      <c r="B316" s="71"/>
      <c r="C316" s="48" t="s">
        <v>33</v>
      </c>
      <c r="D316" s="54">
        <f>G304</f>
        <v>1820</v>
      </c>
      <c r="E316" s="50">
        <v>79</v>
      </c>
      <c r="F316" s="51">
        <v>75</v>
      </c>
      <c r="G316" s="52">
        <f>IFERROR(D316+E316-F316,"")</f>
        <v>1824</v>
      </c>
    </row>
    <row r="317" spans="1:7" ht="21.75" customHeight="1">
      <c r="A317" s="71"/>
      <c r="B317" s="71"/>
      <c r="C317" s="48" t="s">
        <v>36</v>
      </c>
      <c r="D317" s="54">
        <f>G305</f>
        <v>6316</v>
      </c>
      <c r="E317" s="50">
        <v>143</v>
      </c>
      <c r="F317" s="51">
        <v>99</v>
      </c>
      <c r="G317" s="52">
        <f>IFERROR(D317+E317-F317,"")</f>
        <v>6360</v>
      </c>
    </row>
    <row r="318" spans="1:7" ht="21.75" customHeight="1">
      <c r="A318" s="73" t="s">
        <v>246</v>
      </c>
      <c r="B318" s="73"/>
      <c r="C318" s="73"/>
      <c r="D318" s="53">
        <f>IFERROR(SUM(D307:D317),"")</f>
        <v>46438</v>
      </c>
      <c r="E318" s="53">
        <f>IFERROR(SUM(E307:E317),"")</f>
        <v>1255</v>
      </c>
      <c r="F318" s="53">
        <f>IFERROR(SUM(F307:F317),"")</f>
        <v>918</v>
      </c>
      <c r="G318" s="53">
        <f>IFERROR(SUM(G307:G317),"")</f>
        <v>46775</v>
      </c>
    </row>
    <row r="319" spans="1:7" ht="21.75" customHeight="1">
      <c r="A319" s="74">
        <v>46200</v>
      </c>
      <c r="B319" s="75" t="s">
        <v>48</v>
      </c>
      <c r="C319" s="48" t="s">
        <v>26</v>
      </c>
      <c r="D319" s="54">
        <f>G307</f>
        <v>5007</v>
      </c>
      <c r="E319" s="50">
        <v>46</v>
      </c>
      <c r="F319" s="51">
        <v>29</v>
      </c>
      <c r="G319" s="52">
        <f>IFERROR(D319+E319-F319,"")</f>
        <v>5024</v>
      </c>
    </row>
    <row r="320" spans="1:7" ht="21.75" customHeight="1">
      <c r="A320" s="74"/>
      <c r="B320" s="74"/>
      <c r="C320" s="48" t="s">
        <v>27</v>
      </c>
      <c r="D320" s="54">
        <f>G308</f>
        <v>3599</v>
      </c>
      <c r="E320" s="50">
        <v>29</v>
      </c>
      <c r="F320" s="51">
        <v>22</v>
      </c>
      <c r="G320" s="52">
        <f>IFERROR(D320+E320-F320,"")</f>
        <v>3606</v>
      </c>
    </row>
    <row r="321" spans="1:7" ht="21.75" customHeight="1">
      <c r="A321" s="74"/>
      <c r="B321" s="74"/>
      <c r="C321" s="48" t="s">
        <v>30</v>
      </c>
      <c r="D321" s="54">
        <f>G309</f>
        <v>5982</v>
      </c>
      <c r="E321" s="50">
        <v>65</v>
      </c>
      <c r="F321" s="51">
        <v>49</v>
      </c>
      <c r="G321" s="52">
        <f>IFERROR(D321+E321-F321,"")</f>
        <v>5998</v>
      </c>
    </row>
    <row r="322" spans="1:7" ht="21.75" customHeight="1">
      <c r="A322" s="74"/>
      <c r="B322" s="74"/>
      <c r="C322" s="48" t="s">
        <v>32</v>
      </c>
      <c r="D322" s="54">
        <f>G310</f>
        <v>2460</v>
      </c>
      <c r="E322" s="50">
        <v>58</v>
      </c>
      <c r="F322" s="51">
        <v>49</v>
      </c>
      <c r="G322" s="52">
        <f>IFERROR(D322+E322-F322,"")</f>
        <v>2469</v>
      </c>
    </row>
    <row r="323" spans="1:7" ht="21.75" customHeight="1">
      <c r="A323" s="74"/>
      <c r="B323" s="74"/>
      <c r="C323" s="48" t="s">
        <v>34</v>
      </c>
      <c r="D323" s="54">
        <f>G311</f>
        <v>6111</v>
      </c>
      <c r="E323" s="50">
        <v>74</v>
      </c>
      <c r="F323" s="51">
        <v>57</v>
      </c>
      <c r="G323" s="52">
        <f>IFERROR(D323+E323-F323,"")</f>
        <v>6128</v>
      </c>
    </row>
    <row r="324" spans="1:7" ht="21.75" customHeight="1">
      <c r="A324" s="74"/>
      <c r="B324" s="74"/>
      <c r="C324" s="48" t="s">
        <v>25</v>
      </c>
      <c r="D324" s="54">
        <f>G312</f>
        <v>3058</v>
      </c>
      <c r="E324" s="50">
        <v>34</v>
      </c>
      <c r="F324" s="51">
        <v>24</v>
      </c>
      <c r="G324" s="52">
        <f>IFERROR(D324+E324-F324,"")</f>
        <v>3068</v>
      </c>
    </row>
    <row r="325" spans="1:7" ht="21.75" customHeight="1">
      <c r="A325" s="74"/>
      <c r="B325" s="74"/>
      <c r="C325" s="48" t="s">
        <v>35</v>
      </c>
      <c r="D325" s="54">
        <f>G313</f>
        <v>3371</v>
      </c>
      <c r="E325" s="50">
        <v>59</v>
      </c>
      <c r="F325" s="51">
        <v>47</v>
      </c>
      <c r="G325" s="52">
        <f>IFERROR(D325+E325-F325,"")</f>
        <v>3383</v>
      </c>
    </row>
    <row r="326" spans="1:7" ht="21.75" customHeight="1">
      <c r="A326" s="74"/>
      <c r="B326" s="74"/>
      <c r="C326" s="48" t="s">
        <v>29</v>
      </c>
      <c r="D326" s="54">
        <f>G314</f>
        <v>3919</v>
      </c>
      <c r="E326" s="50">
        <v>35</v>
      </c>
      <c r="F326" s="51">
        <v>27</v>
      </c>
      <c r="G326" s="52">
        <f>IFERROR(D326+E326-F326,"")</f>
        <v>3927</v>
      </c>
    </row>
    <row r="327" spans="1:7" ht="21.75" customHeight="1">
      <c r="A327" s="74"/>
      <c r="B327" s="74"/>
      <c r="C327" s="48" t="s">
        <v>31</v>
      </c>
      <c r="D327" s="54">
        <f>G315</f>
        <v>5084</v>
      </c>
      <c r="E327" s="50">
        <v>46</v>
      </c>
      <c r="F327" s="51">
        <v>30</v>
      </c>
      <c r="G327" s="52">
        <f>IFERROR(D327+E327-F327,"")</f>
        <v>5100</v>
      </c>
    </row>
    <row r="328" spans="1:7" ht="21.75" customHeight="1">
      <c r="A328" s="74"/>
      <c r="B328" s="74"/>
      <c r="C328" s="48" t="s">
        <v>33</v>
      </c>
      <c r="D328" s="54">
        <f>G316</f>
        <v>1824</v>
      </c>
      <c r="E328" s="50">
        <v>23</v>
      </c>
      <c r="F328" s="51">
        <v>22</v>
      </c>
      <c r="G328" s="52">
        <f>IFERROR(D328+E328-F328,"")</f>
        <v>1825</v>
      </c>
    </row>
    <row r="329" spans="1:7" ht="21.75" customHeight="1">
      <c r="A329" s="74"/>
      <c r="B329" s="74"/>
      <c r="C329" s="48" t="s">
        <v>36</v>
      </c>
      <c r="D329" s="54">
        <f>G317</f>
        <v>6360</v>
      </c>
      <c r="E329" s="50">
        <v>64</v>
      </c>
      <c r="F329" s="51">
        <v>48</v>
      </c>
      <c r="G329" s="52">
        <f>IFERROR(D329+E329-F329,"")</f>
        <v>6376</v>
      </c>
    </row>
    <row r="330" spans="1:7" ht="21.75" customHeight="1">
      <c r="A330" s="73" t="s">
        <v>247</v>
      </c>
      <c r="B330" s="73"/>
      <c r="C330" s="73"/>
      <c r="D330" s="53">
        <f>IFERROR(SUM(D319:D329),"")</f>
        <v>46775</v>
      </c>
      <c r="E330" s="53">
        <f>IFERROR(SUM(E319:E329),"")</f>
        <v>533</v>
      </c>
      <c r="F330" s="53">
        <f>IFERROR(SUM(F319:F329),"")</f>
        <v>404</v>
      </c>
      <c r="G330" s="53">
        <f>IFERROR(SUM(G319:G329),"")</f>
        <v>46904</v>
      </c>
    </row>
    <row r="331" spans="1:7" ht="21.75" customHeight="1">
      <c r="A331" s="74">
        <v>46201</v>
      </c>
      <c r="B331" s="75" t="s">
        <v>50</v>
      </c>
      <c r="C331" s="48" t="s">
        <v>26</v>
      </c>
      <c r="D331" s="54">
        <f>G319</f>
        <v>5024</v>
      </c>
      <c r="E331" s="50">
        <v>70</v>
      </c>
      <c r="F331" s="51">
        <v>55</v>
      </c>
      <c r="G331" s="52">
        <f>IFERROR(D331+E331-F331,"")</f>
        <v>5039</v>
      </c>
    </row>
    <row r="332" spans="1:7" ht="21.75" customHeight="1">
      <c r="A332" s="74"/>
      <c r="B332" s="74"/>
      <c r="C332" s="48" t="s">
        <v>27</v>
      </c>
      <c r="D332" s="54">
        <f>G320</f>
        <v>3606</v>
      </c>
      <c r="E332" s="50">
        <v>31</v>
      </c>
      <c r="F332" s="51">
        <v>22</v>
      </c>
      <c r="G332" s="52">
        <f>IFERROR(D332+E332-F332,"")</f>
        <v>3615</v>
      </c>
    </row>
    <row r="333" spans="1:7" ht="21.75" customHeight="1">
      <c r="A333" s="74"/>
      <c r="B333" s="74"/>
      <c r="C333" s="48" t="s">
        <v>30</v>
      </c>
      <c r="D333" s="54">
        <f>G321</f>
        <v>5998</v>
      </c>
      <c r="E333" s="50">
        <v>38</v>
      </c>
      <c r="F333" s="51">
        <v>28</v>
      </c>
      <c r="G333" s="52">
        <f>IFERROR(D333+E333-F333,"")</f>
        <v>6008</v>
      </c>
    </row>
    <row r="334" spans="1:7" ht="21.75" customHeight="1">
      <c r="A334" s="74"/>
      <c r="B334" s="74"/>
      <c r="C334" s="48" t="s">
        <v>32</v>
      </c>
      <c r="D334" s="54">
        <f>G322</f>
        <v>2469</v>
      </c>
      <c r="E334" s="50">
        <v>52</v>
      </c>
      <c r="F334" s="51">
        <v>42</v>
      </c>
      <c r="G334" s="52">
        <f>IFERROR(D334+E334-F334,"")</f>
        <v>2479</v>
      </c>
    </row>
    <row r="335" spans="1:7" ht="21.75" customHeight="1">
      <c r="A335" s="74"/>
      <c r="B335" s="74"/>
      <c r="C335" s="48" t="s">
        <v>34</v>
      </c>
      <c r="D335" s="54">
        <f>G323</f>
        <v>6128</v>
      </c>
      <c r="E335" s="50">
        <v>74</v>
      </c>
      <c r="F335" s="51">
        <v>51</v>
      </c>
      <c r="G335" s="52">
        <f>IFERROR(D335+E335-F335,"")</f>
        <v>6151</v>
      </c>
    </row>
    <row r="336" spans="1:7" ht="21.75" customHeight="1">
      <c r="A336" s="74"/>
      <c r="B336" s="74"/>
      <c r="C336" s="48" t="s">
        <v>25</v>
      </c>
      <c r="D336" s="54">
        <f>G324</f>
        <v>3068</v>
      </c>
      <c r="E336" s="50">
        <v>23</v>
      </c>
      <c r="F336" s="51">
        <v>16</v>
      </c>
      <c r="G336" s="52">
        <f>IFERROR(D336+E336-F336,"")</f>
        <v>3075</v>
      </c>
    </row>
    <row r="337" spans="1:7" ht="21.75" customHeight="1">
      <c r="A337" s="74"/>
      <c r="B337" s="74"/>
      <c r="C337" s="48" t="s">
        <v>35</v>
      </c>
      <c r="D337" s="54">
        <f>G325</f>
        <v>3383</v>
      </c>
      <c r="E337" s="50">
        <v>62</v>
      </c>
      <c r="F337" s="51">
        <v>48</v>
      </c>
      <c r="G337" s="52">
        <f>IFERROR(D337+E337-F337,"")</f>
        <v>3397</v>
      </c>
    </row>
    <row r="338" spans="1:7" ht="21.75" customHeight="1">
      <c r="A338" s="74"/>
      <c r="B338" s="74"/>
      <c r="C338" s="48" t="s">
        <v>29</v>
      </c>
      <c r="D338" s="54">
        <f>G326</f>
        <v>3927</v>
      </c>
      <c r="E338" s="50">
        <v>40</v>
      </c>
      <c r="F338" s="51">
        <v>31</v>
      </c>
      <c r="G338" s="52">
        <f>IFERROR(D338+E338-F338,"")</f>
        <v>3936</v>
      </c>
    </row>
    <row r="339" spans="1:7" ht="21.75" customHeight="1">
      <c r="A339" s="74"/>
      <c r="B339" s="74"/>
      <c r="C339" s="48" t="s">
        <v>31</v>
      </c>
      <c r="D339" s="54">
        <f>G327</f>
        <v>5100</v>
      </c>
      <c r="E339" s="50">
        <v>70</v>
      </c>
      <c r="F339" s="51">
        <v>53</v>
      </c>
      <c r="G339" s="52">
        <f>IFERROR(D339+E339-F339,"")</f>
        <v>5117</v>
      </c>
    </row>
    <row r="340" spans="1:7" ht="21.75" customHeight="1">
      <c r="A340" s="74"/>
      <c r="B340" s="74"/>
      <c r="C340" s="48" t="s">
        <v>33</v>
      </c>
      <c r="D340" s="54">
        <f>G328</f>
        <v>1825</v>
      </c>
      <c r="E340" s="50">
        <v>46</v>
      </c>
      <c r="F340" s="51">
        <v>45</v>
      </c>
      <c r="G340" s="52">
        <f>IFERROR(D340+E340-F340,"")</f>
        <v>1826</v>
      </c>
    </row>
    <row r="341" spans="1:7" ht="21.75" customHeight="1">
      <c r="A341" s="74"/>
      <c r="B341" s="74"/>
      <c r="C341" s="48" t="s">
        <v>36</v>
      </c>
      <c r="D341" s="54">
        <f>G329</f>
        <v>6376</v>
      </c>
      <c r="E341" s="50">
        <v>58</v>
      </c>
      <c r="F341" s="51">
        <v>38</v>
      </c>
      <c r="G341" s="52">
        <f>IFERROR(D341+E341-F341,"")</f>
        <v>6396</v>
      </c>
    </row>
    <row r="342" spans="1:7" ht="21.75" customHeight="1">
      <c r="A342" s="73" t="s">
        <v>248</v>
      </c>
      <c r="B342" s="73"/>
      <c r="C342" s="73"/>
      <c r="D342" s="53">
        <f>IFERROR(SUM(D331:D341),"")</f>
        <v>46904</v>
      </c>
      <c r="E342" s="53">
        <f>IFERROR(SUM(E331:E341),"")</f>
        <v>564</v>
      </c>
      <c r="F342" s="53">
        <f>IFERROR(SUM(F331:F341),"")</f>
        <v>429</v>
      </c>
      <c r="G342" s="53">
        <f>IFERROR(SUM(G331:G341),"")</f>
        <v>47039</v>
      </c>
    </row>
    <row r="343" spans="1:7" ht="21.75" customHeight="1">
      <c r="A343" s="71">
        <v>46202</v>
      </c>
      <c r="B343" s="72" t="s">
        <v>51</v>
      </c>
      <c r="C343" s="48" t="s">
        <v>26</v>
      </c>
      <c r="D343" s="54">
        <f>G331</f>
        <v>5039</v>
      </c>
      <c r="E343" s="50">
        <v>102</v>
      </c>
      <c r="F343" s="51">
        <v>86</v>
      </c>
      <c r="G343" s="52">
        <f>IFERROR(D343+E343-F343,"")</f>
        <v>5055</v>
      </c>
    </row>
    <row r="344" spans="1:7" ht="21.75" customHeight="1">
      <c r="A344" s="71"/>
      <c r="B344" s="71"/>
      <c r="C344" s="48" t="s">
        <v>27</v>
      </c>
      <c r="D344" s="54">
        <f>G332</f>
        <v>3615</v>
      </c>
      <c r="E344" s="50">
        <v>113</v>
      </c>
      <c r="F344" s="51">
        <v>92</v>
      </c>
      <c r="G344" s="52">
        <f>IFERROR(D344+E344-F344,"")</f>
        <v>3636</v>
      </c>
    </row>
    <row r="345" spans="1:7" ht="21.75" customHeight="1">
      <c r="A345" s="71"/>
      <c r="B345" s="71"/>
      <c r="C345" s="48" t="s">
        <v>30</v>
      </c>
      <c r="D345" s="54">
        <f>G333</f>
        <v>6008</v>
      </c>
      <c r="E345" s="50">
        <v>153</v>
      </c>
      <c r="F345" s="51">
        <v>94</v>
      </c>
      <c r="G345" s="52">
        <f>IFERROR(D345+E345-F345,"")</f>
        <v>6067</v>
      </c>
    </row>
    <row r="346" spans="1:7" ht="21.75" customHeight="1">
      <c r="A346" s="71"/>
      <c r="B346" s="71"/>
      <c r="C346" s="48" t="s">
        <v>32</v>
      </c>
      <c r="D346" s="54">
        <f>G334</f>
        <v>2479</v>
      </c>
      <c r="E346" s="50">
        <v>82</v>
      </c>
      <c r="F346" s="51">
        <v>73</v>
      </c>
      <c r="G346" s="52">
        <f>IFERROR(D346+E346-F346,"")</f>
        <v>2488</v>
      </c>
    </row>
    <row r="347" spans="1:7" ht="21.75" customHeight="1">
      <c r="A347" s="71"/>
      <c r="B347" s="71"/>
      <c r="C347" s="48" t="s">
        <v>34</v>
      </c>
      <c r="D347" s="54">
        <f>G335</f>
        <v>6151</v>
      </c>
      <c r="E347" s="50">
        <v>167</v>
      </c>
      <c r="F347" s="51">
        <v>123</v>
      </c>
      <c r="G347" s="52">
        <f>IFERROR(D347+E347-F347,"")</f>
        <v>6195</v>
      </c>
    </row>
    <row r="348" spans="1:7" ht="21.75" customHeight="1">
      <c r="A348" s="71"/>
      <c r="B348" s="71"/>
      <c r="C348" s="48" t="s">
        <v>25</v>
      </c>
      <c r="D348" s="54">
        <f>G336</f>
        <v>3075</v>
      </c>
      <c r="E348" s="50">
        <v>94</v>
      </c>
      <c r="F348" s="51">
        <v>76</v>
      </c>
      <c r="G348" s="52">
        <f>IFERROR(D348+E348-F348,"")</f>
        <v>3093</v>
      </c>
    </row>
    <row r="349" spans="1:7" ht="21.75" customHeight="1">
      <c r="A349" s="71"/>
      <c r="B349" s="71"/>
      <c r="C349" s="48" t="s">
        <v>35</v>
      </c>
      <c r="D349" s="54">
        <f>G337</f>
        <v>3397</v>
      </c>
      <c r="E349" s="50">
        <v>127</v>
      </c>
      <c r="F349" s="51">
        <v>95</v>
      </c>
      <c r="G349" s="52">
        <f>IFERROR(D349+E349-F349,"")</f>
        <v>3429</v>
      </c>
    </row>
    <row r="350" spans="1:7" ht="21.75" customHeight="1">
      <c r="A350" s="71"/>
      <c r="B350" s="71"/>
      <c r="C350" s="48" t="s">
        <v>29</v>
      </c>
      <c r="D350" s="54">
        <f>G338</f>
        <v>3936</v>
      </c>
      <c r="E350" s="50">
        <v>84</v>
      </c>
      <c r="F350" s="51">
        <v>67</v>
      </c>
      <c r="G350" s="52">
        <f>IFERROR(D350+E350-F350,"")</f>
        <v>3953</v>
      </c>
    </row>
    <row r="351" spans="1:7" ht="21.75" customHeight="1">
      <c r="A351" s="71"/>
      <c r="B351" s="71"/>
      <c r="C351" s="48" t="s">
        <v>31</v>
      </c>
      <c r="D351" s="54">
        <f>G339</f>
        <v>5117</v>
      </c>
      <c r="E351" s="50">
        <v>108</v>
      </c>
      <c r="F351" s="51">
        <v>86</v>
      </c>
      <c r="G351" s="52">
        <f>IFERROR(D351+E351-F351,"")</f>
        <v>5139</v>
      </c>
    </row>
    <row r="352" spans="1:7" ht="21.75" customHeight="1">
      <c r="A352" s="71"/>
      <c r="B352" s="71"/>
      <c r="C352" s="48" t="s">
        <v>33</v>
      </c>
      <c r="D352" s="54">
        <f>G340</f>
        <v>1826</v>
      </c>
      <c r="E352" s="50">
        <v>85</v>
      </c>
      <c r="F352" s="51">
        <v>73</v>
      </c>
      <c r="G352" s="52">
        <f>IFERROR(D352+E352-F352,"")</f>
        <v>1838</v>
      </c>
    </row>
    <row r="353" spans="1:7" ht="21.75" customHeight="1">
      <c r="A353" s="71"/>
      <c r="B353" s="71"/>
      <c r="C353" s="48" t="s">
        <v>36</v>
      </c>
      <c r="D353" s="54">
        <f>G341</f>
        <v>6396</v>
      </c>
      <c r="E353" s="50">
        <v>123</v>
      </c>
      <c r="F353" s="51">
        <v>84</v>
      </c>
      <c r="G353" s="52">
        <f>IFERROR(D353+E353-F353,"")</f>
        <v>6435</v>
      </c>
    </row>
    <row r="354" spans="1:7" ht="21.75" customHeight="1">
      <c r="A354" s="73" t="s">
        <v>249</v>
      </c>
      <c r="B354" s="73"/>
      <c r="C354" s="73"/>
      <c r="D354" s="53">
        <f>IFERROR(SUM(D343:D353),"")</f>
        <v>47039</v>
      </c>
      <c r="E354" s="53">
        <f>IFERROR(SUM(E343:E353),"")</f>
        <v>1238</v>
      </c>
      <c r="F354" s="53">
        <f>IFERROR(SUM(F343:F353),"")</f>
        <v>949</v>
      </c>
      <c r="G354" s="53">
        <f>IFERROR(SUM(G343:G353),"")</f>
        <v>47328</v>
      </c>
    </row>
    <row r="355" spans="1:7" ht="21.75" customHeight="1">
      <c r="A355" s="71">
        <v>46203</v>
      </c>
      <c r="B355" s="72" t="s">
        <v>52</v>
      </c>
      <c r="C355" s="48" t="s">
        <v>26</v>
      </c>
      <c r="D355" s="54">
        <f>G343</f>
        <v>5055</v>
      </c>
      <c r="E355" s="50">
        <v>129</v>
      </c>
      <c r="F355" s="51">
        <v>90</v>
      </c>
      <c r="G355" s="52">
        <f>IFERROR(D355+E355-F355,"")</f>
        <v>5094</v>
      </c>
    </row>
    <row r="356" spans="1:7" ht="21.75" customHeight="1">
      <c r="A356" s="71"/>
      <c r="B356" s="71"/>
      <c r="C356" s="48" t="s">
        <v>27</v>
      </c>
      <c r="D356" s="54">
        <f>G344</f>
        <v>3636</v>
      </c>
      <c r="E356" s="50">
        <v>86</v>
      </c>
      <c r="F356" s="51">
        <v>66</v>
      </c>
      <c r="G356" s="52">
        <f>IFERROR(D356+E356-F356,"")</f>
        <v>3656</v>
      </c>
    </row>
    <row r="357" spans="1:7" ht="21.75" customHeight="1">
      <c r="A357" s="71"/>
      <c r="B357" s="71"/>
      <c r="C357" s="48" t="s">
        <v>30</v>
      </c>
      <c r="D357" s="54">
        <f>G345</f>
        <v>6067</v>
      </c>
      <c r="E357" s="50">
        <v>132</v>
      </c>
      <c r="F357" s="51">
        <v>99</v>
      </c>
      <c r="G357" s="52">
        <f>IFERROR(D357+E357-F357,"")</f>
        <v>6100</v>
      </c>
    </row>
    <row r="358" spans="1:7" ht="21.75" customHeight="1">
      <c r="A358" s="71"/>
      <c r="B358" s="71"/>
      <c r="C358" s="48" t="s">
        <v>32</v>
      </c>
      <c r="D358" s="54">
        <f>G346</f>
        <v>2488</v>
      </c>
      <c r="E358" s="50">
        <v>65</v>
      </c>
      <c r="F358" s="51">
        <v>55</v>
      </c>
      <c r="G358" s="52">
        <f>IFERROR(D358+E358-F358,"")</f>
        <v>2498</v>
      </c>
    </row>
    <row r="359" spans="1:7" ht="21.75" customHeight="1">
      <c r="A359" s="71"/>
      <c r="B359" s="71"/>
      <c r="C359" s="48" t="s">
        <v>34</v>
      </c>
      <c r="D359" s="54">
        <f>G347</f>
        <v>6195</v>
      </c>
      <c r="E359" s="50">
        <v>147</v>
      </c>
      <c r="F359" s="51">
        <v>93</v>
      </c>
      <c r="G359" s="52">
        <f>IFERROR(D359+E359-F359,"")</f>
        <v>6249</v>
      </c>
    </row>
    <row r="360" spans="1:7" ht="21.75" customHeight="1">
      <c r="A360" s="71"/>
      <c r="B360" s="71"/>
      <c r="C360" s="48" t="s">
        <v>25</v>
      </c>
      <c r="D360" s="54">
        <f>G348</f>
        <v>3093</v>
      </c>
      <c r="E360" s="50">
        <v>84</v>
      </c>
      <c r="F360" s="51">
        <v>63</v>
      </c>
      <c r="G360" s="52">
        <f>IFERROR(D360+E360-F360,"")</f>
        <v>3114</v>
      </c>
    </row>
    <row r="361" spans="1:7" ht="21.75" customHeight="1">
      <c r="A361" s="71"/>
      <c r="B361" s="71"/>
      <c r="C361" s="48" t="s">
        <v>35</v>
      </c>
      <c r="D361" s="54">
        <f>G349</f>
        <v>3429</v>
      </c>
      <c r="E361" s="50">
        <v>81</v>
      </c>
      <c r="F361" s="51">
        <v>66</v>
      </c>
      <c r="G361" s="52">
        <f>IFERROR(D361+E361-F361,"")</f>
        <v>3444</v>
      </c>
    </row>
    <row r="362" spans="1:7" ht="21.75" customHeight="1">
      <c r="A362" s="71"/>
      <c r="B362" s="71"/>
      <c r="C362" s="48" t="s">
        <v>29</v>
      </c>
      <c r="D362" s="54">
        <f>G350</f>
        <v>3953</v>
      </c>
      <c r="E362" s="50">
        <v>89</v>
      </c>
      <c r="F362" s="51">
        <v>59</v>
      </c>
      <c r="G362" s="52">
        <f>IFERROR(D362+E362-F362,"")</f>
        <v>3983</v>
      </c>
    </row>
    <row r="363" spans="1:7" ht="21.75" customHeight="1">
      <c r="A363" s="71"/>
      <c r="B363" s="71"/>
      <c r="C363" s="48" t="s">
        <v>31</v>
      </c>
      <c r="D363" s="54">
        <f>G351</f>
        <v>5139</v>
      </c>
      <c r="E363" s="50">
        <v>94</v>
      </c>
      <c r="F363" s="51">
        <v>66</v>
      </c>
      <c r="G363" s="52">
        <f>IFERROR(D363+E363-F363,"")</f>
        <v>5167</v>
      </c>
    </row>
    <row r="364" spans="1:7" ht="21.75" customHeight="1">
      <c r="A364" s="71"/>
      <c r="B364" s="71"/>
      <c r="C364" s="48" t="s">
        <v>33</v>
      </c>
      <c r="D364" s="54">
        <f>G352</f>
        <v>1838</v>
      </c>
      <c r="E364" s="50">
        <v>103</v>
      </c>
      <c r="F364" s="51">
        <v>98</v>
      </c>
      <c r="G364" s="52">
        <f>IFERROR(D364+E364-F364,"")</f>
        <v>1843</v>
      </c>
    </row>
    <row r="365" spans="1:7" ht="21.75" customHeight="1">
      <c r="A365" s="71"/>
      <c r="B365" s="71"/>
      <c r="C365" s="48" t="s">
        <v>36</v>
      </c>
      <c r="D365" s="54">
        <f>G353</f>
        <v>6435</v>
      </c>
      <c r="E365" s="50">
        <v>166</v>
      </c>
      <c r="F365" s="51">
        <v>114</v>
      </c>
      <c r="G365" s="52">
        <f>IFERROR(D365+E365-F365,"")</f>
        <v>6487</v>
      </c>
    </row>
    <row r="366" spans="1:7" ht="21.75" customHeight="1">
      <c r="A366" s="73" t="s">
        <v>250</v>
      </c>
      <c r="B366" s="73"/>
      <c r="C366" s="73"/>
      <c r="D366" s="53">
        <f>IFERROR(SUM(D355:D365),"")</f>
        <v>47328</v>
      </c>
      <c r="E366" s="53">
        <f>IFERROR(SUM(E355:E365),"")</f>
        <v>1176</v>
      </c>
      <c r="F366" s="53">
        <f>IFERROR(SUM(F355:F365),"")</f>
        <v>869</v>
      </c>
      <c r="G366" s="53">
        <f>IFERROR(SUM(G355:G365),"")</f>
        <v>47635</v>
      </c>
    </row>
    <row r="367" spans="1:7" ht="25.5" customHeight="1">
      <c r="A367" s="76" t="s">
        <v>251</v>
      </c>
      <c r="B367" s="76"/>
      <c r="C367" s="76"/>
      <c r="D367" s="55">
        <f>IFERROR(SUM(D7:D17),"")</f>
        <v>40408</v>
      </c>
      <c r="E367" s="55">
        <f>IFERROR(E18+E30+E42+E54+E66+E78+E90+E102+E114+E126+E138+E150+E162+E174+E186+E198+E210+E222+E234+E246+E258+E270+E282+E294+E306+E318+E330+E342+E354+E366,"")</f>
        <v>30565</v>
      </c>
      <c r="F367" s="55">
        <f>IFERROR(F18+F30+F42+F54+F66+F78+F90+F102+F114+F126+F138+F150+F162+F174+F186+F198+F210+F222+F234+F246+F258+F270+F282+F294+F306+F318+F330+F342+F354+F366,"")</f>
        <v>23338</v>
      </c>
      <c r="G367" s="55">
        <f>IFERROR(G366,"")</f>
        <v>47635</v>
      </c>
    </row>
  </sheetData>
  <mergeCells count="93">
    <mergeCell ref="A354:C354"/>
    <mergeCell ref="A355:A365"/>
    <mergeCell ref="B355:B365"/>
    <mergeCell ref="A366:C366"/>
    <mergeCell ref="A367:C367"/>
    <mergeCell ref="A330:C330"/>
    <mergeCell ref="A331:A341"/>
    <mergeCell ref="B331:B341"/>
    <mergeCell ref="A342:C342"/>
    <mergeCell ref="A343:A353"/>
    <mergeCell ref="B343:B353"/>
    <mergeCell ref="A306:C306"/>
    <mergeCell ref="A307:A317"/>
    <mergeCell ref="B307:B317"/>
    <mergeCell ref="A318:C318"/>
    <mergeCell ref="A319:A329"/>
    <mergeCell ref="B319:B329"/>
    <mergeCell ref="A282:C282"/>
    <mergeCell ref="A283:A293"/>
    <mergeCell ref="B283:B293"/>
    <mergeCell ref="A294:C294"/>
    <mergeCell ref="A295:A305"/>
    <mergeCell ref="B295:B305"/>
    <mergeCell ref="A258:C258"/>
    <mergeCell ref="A259:A269"/>
    <mergeCell ref="B259:B269"/>
    <mergeCell ref="A270:C270"/>
    <mergeCell ref="A271:A281"/>
    <mergeCell ref="B271:B281"/>
    <mergeCell ref="A234:C234"/>
    <mergeCell ref="A235:A245"/>
    <mergeCell ref="B235:B245"/>
    <mergeCell ref="A246:C246"/>
    <mergeCell ref="A247:A257"/>
    <mergeCell ref="B247:B257"/>
    <mergeCell ref="A210:C210"/>
    <mergeCell ref="A211:A221"/>
    <mergeCell ref="B211:B221"/>
    <mergeCell ref="A222:C222"/>
    <mergeCell ref="A223:A233"/>
    <mergeCell ref="B223:B233"/>
    <mergeCell ref="A186:C186"/>
    <mergeCell ref="A187:A197"/>
    <mergeCell ref="B187:B197"/>
    <mergeCell ref="A198:C198"/>
    <mergeCell ref="A199:A209"/>
    <mergeCell ref="B199:B209"/>
    <mergeCell ref="A162:C162"/>
    <mergeCell ref="A163:A173"/>
    <mergeCell ref="B163:B173"/>
    <mergeCell ref="A174:C174"/>
    <mergeCell ref="A175:A185"/>
    <mergeCell ref="B175:B185"/>
    <mergeCell ref="A138:C138"/>
    <mergeCell ref="A139:A149"/>
    <mergeCell ref="B139:B149"/>
    <mergeCell ref="A150:C150"/>
    <mergeCell ref="A151:A161"/>
    <mergeCell ref="B151:B161"/>
    <mergeCell ref="A114:C114"/>
    <mergeCell ref="A115:A125"/>
    <mergeCell ref="B115:B125"/>
    <mergeCell ref="A126:C126"/>
    <mergeCell ref="A127:A137"/>
    <mergeCell ref="B127:B137"/>
    <mergeCell ref="A90:C90"/>
    <mergeCell ref="A91:A101"/>
    <mergeCell ref="B91:B101"/>
    <mergeCell ref="A102:C102"/>
    <mergeCell ref="A103:A113"/>
    <mergeCell ref="B103:B113"/>
    <mergeCell ref="A66:C66"/>
    <mergeCell ref="A67:A77"/>
    <mergeCell ref="B67:B77"/>
    <mergeCell ref="A78:C78"/>
    <mergeCell ref="A79:A89"/>
    <mergeCell ref="B79:B89"/>
    <mergeCell ref="A42:C42"/>
    <mergeCell ref="A43:A53"/>
    <mergeCell ref="B43:B53"/>
    <mergeCell ref="A54:C54"/>
    <mergeCell ref="A55:A65"/>
    <mergeCell ref="B55:B65"/>
    <mergeCell ref="A19:A29"/>
    <mergeCell ref="B19:B29"/>
    <mergeCell ref="A30:C30"/>
    <mergeCell ref="A31:A41"/>
    <mergeCell ref="B31:B41"/>
    <mergeCell ref="A1:G4"/>
    <mergeCell ref="A5:G5"/>
    <mergeCell ref="A7:A17"/>
    <mergeCell ref="B7:B17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2026-06-13T17:14:50Z</dcterms:created>
  <dcterms:modified xsi:type="dcterms:W3CDTF">2026-06-20T08:23:06Z</dcterms:modified>
  <cp:category/>
  <cp:contentStatus/>
</cp:coreProperties>
</file>